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codeName="ЭтаКнига"/>
  <mc:AlternateContent xmlns:mc="http://schemas.openxmlformats.org/markup-compatibility/2006">
    <mc:Choice Requires="x15">
      <x15ac:absPath xmlns:x15ac="http://schemas.microsoft.com/office/spreadsheetml/2010/11/ac" url="Z:\Кредитный дела 2025\03 март\№544 Шукуров (Қоракуль)\"/>
    </mc:Choice>
  </mc:AlternateContent>
  <xr:revisionPtr revIDLastSave="0" documentId="13_ncr:1_{F2C62148-D8F4-4584-ADB0-22E7BA6A1C8B}" xr6:coauthVersionLast="46" xr6:coauthVersionMax="46" xr10:uidLastSave="{00000000-0000-0000-0000-000000000000}"/>
  <bookViews>
    <workbookView xWindow="-120" yWindow="-120" windowWidth="29040" windowHeight="15720" tabRatio="915" activeTab="3"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Акт согласования" sheetId="7" r:id="rId13"/>
    <sheet name="заявление залогодателя" sheetId="13"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s>
  <definedNames>
    <definedName name="mos">'[1]Общие данные'!$C$23:$D$23</definedName>
    <definedName name="mulk">'[1]Общие данные'!$C$24:$W$24</definedName>
    <definedName name="_xlnm.Print_Area" localSheetId="12">'Акт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договор!$A$1:$B$129</definedName>
    <definedName name="_xlnm.Print_Area" localSheetId="13">'заявление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9" i="1" l="1"/>
  <c r="B82" i="1" l="1"/>
  <c r="B41" i="1"/>
  <c r="B76" i="1" l="1"/>
  <c r="A61" i="16" l="1"/>
  <c r="A128" i="19"/>
  <c r="B65" i="1"/>
  <c r="B111" i="1"/>
  <c r="B117" i="1" s="1"/>
  <c r="B112" i="1"/>
  <c r="B118" i="1" s="1"/>
  <c r="B113" i="1"/>
  <c r="B119" i="1" s="1"/>
  <c r="B114" i="1"/>
  <c r="B120" i="1" s="1"/>
  <c r="B116" i="1"/>
  <c r="B122" i="1" s="1"/>
  <c r="B127" i="1"/>
  <c r="A59" i="16" l="1"/>
  <c r="A126" i="19"/>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B40" i="1"/>
  <c r="C116" i="1"/>
  <c r="C122" i="1" s="1"/>
  <c r="C114" i="1"/>
  <c r="C120" i="1" s="1"/>
  <c r="C113" i="1"/>
  <c r="C119" i="1" s="1"/>
  <c r="C112" i="1"/>
  <c r="C118" i="1" s="1"/>
  <c r="C111" i="1"/>
  <c r="C117" i="1" s="1"/>
  <c r="D59" i="7"/>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H24" i="29" l="1"/>
  <c r="H24" i="28"/>
  <c r="A22" i="26"/>
  <c r="H24" i="26"/>
  <c r="B126" i="19"/>
  <c r="E51" i="3"/>
  <c r="A51" i="3"/>
  <c r="A59" i="3"/>
  <c r="A57" i="3"/>
  <c r="A53" i="3"/>
  <c r="A37" i="3"/>
  <c r="A1" i="3"/>
  <c r="D17" i="23"/>
  <c r="E17" i="23" s="1"/>
  <c r="A1" i="23"/>
  <c r="A39" i="23"/>
  <c r="A38" i="23"/>
  <c r="D58" i="16"/>
  <c r="A110" i="1" l="1"/>
  <c r="A109" i="1"/>
  <c r="A108" i="1"/>
  <c r="A107" i="1"/>
  <c r="C22" i="1"/>
  <c r="H9" i="23"/>
  <c r="A7" i="23" s="1"/>
  <c r="A57" i="16"/>
  <c r="A18" i="23" l="1"/>
  <c r="B58" i="1"/>
  <c r="B49" i="1"/>
  <c r="B59" i="1" s="1"/>
  <c r="A16" i="4" l="1"/>
  <c r="A17" i="4"/>
  <c r="A7" i="24"/>
  <c r="B47" i="1"/>
  <c r="B45" i="1" s="1"/>
  <c r="B27" i="1"/>
  <c r="B119" i="19" s="1"/>
  <c r="B34" i="1"/>
  <c r="A24" i="7"/>
  <c r="A34" i="3" s="1"/>
  <c r="B8" i="13"/>
  <c r="A63" i="7" l="1"/>
  <c r="D62" i="7" s="1"/>
  <c r="A19" i="13"/>
  <c r="A52" i="7"/>
  <c r="A51" i="7"/>
  <c r="B6" i="13"/>
  <c r="D2" i="2"/>
  <c r="C76" i="1"/>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A34"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A22" i="7"/>
  <c r="A18" i="8" l="1"/>
  <c r="A32" i="3"/>
  <c r="H7" i="23"/>
  <c r="A2" i="23" s="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11" i="1" s="1"/>
  <c r="B13" i="1" s="1"/>
  <c r="B8" i="1"/>
  <c r="B136" i="1"/>
  <c r="B137" i="1" s="1"/>
  <c r="B133" i="1"/>
  <c r="E21" i="7" s="1"/>
  <c r="B130" i="1"/>
  <c r="D21" i="7" s="1"/>
  <c r="E10" i="26" s="1"/>
  <c r="B21" i="7"/>
  <c r="C10" i="26" s="1"/>
  <c r="G10" i="26" l="1"/>
  <c r="D30" i="7"/>
  <c r="D31" i="3" s="1"/>
  <c r="E10" i="28"/>
  <c r="E10" i="27"/>
  <c r="E10" i="29"/>
  <c r="C10" i="28"/>
  <c r="C10" i="27"/>
  <c r="C10" i="29"/>
  <c r="C126" i="1"/>
  <c r="A24" i="2" s="1"/>
  <c r="A21" i="7"/>
  <c r="A10" i="26" s="1"/>
  <c r="C137" i="1"/>
  <c r="B138" i="1"/>
  <c r="A6" i="2"/>
  <c r="E30" i="7"/>
  <c r="E31" i="3" s="1"/>
  <c r="A48" i="7"/>
  <c r="A15" i="7"/>
  <c r="E125" i="1"/>
  <c r="A27" i="3"/>
  <c r="B9" i="13"/>
  <c r="A20" i="3"/>
  <c r="A27" i="2"/>
  <c r="A28" i="2"/>
  <c r="A28" i="3"/>
  <c r="F126" i="1"/>
  <c r="E126" i="1"/>
  <c r="B10" i="1"/>
  <c r="A17" i="8" l="1"/>
  <c r="A17" i="7"/>
  <c r="G10" i="28"/>
  <c r="G10" i="29"/>
  <c r="G10" i="27"/>
  <c r="A16" i="8"/>
  <c r="A25" i="2"/>
  <c r="A16" i="7"/>
  <c r="A18" i="7" s="1"/>
  <c r="A19" i="7" s="1"/>
  <c r="A10" i="27"/>
  <c r="A10" i="28"/>
  <c r="A10" i="29"/>
  <c r="A29" i="3"/>
  <c r="A26" i="23" s="1"/>
  <c r="A8" i="8"/>
  <c r="A38" i="3"/>
  <c r="B12" i="1"/>
  <c r="A15" i="13" l="1"/>
  <c r="A14" i="13"/>
  <c r="A21" i="4"/>
  <c r="A10" i="2"/>
  <c r="A9" i="2"/>
  <c r="A19" i="4"/>
  <c r="A13" i="13" l="1"/>
  <c r="B66" i="1"/>
  <c r="A1" i="19" s="1"/>
  <c r="H26" i="29"/>
  <c r="H26" i="28"/>
  <c r="H26" i="27"/>
  <c r="H22" i="29"/>
  <c r="H22" i="28"/>
  <c r="H22" i="27"/>
  <c r="H26" i="26"/>
  <c r="D56" i="7" l="1"/>
  <c r="A56" i="7"/>
  <c r="A131"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20" i="1"/>
  <c r="A5" i="19" s="1"/>
  <c r="C115" i="1" l="1"/>
  <c r="C121" i="1" s="1"/>
  <c r="B115" i="1"/>
  <c r="B121" i="1" s="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C19" i="1" l="1"/>
  <c r="B21" i="1" s="1"/>
  <c r="A33" i="20"/>
  <c r="A6" i="3" l="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B32" i="16"/>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40" i="8"/>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34" i="20"/>
  <c r="A35" i="20"/>
  <c r="A41" i="8"/>
  <c r="A42" i="8"/>
  <c r="A9" i="20" l="1"/>
  <c r="N123" i="1"/>
  <c r="E44" i="7"/>
  <c r="E31" i="20" s="1"/>
  <c r="E27" i="8" l="1"/>
  <c r="A23" i="2"/>
  <c r="E38" i="8"/>
  <c r="D60" i="12"/>
  <c r="A58" i="12"/>
  <c r="A56" i="12"/>
  <c r="D52" i="12"/>
  <c r="D48" i="12"/>
  <c r="A48" i="12"/>
  <c r="C8" i="12"/>
  <c r="C9" i="16" s="1"/>
  <c r="A39" i="8"/>
  <c r="A32" i="20"/>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L9" i="15" l="1"/>
  <c r="E9" i="15" s="1"/>
  <c r="J13" i="15"/>
  <c r="K13" i="15" s="1"/>
  <c r="I13" i="15" s="1"/>
  <c r="D9" i="15" l="1"/>
  <c r="C10" i="15" s="1"/>
  <c r="I14" i="15"/>
  <c r="I15" i="15" s="1"/>
  <c r="I16" i="15" s="1"/>
  <c r="I17" i="15" s="1"/>
  <c r="I18" i="15" s="1"/>
  <c r="J14" i="15"/>
  <c r="K14" i="15" s="1"/>
  <c r="M9" i="15" l="1"/>
  <c r="F9" i="15" s="1"/>
  <c r="L10" i="15"/>
  <c r="E10" i="15" s="1"/>
  <c r="J15" i="15"/>
  <c r="K15" i="15" s="1"/>
  <c r="J19" i="15"/>
  <c r="K19" i="15" s="1"/>
  <c r="I19" i="15" s="1"/>
  <c r="J20" i="15" s="1"/>
  <c r="K20" i="15" s="1"/>
  <c r="J17" i="15"/>
  <c r="K17" i="15" s="1"/>
  <c r="J16" i="15"/>
  <c r="K16" i="15" s="1"/>
  <c r="J18" i="15"/>
  <c r="K18" i="15" s="1"/>
  <c r="D10" i="15" l="1"/>
  <c r="I20" i="15"/>
  <c r="I21" i="15" s="1"/>
  <c r="M10" i="15" l="1"/>
  <c r="F10" i="15" s="1"/>
  <c r="C11" i="15"/>
  <c r="J22" i="15"/>
  <c r="K22" i="15" s="1"/>
  <c r="I22" i="15" s="1"/>
  <c r="J21" i="15"/>
  <c r="K21" i="15" s="1"/>
  <c r="I23" i="15" l="1"/>
  <c r="I24" i="15" s="1"/>
  <c r="J23" i="15"/>
  <c r="K23" i="15" s="1"/>
  <c r="L11" i="15"/>
  <c r="E11" i="15" s="1"/>
  <c r="J24" i="15" l="1"/>
  <c r="K24" i="15" s="1"/>
  <c r="J25" i="15"/>
  <c r="K25" i="15" s="1"/>
  <c r="I25" i="15" s="1"/>
  <c r="I26" i="15" s="1"/>
  <c r="I27" i="15" s="1"/>
  <c r="I28" i="15" s="1"/>
  <c r="I29" i="15" s="1"/>
  <c r="I30" i="15" s="1"/>
  <c r="D11" i="15"/>
  <c r="J29" i="15" l="1"/>
  <c r="K29" i="15" s="1"/>
  <c r="J28" i="15"/>
  <c r="K28" i="15" s="1"/>
  <c r="J30" i="15"/>
  <c r="K30" i="15" s="1"/>
  <c r="J31" i="15"/>
  <c r="K31" i="15" s="1"/>
  <c r="I31" i="15" s="1"/>
  <c r="J27" i="15"/>
  <c r="K27" i="15" s="1"/>
  <c r="J26" i="15"/>
  <c r="K26" i="15" s="1"/>
  <c r="M11" i="15"/>
  <c r="F11" i="15" s="1"/>
  <c r="C12" i="15"/>
  <c r="J32" i="15" l="1"/>
  <c r="K32" i="15" s="1"/>
  <c r="I32" i="15"/>
  <c r="L12" i="15"/>
  <c r="E12" i="15" s="1"/>
  <c r="J33" i="15" l="1"/>
  <c r="K33" i="15" s="1"/>
  <c r="I33" i="15" s="1"/>
  <c r="J34" i="15" s="1"/>
  <c r="K34" i="15" s="1"/>
  <c r="I34" i="15" s="1"/>
  <c r="J35" i="15" s="1"/>
  <c r="K35" i="15" s="1"/>
  <c r="I35" i="15" s="1"/>
  <c r="I36" i="15" s="1"/>
  <c r="D12" i="15"/>
  <c r="J37" i="15" l="1"/>
  <c r="K37" i="15" s="1"/>
  <c r="I37" i="15" s="1"/>
  <c r="J38" i="15" s="1"/>
  <c r="K38" i="15" s="1"/>
  <c r="J36" i="15"/>
  <c r="K36" i="15" s="1"/>
  <c r="C13" i="15"/>
  <c r="M12" i="15"/>
  <c r="F12" i="15" s="1"/>
  <c r="I38" i="15" l="1"/>
  <c r="J39" i="15" s="1"/>
  <c r="K39" i="15" s="1"/>
  <c r="I39" i="15" s="1"/>
  <c r="L13" i="15"/>
  <c r="E13" i="15" s="1"/>
  <c r="D13" i="15" l="1"/>
  <c r="C14" i="15" s="1"/>
  <c r="J40" i="15"/>
  <c r="K40" i="15" s="1"/>
  <c r="I40" i="15" s="1"/>
  <c r="M13" i="15" l="1"/>
  <c r="F13" i="15" s="1"/>
  <c r="L14" i="15"/>
  <c r="D14" i="15" s="1"/>
  <c r="J41" i="15"/>
  <c r="K41" i="15" s="1"/>
  <c r="I41" i="15" s="1"/>
  <c r="E14" i="15" l="1"/>
  <c r="M14" i="15" s="1"/>
  <c r="F14" i="15" s="1"/>
  <c r="C15" i="15"/>
  <c r="J42" i="15"/>
  <c r="K42" i="15" s="1"/>
  <c r="I42" i="15" s="1"/>
  <c r="J43" i="15" s="1"/>
  <c r="K43" i="15" s="1"/>
  <c r="I43" i="15" s="1"/>
  <c r="L15" i="15" l="1"/>
  <c r="E15" i="15" s="1"/>
  <c r="D15" i="15" l="1"/>
  <c r="C16" i="15" l="1"/>
  <c r="M15" i="15"/>
  <c r="F15" i="15" s="1"/>
  <c r="L16" i="15" l="1"/>
  <c r="E16" i="15" s="1"/>
  <c r="D16" i="15" l="1"/>
  <c r="C17" i="15" s="1"/>
  <c r="M16" i="15" l="1"/>
  <c r="F16" i="15" s="1"/>
  <c r="L17" i="15"/>
  <c r="E17" i="15" s="1"/>
  <c r="D17" i="15" l="1"/>
  <c r="C18" i="15" s="1"/>
  <c r="M17" i="15" l="1"/>
  <c r="F17" i="15" s="1"/>
  <c r="L18" i="15"/>
  <c r="E18" i="15" s="1"/>
  <c r="D18" i="15" l="1"/>
  <c r="C19" i="15" l="1"/>
  <c r="M18" i="15"/>
  <c r="F18" i="15" s="1"/>
  <c r="L19" i="15" l="1"/>
  <c r="E19" i="15" s="1"/>
  <c r="C3" i="1" s="1"/>
  <c r="D19" i="15" l="1"/>
  <c r="C20" i="15" s="1"/>
  <c r="M19" i="15" l="1"/>
  <c r="F19" i="15" s="1"/>
  <c r="L20" i="15"/>
  <c r="E20" i="15" s="1"/>
  <c r="D20" i="15" l="1"/>
  <c r="C21" i="15" s="1"/>
  <c r="L21" i="15" s="1"/>
  <c r="E21" i="15" s="1"/>
  <c r="M20" i="15" l="1"/>
  <c r="F20" i="15" s="1"/>
  <c r="D21" i="15"/>
  <c r="C22" i="15" s="1"/>
  <c r="M21" i="15" l="1"/>
  <c r="F21" i="15" s="1"/>
  <c r="L22" i="15"/>
  <c r="E22" i="15" s="1"/>
  <c r="D22" i="15" l="1"/>
  <c r="C23" i="15" s="1"/>
  <c r="M22" i="15" l="1"/>
  <c r="F22" i="15" s="1"/>
  <c r="L23" i="15"/>
  <c r="E23" i="15" s="1"/>
  <c r="D23" i="15" l="1"/>
  <c r="C24" i="15" s="1"/>
  <c r="M23" i="15" l="1"/>
  <c r="F23" i="15" s="1"/>
  <c r="L24" i="15"/>
  <c r="E24" i="15" s="1"/>
  <c r="D24" i="15" l="1"/>
  <c r="M24" i="15" s="1"/>
  <c r="F24" i="15" s="1"/>
  <c r="C25" i="15" l="1"/>
  <c r="L25" i="15" s="1"/>
  <c r="E25" i="15" s="1"/>
  <c r="D25" i="15" l="1"/>
  <c r="M25" i="15" s="1"/>
  <c r="F25" i="15" s="1"/>
  <c r="C26" i="15" l="1"/>
  <c r="L26" i="15" s="1"/>
  <c r="D26" i="15" s="1"/>
  <c r="C27" i="15" s="1"/>
  <c r="E26" i="15" l="1"/>
  <c r="M26" i="15" s="1"/>
  <c r="F26" i="15" s="1"/>
  <c r="L27" i="15"/>
  <c r="D27" i="15" s="1"/>
  <c r="C28" i="15" s="1"/>
  <c r="E27" i="15" l="1"/>
  <c r="M27" i="15" s="1"/>
  <c r="F27" i="15" s="1"/>
  <c r="L28" i="15"/>
  <c r="D28" i="15" s="1"/>
  <c r="C29" i="15" s="1"/>
  <c r="E28" i="15" l="1"/>
  <c r="M28" i="15" s="1"/>
  <c r="F28" i="15" s="1"/>
  <c r="L29" i="15"/>
  <c r="D29" i="15" s="1"/>
  <c r="C30" i="15" s="1"/>
  <c r="E29" i="15" l="1"/>
  <c r="M29" i="15" s="1"/>
  <c r="F29" i="15" s="1"/>
  <c r="L30" i="15"/>
  <c r="D30" i="15" s="1"/>
  <c r="C31" i="15" s="1"/>
  <c r="E30" i="15" l="1"/>
  <c r="M30" i="15" s="1"/>
  <c r="F30" i="15" s="1"/>
  <c r="L31" i="15"/>
  <c r="D31" i="15" s="1"/>
  <c r="C32" i="15" s="1"/>
  <c r="E31" i="15" l="1"/>
  <c r="M31" i="15" s="1"/>
  <c r="F31" i="15" s="1"/>
  <c r="L32" i="15"/>
  <c r="E32" i="15" s="1"/>
  <c r="D32" i="15" l="1"/>
  <c r="C33" i="15" s="1"/>
  <c r="M32" i="15" l="1"/>
  <c r="F32" i="15" s="1"/>
  <c r="L33" i="15"/>
  <c r="E33" i="15" s="1"/>
  <c r="D33" i="15" l="1"/>
  <c r="C34" i="15" s="1"/>
  <c r="M33" i="15" l="1"/>
  <c r="F33" i="15" s="1"/>
  <c r="L34" i="15"/>
  <c r="E34" i="15" s="1"/>
  <c r="D34" i="15" l="1"/>
  <c r="C35" i="15" s="1"/>
  <c r="M34" i="15" l="1"/>
  <c r="F34" i="15" s="1"/>
  <c r="L35" i="15"/>
  <c r="E35" i="15" s="1"/>
  <c r="D35" i="15" l="1"/>
  <c r="C36" i="15" s="1"/>
  <c r="M35" i="15" l="1"/>
  <c r="F35" i="15" s="1"/>
  <c r="L36" i="15"/>
  <c r="E36" i="15" s="1"/>
  <c r="D36" i="15" l="1"/>
  <c r="C37" i="15" s="1"/>
  <c r="M36" i="15" l="1"/>
  <c r="F36" i="15" s="1"/>
  <c r="L37" i="15"/>
  <c r="E37" i="15" s="1"/>
  <c r="D37" i="15" l="1"/>
  <c r="M37" i="15" s="1"/>
  <c r="F37" i="15" s="1"/>
  <c r="C38" i="15" l="1"/>
  <c r="L38" i="15" s="1"/>
  <c r="E38" i="15" s="1"/>
  <c r="D38" i="15" l="1"/>
  <c r="M38" i="15" s="1"/>
  <c r="F38" i="15" s="1"/>
  <c r="C39" i="15" l="1"/>
  <c r="L39" i="15" s="1"/>
  <c r="E39" i="15" s="1"/>
  <c r="D39" i="15" l="1"/>
  <c r="C40" i="15" s="1"/>
  <c r="M39" i="15" l="1"/>
  <c r="F39" i="15" s="1"/>
  <c r="L40" i="15"/>
  <c r="E40" i="15" s="1"/>
  <c r="D40" i="15" l="1"/>
  <c r="C41" i="15" s="1"/>
  <c r="M40" i="15" l="1"/>
  <c r="F40" i="15" s="1"/>
  <c r="L41" i="15"/>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F10" i="16" l="1"/>
  <c r="D9" i="16"/>
  <c r="C10" i="16" l="1"/>
  <c r="F11" i="16"/>
  <c r="F12" i="16" l="1"/>
  <c r="E10" i="16"/>
  <c r="D10" i="16" l="1"/>
  <c r="F13" i="16"/>
  <c r="F14" i="16" l="1"/>
  <c r="C11" i="16"/>
  <c r="E11" i="16" l="1"/>
  <c r="F15" i="16"/>
  <c r="D11" i="16" l="1"/>
  <c r="F16" i="16"/>
  <c r="F17" i="16" l="1"/>
  <c r="C12" i="16"/>
  <c r="E12" i="16" l="1"/>
  <c r="F18" i="16"/>
  <c r="F19" i="16" l="1"/>
  <c r="D12"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F20" i="16" l="1"/>
  <c r="F21" i="16" l="1"/>
  <c r="D20" i="16"/>
  <c r="C21" i="16" l="1"/>
  <c r="E21" i="16" l="1"/>
  <c r="F22" i="16"/>
  <c r="D21" i="16" l="1"/>
  <c r="F23" i="16" l="1"/>
  <c r="C22" i="16"/>
  <c r="F24" i="16" l="1"/>
  <c r="E22" i="16"/>
  <c r="D22" i="16" l="1"/>
  <c r="F25" i="16" l="1"/>
  <c r="C23" i="16"/>
  <c r="E23" i="16" l="1"/>
  <c r="D23" i="16" l="1"/>
  <c r="F26" i="16"/>
  <c r="B90" i="1" s="1"/>
  <c r="F8" i="12" l="1"/>
  <c r="A24" i="3"/>
  <c r="A23" i="3"/>
  <c r="C24" i="16"/>
  <c r="A22" i="3" l="1"/>
  <c r="D8" i="12"/>
  <c r="C9" i="12" s="1"/>
  <c r="F9" i="12"/>
  <c r="E24" i="16"/>
  <c r="F27" i="16"/>
  <c r="F10" i="12" l="1"/>
  <c r="E9" i="12"/>
  <c r="D9" i="12" s="1"/>
  <c r="C10" i="12" s="1"/>
  <c r="D24" i="16"/>
  <c r="F28" i="16"/>
  <c r="E10" i="12" l="1"/>
  <c r="D10" i="12" s="1"/>
  <c r="C11" i="12" s="1"/>
  <c r="F11" i="12"/>
  <c r="F29" i="16"/>
  <c r="C25" i="16"/>
  <c r="E11" i="12" l="1"/>
  <c r="D11" i="12" s="1"/>
  <c r="C12" i="12" s="1"/>
  <c r="F12" i="12"/>
  <c r="F30" i="16"/>
  <c r="E25" i="16"/>
  <c r="E12" i="12" l="1"/>
  <c r="D12" i="12" s="1"/>
  <c r="C13" i="12" s="1"/>
  <c r="F13" i="12"/>
  <c r="D25" i="16"/>
  <c r="E13" i="12" l="1"/>
  <c r="D13" i="12" s="1"/>
  <c r="C14" i="12" s="1"/>
  <c r="F14" i="12"/>
  <c r="C26" i="16"/>
  <c r="F31" i="16"/>
  <c r="E14" i="12" l="1"/>
  <c r="D14" i="12" s="1"/>
  <c r="C15" i="12" s="1"/>
  <c r="F15" i="12"/>
  <c r="E26" i="16"/>
  <c r="E15" i="12" l="1"/>
  <c r="D15" i="12" s="1"/>
  <c r="C16" i="12" s="1"/>
  <c r="F16" i="12"/>
  <c r="D26" i="16"/>
  <c r="E16" i="12" l="1"/>
  <c r="D16" i="12" s="1"/>
  <c r="C17" i="12" s="1"/>
  <c r="F17" i="12"/>
  <c r="C27" i="16"/>
  <c r="E17" i="12" l="1"/>
  <c r="D17" i="12" s="1"/>
  <c r="C18" i="12" s="1"/>
  <c r="F18" i="12"/>
  <c r="E27" i="16"/>
  <c r="E18" i="12" l="1"/>
  <c r="D18" i="12" s="1"/>
  <c r="C19" i="12" s="1"/>
  <c r="D27" i="16"/>
  <c r="E19" i="12" l="1"/>
  <c r="E20" i="16" s="1"/>
  <c r="C63" i="1" s="1"/>
  <c r="C60" i="1" s="1"/>
  <c r="C28" i="16"/>
  <c r="E28" i="16" l="1"/>
  <c r="F19" i="12" l="1"/>
  <c r="D19" i="12" s="1"/>
  <c r="C20" i="12" s="1"/>
  <c r="E20" i="12" s="1"/>
  <c r="D28" i="16"/>
  <c r="F20" i="12" l="1"/>
  <c r="D20" i="12" s="1"/>
  <c r="C21" i="12" s="1"/>
  <c r="E21" i="12" s="1"/>
  <c r="C29" i="16"/>
  <c r="F21" i="12" l="1"/>
  <c r="D21" i="12" s="1"/>
  <c r="C22" i="12" s="1"/>
  <c r="E22" i="12" s="1"/>
  <c r="E29" i="16"/>
  <c r="F22" i="12" l="1"/>
  <c r="D22" i="12" s="1"/>
  <c r="C23" i="12" s="1"/>
  <c r="E23" i="12" s="1"/>
  <c r="D29" i="16"/>
  <c r="F23" i="12" l="1"/>
  <c r="D23" i="12" s="1"/>
  <c r="C24" i="12" s="1"/>
  <c r="E24" i="12" s="1"/>
  <c r="C30" i="16"/>
  <c r="F24" i="12" l="1"/>
  <c r="D24" i="12" s="1"/>
  <c r="C25" i="12" s="1"/>
  <c r="E25" i="12" s="1"/>
  <c r="E30" i="16"/>
  <c r="F25" i="12" l="1"/>
  <c r="D25" i="12" s="1"/>
  <c r="C26" i="12" s="1"/>
  <c r="E26" i="12" s="1"/>
  <c r="D30" i="16"/>
  <c r="F26" i="12" l="1"/>
  <c r="D26" i="12" s="1"/>
  <c r="C27" i="12" s="1"/>
  <c r="E27" i="12" s="1"/>
  <c r="C31" i="16"/>
  <c r="F27" i="12" l="1"/>
  <c r="D27" i="12" s="1"/>
  <c r="C28" i="12" s="1"/>
  <c r="E31" i="16"/>
  <c r="E28" i="12" l="1"/>
  <c r="D31" i="16"/>
  <c r="F28" i="12" l="1"/>
  <c r="D28" i="12" s="1"/>
  <c r="C29" i="12" s="1"/>
  <c r="E29" i="12" s="1"/>
  <c r="C32" i="16"/>
  <c r="F29" i="12" l="1"/>
  <c r="D29" i="12" s="1"/>
  <c r="C30" i="12" s="1"/>
  <c r="E32" i="16"/>
  <c r="F32" i="16"/>
  <c r="E30" i="12" l="1"/>
  <c r="D32" i="16"/>
  <c r="F30" i="12" l="1"/>
  <c r="D30" i="12" s="1"/>
  <c r="C31" i="12" s="1"/>
  <c r="E31" i="12" s="1"/>
  <c r="C33" i="16"/>
  <c r="F33" i="16"/>
  <c r="D33" i="16" l="1"/>
  <c r="F34" i="16"/>
  <c r="C34" i="16" l="1"/>
  <c r="F35" i="16"/>
  <c r="E34" i="16" l="1"/>
  <c r="F36" i="16"/>
  <c r="D34" i="16" l="1"/>
  <c r="F37" i="16"/>
  <c r="C35" i="16" l="1"/>
  <c r="E35" i="16" l="1"/>
  <c r="D35" i="16" l="1"/>
  <c r="C36" i="16" l="1"/>
  <c r="E36" i="16" l="1"/>
  <c r="D36" i="16" l="1"/>
  <c r="C37" i="16" l="1"/>
  <c r="E37" i="16" l="1"/>
  <c r="D37" i="16" l="1"/>
  <c r="C38" i="16" l="1"/>
  <c r="D38" i="16" l="1"/>
  <c r="C39" i="16" l="1"/>
  <c r="C40" i="16" l="1"/>
  <c r="D39" i="16"/>
  <c r="E39" i="16"/>
  <c r="D40" i="16" l="1"/>
  <c r="F39" i="16"/>
  <c r="C41" i="16" l="1"/>
  <c r="C42" i="16" l="1"/>
  <c r="D41" i="16"/>
  <c r="E41" i="16"/>
  <c r="D42" i="16" l="1"/>
  <c r="F41" i="16"/>
  <c r="C43" i="16" l="1"/>
  <c r="C44" i="16" l="1"/>
  <c r="D43" i="16"/>
  <c r="E43" i="16"/>
  <c r="F43" i="16" l="1"/>
  <c r="D44" i="16"/>
  <c r="D45" i="16" s="1"/>
  <c r="E33" i="16" l="1"/>
  <c r="E38" i="16"/>
  <c r="E40" i="16"/>
  <c r="E42" i="16"/>
  <c r="E44" i="16"/>
  <c r="F44" i="16"/>
  <c r="F38" i="16"/>
  <c r="F40" i="16"/>
  <c r="F42" i="16"/>
  <c r="F45" i="16" l="1"/>
  <c r="E45" i="16"/>
  <c r="F31" i="12" l="1"/>
  <c r="D31" i="12" s="1"/>
  <c r="C32" i="12" s="1"/>
  <c r="E32" i="12" l="1"/>
  <c r="F32" i="12" l="1"/>
  <c r="D32" i="12" s="1"/>
  <c r="C33" i="12" s="1"/>
  <c r="E33" i="12" s="1"/>
  <c r="F33" i="12" l="1"/>
  <c r="D33" i="12" s="1"/>
  <c r="C34" i="12" s="1"/>
  <c r="E34" i="12" l="1"/>
  <c r="F34" i="12" l="1"/>
  <c r="D34" i="12" s="1"/>
  <c r="C35" i="12" s="1"/>
  <c r="E35" i="12" s="1"/>
  <c r="F35" i="12" l="1"/>
  <c r="D35" i="12" s="1"/>
  <c r="C36" i="12" s="1"/>
  <c r="E36" i="12" s="1"/>
  <c r="F36" i="12" l="1"/>
  <c r="D36" i="12" s="1"/>
  <c r="C37" i="12" s="1"/>
  <c r="E37" i="12" s="1"/>
  <c r="D37" i="12"/>
  <c r="F37" i="12" s="1"/>
  <c r="C38" i="12" l="1"/>
  <c r="E38" i="12" l="1"/>
  <c r="D38" i="12"/>
  <c r="F38" i="12" l="1"/>
  <c r="C39" i="12"/>
  <c r="E39" i="12" l="1"/>
  <c r="D39" i="12"/>
  <c r="F39" i="12" l="1"/>
  <c r="C40" i="12"/>
  <c r="E40" i="12" l="1"/>
  <c r="D40" i="12"/>
  <c r="F40" i="12" l="1"/>
  <c r="C41" i="12"/>
  <c r="E41" i="12" l="1"/>
  <c r="D41" i="12"/>
  <c r="C42" i="12" s="1"/>
  <c r="D42" i="12" l="1"/>
  <c r="E42" i="12"/>
  <c r="F41" i="12"/>
  <c r="F42" i="12" l="1"/>
  <c r="C43" i="12"/>
  <c r="D43" i="12" l="1"/>
  <c r="E43" i="12"/>
  <c r="E44" i="12" s="1"/>
  <c r="F43" i="12" l="1"/>
  <c r="F44" i="12" s="1"/>
  <c r="D44" i="12"/>
</calcChain>
</file>

<file path=xl/sharedStrings.xml><?xml version="1.0" encoding="utf-8"?>
<sst xmlns="http://schemas.openxmlformats.org/spreadsheetml/2006/main" count="595" uniqueCount="435">
  <si>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</si>
  <si>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</si>
  <si>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</si>
  <si>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</si>
  <si>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</si>
  <si>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</si>
  <si>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</si>
  <si>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</si>
  <si>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</si>
  <si>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</si>
  <si>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</si>
  <si>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</si>
  <si>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</si>
  <si>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</si>
  <si>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</si>
  <si>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</si>
  <si>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</si>
  <si>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</si>
  <si>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</si>
  <si>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</si>
  <si>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</si>
  <si>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</si>
  <si>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</si>
  <si>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</si>
  <si>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</si>
  <si>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</si>
  <si>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</si>
  <si>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</si>
  <si>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</si>
  <si>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</si>
  <si>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</si>
  <si>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</si>
  <si>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</si>
  <si>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</si>
  <si>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</si>
  <si>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</si>
  <si>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</si>
  <si>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</si>
  <si>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</si>
  <si>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</si>
  <si>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</si>
  <si>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</si>
  <si>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</si>
  <si>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</si>
  <si>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</si>
  <si>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</si>
  <si>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</si>
  <si>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</si>
  <si>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</si>
  <si>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</si>
  <si>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</si>
  <si>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</si>
  <si>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</si>
  <si>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</si>
  <si>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</si>
  <si>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</si>
  <si>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</si>
  <si>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</si>
  <si>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</si>
  <si>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</si>
  <si>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</si>
  <si>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</si>
  <si>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</si>
  <si>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</si>
  <si>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</si>
  <si>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</si>
  <si>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</si>
  <si>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</si>
  <si>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</si>
  <si>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</si>
  <si>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</si>
  <si>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</si>
  <si>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</si>
  <si>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</si>
  <si>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</si>
  <si>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</si>
  <si>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</si>
  <si>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</si>
  <si>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</si>
  <si>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</si>
  <si>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</si>
  <si>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</si>
  <si>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</si>
  <si>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</si>
  <si>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</si>
  <si>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</si>
  <si>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</si>
  <si>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</si>
  <si>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</si>
  <si>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</si>
  <si>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</si>
  <si>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</si>
  <si>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</si>
  <si>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</si>
  <si>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</si>
  <si>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</si>
  <si>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</si>
  <si>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</si>
  <si>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</si>
  <si>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</si>
  <si>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</si>
  <si>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</si>
  <si>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</si>
  <si>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</si>
  <si>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</si>
  <si>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</si>
  <si>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</si>
  <si>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</si>
  <si>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</si>
  <si>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</si>
  <si>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</si>
  <si>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</si>
  <si>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</si>
  <si>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</si>
  <si>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</si>
  <si>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</si>
  <si>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</si>
  <si>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</si>
  <si>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</si>
  <si>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</si>
  <si>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</si>
  <si>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</si>
  <si>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</si>
  <si>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</si>
  <si>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</si>
  <si>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</si>
  <si>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</si>
  <si>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</si>
  <si>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</si>
  <si>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</si>
  <si>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</si>
  <si>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</si>
  <si>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</si>
  <si>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</si>
  <si>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</si>
  <si>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</si>
  <si>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</si>
  <si>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</si>
  <si>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</si>
  <si>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</si>
  <si>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</si>
  <si>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</si>
  <si>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</si>
  <si>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</si>
  <si>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</si>
  <si>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</si>
  <si>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</si>
  <si>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</si>
  <si>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</si>
  <si>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</si>
  <si>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</si>
  <si>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</si>
  <si>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</si>
  <si>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</si>
  <si>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</si>
  <si>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</si>
  <si>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</si>
  <si>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</si>
  <si>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</si>
  <si>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</si>
  <si>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</si>
  <si>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</si>
  <si>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</si>
  <si>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</si>
  <si>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</si>
  <si>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</si>
  <si>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</si>
  <si>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</si>
  <si>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</si>
  <si>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</si>
  <si>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</si>
  <si>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</si>
  <si>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</si>
  <si>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</si>
  <si>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</si>
  <si>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</si>
  <si>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</si>
  <si>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</si>
  <si>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</si>
  <si>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</si>
  <si>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</si>
  <si>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</si>
  <si>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</si>
  <si>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</si>
  <si>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</si>
  <si>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</si>
  <si>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</si>
  <si>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Kreditlash bo’limi boshlig’i</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</si>
  <si>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</si>
  <si>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</si>
  <si>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</si>
  <si>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</si>
  <si>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</si>
  <si>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</si>
  <si>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</si>
  <si>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</si>
  <si>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</si>
  <si>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</si>
  <si>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</si>
  <si>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</si>
  <si>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</si>
  <si>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</si>
  <si>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</si>
  <si>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</si>
  <si>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</si>
  <si>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</si>
  <si>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</si>
  <si>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</si>
  <si>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</si>
  <si>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</si>
  <si>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</si>
  <si>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</si>
  <si>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</si>
  <si>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</si>
  <si>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</si>
  <si>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</si>
  <si>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</si>
  <si>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</si>
  <si>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</si>
  <si>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</si>
  <si>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</si>
  <si>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</si>
  <si>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</si>
  <si>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</si>
  <si>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</si>
  <si>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</si>
  <si>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</si>
  <si>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</si>
  <si>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</si>
  <si>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</si>
  <si>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</si>
  <si>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</si>
  <si>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</si>
  <si>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</si>
  <si>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</si>
  <si>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</si>
  <si>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</si>
  <si>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</si>
  <si>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</si>
  <si>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</si>
  <si>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</si>
  <si>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</si>
  <si>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</si>
  <si>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</si>
  <si>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</si>
  <si>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</si>
  <si>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</si>
  <si>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</si>
  <si>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</si>
  <si>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</si>
  <si>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</si>
  <si>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</si>
  <si>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</si>
  <si>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</si>
  <si>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</si>
  <si>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</si>
  <si>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</si>
  <si>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</si>
  <si>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</si>
  <si>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</si>
  <si>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</si>
  <si>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</si>
  <si>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</si>
  <si>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</si>
  <si>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</si>
  <si>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</si>
  <si>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</si>
  <si>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</si>
  <si>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</si>
  <si>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</si>
  <si>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</si>
  <si>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</si>
  <si>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</si>
  <si>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</si>
  <si>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</si>
  <si>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</si>
  <si>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</si>
  <si>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</si>
  <si>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</si>
  <si>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</si>
  <si>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</si>
  <si>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</si>
  <si>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</si>
  <si>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</si>
  <si>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</si>
  <si>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</si>
  <si>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</si>
  <si>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</si>
  <si>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</si>
  <si>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</si>
  <si>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</si>
  <si>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</si>
  <si>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</si>
  <si>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</si>
  <si>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</si>
  <si>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</si>
  <si>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</si>
  <si>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</si>
  <si>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</si>
  <si>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</si>
  <si>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</si>
  <si>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</si>
  <si>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</si>
  <si>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</si>
  <si>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</si>
  <si>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</si>
  <si>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</si>
  <si>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</si>
  <si>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</si>
  <si>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</si>
  <si>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</si>
  <si>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</si>
  <si>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</si>
  <si>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</si>
  <si>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</si>
  <si>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</si>
  <si>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</si>
  <si>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</si>
  <si>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</si>
  <si>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</si>
  <si>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</si>
  <si>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</si>
  <si>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</si>
  <si>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</si>
  <si>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</si>
  <si>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</si>
  <si>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</si>
  <si>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</si>
  <si>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</si>
  <si>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</si>
  <si>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</si>
  <si>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</si>
  <si>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</si>
  <si>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</si>
  <si>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</si>
  <si>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</si>
  <si>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</si>
  <si>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</si>
  <si>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</si>
  <si>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</si>
  <si>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</si>
  <si>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</si>
  <si>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</si>
  <si>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</si>
  <si>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</si>
  <si>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</si>
  <si>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</si>
  <si>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</si>
  <si>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</si>
  <si>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</si>
  <si>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</si>
  <si>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</si>
  <si>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</si>
  <si>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</si>
  <si>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</si>
  <si>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</si>
  <si>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</si>
  <si>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</si>
  <si>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</si>
  <si>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</si>
  <si>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</si>
  <si>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</si>
  <si>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</si>
  <si>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</si>
  <si>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</si>
  <si>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</si>
  <si>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</si>
  <si>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</si>
  <si>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</si>
  <si>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</si>
  <si>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</si>
  <si>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</si>
  <si>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</si>
  <si>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</si>
  <si>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</si>
  <si>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</si>
  <si>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</si>
  <si>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</si>
  <si>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</si>
  <si>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</si>
  <si>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</si>
  <si>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</si>
  <si>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</si>
  <si>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</si>
  <si>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</si>
  <si>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</si>
  <si>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</si>
  <si>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</si>
  <si>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</si>
  <si>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</si>
  <si>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Egamberdiyeva D.I.</t>
  </si>
  <si>
    <t>Egamberdiyeva Dilnora Inayatovna</t>
  </si>
  <si>
    <t>24 ойга факат 10 числодан бошлаб!!!</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</si>
  <si>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</si>
  <si>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1. Abduraximov N.K.</t>
  </si>
  <si>
    <t>Abduraximov N.K.</t>
  </si>
  <si>
    <t>Йиллик фойз 50 фойздан утиб кетмаслиги керак</t>
  </si>
  <si>
    <t>60</t>
  </si>
  <si>
    <t>Oltmish</t>
  </si>
  <si>
    <t>Qorako'l filiali boshlig'i</t>
  </si>
  <si>
    <t>RO'ZIYEV NURALI CHORIYEVICH</t>
  </si>
  <si>
    <t>Jumanazarov B.T.</t>
  </si>
  <si>
    <t>100</t>
  </si>
  <si>
    <t>bir yuz</t>
  </si>
  <si>
    <t>QORAKO'L TUMANI</t>
  </si>
  <si>
    <t>Mominov B.X.</t>
  </si>
  <si>
    <t>06.03.2025</t>
  </si>
  <si>
    <t>1-TRO' VA IOB (JONDOR)</t>
  </si>
  <si>
    <t>SHUKUROV OTABEK SHOKIROVICH</t>
  </si>
  <si>
    <t>SHUKUROV O.SH</t>
  </si>
  <si>
    <t>04.09.1986y</t>
  </si>
  <si>
    <t>AD9358147</t>
  </si>
  <si>
    <t>IIV 6230</t>
  </si>
  <si>
    <t xml:space="preserve">BUXORO VILOYATI QORAKO'L TUMANI JIG'ACHI MFY </t>
  </si>
  <si>
    <t>94 125-49-00 O'ZI</t>
  </si>
  <si>
    <t>30-MAKTAB</t>
  </si>
  <si>
    <t>93 653-50-54 OTASI</t>
  </si>
  <si>
    <t>93 264-50-54  ONASI</t>
  </si>
  <si>
    <t>SHUKUROV SHOKIR ABDIKARIMOVICH</t>
  </si>
  <si>
    <t>SHUKUROV SH.A</t>
  </si>
  <si>
    <t>25.09.1962y</t>
  </si>
  <si>
    <t>AE1296123</t>
  </si>
  <si>
    <t>IIV 6230 21.01.2025Y</t>
  </si>
  <si>
    <t xml:space="preserve">QORAKO'L TUMANI JIG'ACHI MFY </t>
  </si>
  <si>
    <t>AAG 0819754 24.01.2023y.</t>
  </si>
  <si>
    <t>COBALT</t>
  </si>
  <si>
    <t>80J851UA</t>
  </si>
  <si>
    <t>YENGIL SEDAN</t>
  </si>
  <si>
    <t>B15D211163492DJX0086</t>
  </si>
  <si>
    <t>XWBJF69VEGA010899</t>
  </si>
  <si>
    <t>2016</t>
  </si>
  <si>
    <t>№544-QR</t>
  </si>
  <si>
    <t>OQ OLIMPIYSKAYA BELAYA</t>
  </si>
  <si>
    <t>RAKAMSIZ</t>
  </si>
  <si>
    <t>Mijoz quyidagi majburiyatlarga ega: TOShKENT Sh., "BIZNESNI RIVOJLANTIRISh BANKI" ATB 77 845 833.00 so'm. Ayni paytda muddati o'tgan qarzdorligi mavjud emas. O‘rtacha oylik to‘lov 1 162 291.85 so‘mni tashkil qiladi.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</si>
</sst>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sz val="11"/>
      <color rgb="FF333333"/>
      <name val="Arial"/>
      <family val="2"/>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sz val="11"/>
      <color theme="0"/>
      <name val="Arial"/>
      <family val="2"/>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276">
    <xf numFmtId="0" fontId="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54" fillId="0" borderId="0">
      <alignment vertical="center"/>
    </xf>
    <xf numFmtId="0" fontId="54" fillId="0" borderId="0">
      <alignment vertical="center"/>
    </xf>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348">
    <xf numFmtId="0" fontId="0" fillId="0" borderId="0" xfId="0"/>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6" fillId="2" borderId="1" xfId="0" applyFont="1" applyFill="1" applyBorder="1" applyAlignment="1">
      <alignment vertical="center" wrapText="1"/>
    </xf>
    <xf numFmtId="165" fontId="5" fillId="0" borderId="1" xfId="0" applyNumberFormat="1" applyFont="1" applyBorder="1" applyAlignment="1">
      <alignment vertical="center" wrapText="1"/>
    </xf>
    <xf numFmtId="43" fontId="5"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5"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5" fillId="4" borderId="1" xfId="0" applyFont="1" applyFill="1" applyBorder="1" applyAlignment="1">
      <alignment vertical="center" wrapText="1"/>
    </xf>
    <xf numFmtId="0" fontId="14" fillId="0" borderId="0" xfId="0" applyFont="1" applyAlignment="1">
      <alignment horizontal="center" vertical="center" wrapText="1"/>
    </xf>
    <xf numFmtId="43" fontId="26" fillId="0" borderId="1" xfId="1" applyFont="1" applyBorder="1"/>
    <xf numFmtId="43" fontId="5"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5"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165" fontId="5" fillId="2" borderId="1" xfId="0" applyNumberFormat="1" applyFont="1" applyFill="1" applyBorder="1" applyAlignment="1">
      <alignment vertical="center" wrapText="1"/>
    </xf>
    <xf numFmtId="0" fontId="5"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5" fillId="4" borderId="3" xfId="1" applyFont="1" applyFill="1" applyBorder="1" applyAlignment="1">
      <alignment vertical="center" wrapText="1"/>
    </xf>
    <xf numFmtId="0" fontId="6" fillId="2" borderId="1" xfId="0" applyFont="1" applyFill="1" applyBorder="1" applyAlignment="1">
      <alignment horizontal="righ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5" fillId="6" borderId="1" xfId="0" applyFont="1" applyFill="1" applyBorder="1" applyAlignment="1">
      <alignment vertical="center" wrapText="1"/>
    </xf>
    <xf numFmtId="165" fontId="5" fillId="2" borderId="1" xfId="0" applyNumberFormat="1" applyFont="1" applyFill="1" applyBorder="1" applyAlignment="1">
      <alignment horizontal="left" vertical="center" wrapText="1"/>
    </xf>
    <xf numFmtId="14" fontId="5" fillId="6" borderId="1" xfId="0" applyNumberFormat="1" applyFont="1" applyFill="1" applyBorder="1" applyAlignment="1">
      <alignment vertical="center" wrapText="1"/>
    </xf>
    <xf numFmtId="165" fontId="5" fillId="6" borderId="1" xfId="0" applyNumberFormat="1" applyFont="1" applyFill="1" applyBorder="1" applyAlignment="1">
      <alignment vertical="center" wrapText="1"/>
    </xf>
    <xf numFmtId="0" fontId="5" fillId="7" borderId="1" xfId="0" applyFont="1" applyFill="1" applyBorder="1" applyAlignment="1">
      <alignment vertical="center" wrapText="1"/>
    </xf>
    <xf numFmtId="9" fontId="5" fillId="7" borderId="1" xfId="0" applyNumberFormat="1" applyFont="1" applyFill="1" applyBorder="1" applyAlignment="1">
      <alignment vertical="center" wrapText="1"/>
    </xf>
    <xf numFmtId="49" fontId="5" fillId="7" borderId="1" xfId="1" applyNumberFormat="1" applyFont="1" applyFill="1" applyBorder="1" applyAlignment="1">
      <alignment vertical="center" wrapText="1"/>
    </xf>
    <xf numFmtId="40" fontId="5" fillId="7" borderId="1" xfId="1" applyNumberFormat="1" applyFont="1" applyFill="1" applyBorder="1" applyAlignment="1">
      <alignment vertical="center" wrapText="1"/>
    </xf>
    <xf numFmtId="0" fontId="6" fillId="2" borderId="1" xfId="0" applyFont="1" applyFill="1" applyBorder="1" applyAlignment="1">
      <alignment horizontal="center" vertical="center" wrapText="1"/>
    </xf>
    <xf numFmtId="49" fontId="5"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5" fillId="3" borderId="1" xfId="0" applyFont="1" applyFill="1" applyBorder="1" applyAlignment="1">
      <alignment horizontal="center" vertical="center" wrapText="1"/>
    </xf>
    <xf numFmtId="0" fontId="13" fillId="0" borderId="0" xfId="0" applyFont="1" applyAlignment="1">
      <alignment vertical="top"/>
    </xf>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5" fillId="4" borderId="1" xfId="0" applyNumberFormat="1" applyFont="1" applyFill="1" applyBorder="1" applyAlignment="1">
      <alignment vertical="center" wrapText="1"/>
    </xf>
    <xf numFmtId="0" fontId="13" fillId="0" borderId="0" xfId="0" applyFont="1" applyAlignment="1">
      <alignment horizontal="right"/>
    </xf>
    <xf numFmtId="0" fontId="6" fillId="6" borderId="1" xfId="0" applyFont="1" applyFill="1" applyBorder="1" applyAlignment="1">
      <alignment horizontal="left" vertical="center" wrapText="1"/>
    </xf>
    <xf numFmtId="0" fontId="6" fillId="6" borderId="1" xfId="0" applyFont="1" applyFill="1" applyBorder="1" applyAlignment="1">
      <alignment vertical="center" wrapText="1"/>
    </xf>
    <xf numFmtId="11" fontId="5"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0" fontId="5"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5" fillId="4" borderId="1" xfId="0" applyNumberFormat="1" applyFont="1" applyFill="1" applyBorder="1" applyAlignment="1">
      <alignment vertical="center" wrapText="1"/>
    </xf>
    <xf numFmtId="0" fontId="16" fillId="0" borderId="0" xfId="0" applyFont="1" applyAlignment="1">
      <alignment horizontal="center" vertical="top" wrapText="1"/>
    </xf>
    <xf numFmtId="0" fontId="41" fillId="2" borderId="1" xfId="0" applyFont="1" applyFill="1" applyBorder="1" applyAlignment="1">
      <alignment vertical="center" wrapText="1"/>
    </xf>
    <xf numFmtId="0" fontId="5" fillId="9" borderId="1" xfId="0" applyFont="1" applyFill="1" applyBorder="1" applyAlignment="1">
      <alignment vertical="center" wrapText="1"/>
    </xf>
    <xf numFmtId="0" fontId="3" fillId="0" borderId="0" xfId="0" applyFont="1"/>
    <xf numFmtId="0" fontId="42" fillId="0" borderId="0" xfId="0" applyFont="1" applyAlignment="1">
      <alignment vertical="center"/>
    </xf>
    <xf numFmtId="0" fontId="43" fillId="0" borderId="0" xfId="0" applyFont="1" applyAlignment="1">
      <alignment wrapText="1"/>
    </xf>
    <xf numFmtId="0" fontId="7" fillId="0" borderId="0" xfId="0" applyFont="1" applyAlignment="1">
      <alignment wrapText="1"/>
    </xf>
    <xf numFmtId="0" fontId="45" fillId="0" borderId="0" xfId="0" applyFont="1"/>
    <xf numFmtId="0" fontId="46"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1"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44" fillId="0" borderId="0" xfId="0" applyFont="1" applyAlignment="1">
      <alignment vertical="top" wrapText="1"/>
    </xf>
    <xf numFmtId="0" fontId="44" fillId="0" borderId="4" xfId="0" applyFont="1" applyBorder="1" applyAlignment="1">
      <alignment vertical="top" wrapText="1"/>
    </xf>
    <xf numFmtId="0" fontId="44" fillId="0" borderId="18" xfId="0" applyFont="1" applyBorder="1" applyAlignment="1">
      <alignment vertical="top" wrapText="1"/>
    </xf>
    <xf numFmtId="0" fontId="29" fillId="0" borderId="18" xfId="0" applyFont="1" applyBorder="1" applyAlignment="1">
      <alignment horizontal="justify" vertical="top" wrapText="1"/>
    </xf>
    <xf numFmtId="0" fontId="5" fillId="5" borderId="1" xfId="0" applyFont="1" applyFill="1" applyBorder="1" applyAlignment="1">
      <alignment vertical="center" wrapText="1"/>
    </xf>
    <xf numFmtId="0" fontId="13" fillId="0" borderId="0" xfId="0" applyFont="1" applyAlignment="1">
      <alignment horizontal="left"/>
    </xf>
    <xf numFmtId="0" fontId="8" fillId="0" borderId="0" xfId="0" applyFont="1" applyAlignment="1">
      <alignment horizontal="right" wrapText="1"/>
    </xf>
    <xf numFmtId="14" fontId="5" fillId="3" borderId="1" xfId="0" applyNumberFormat="1" applyFont="1" applyFill="1" applyBorder="1" applyAlignment="1">
      <alignment horizontal="center" vertical="center" wrapText="1"/>
    </xf>
    <xf numFmtId="0" fontId="49" fillId="2" borderId="1" xfId="0" applyFont="1" applyFill="1" applyBorder="1" applyAlignment="1">
      <alignment horizontal="left" vertical="center" wrapText="1"/>
    </xf>
    <xf numFmtId="0" fontId="49"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50" fillId="4" borderId="1" xfId="0" applyFont="1" applyFill="1" applyBorder="1" applyAlignment="1">
      <alignment vertical="center" wrapText="1"/>
    </xf>
    <xf numFmtId="0" fontId="52" fillId="4" borderId="1" xfId="0" applyFont="1" applyFill="1" applyBorder="1" applyAlignment="1">
      <alignment vertical="center" wrapText="1"/>
    </xf>
    <xf numFmtId="0" fontId="51" fillId="2" borderId="1" xfId="0" applyFont="1" applyFill="1" applyBorder="1" applyAlignment="1">
      <alignment vertical="center" wrapText="1"/>
    </xf>
    <xf numFmtId="0" fontId="8" fillId="0" borderId="0" xfId="0" applyFont="1" applyAlignment="1">
      <alignment wrapText="1"/>
    </xf>
    <xf numFmtId="0" fontId="49" fillId="10" borderId="2" xfId="0" applyFont="1" applyFill="1" applyBorder="1" applyAlignment="1">
      <alignment horizontal="left" vertical="center" wrapText="1"/>
    </xf>
    <xf numFmtId="0" fontId="49" fillId="10" borderId="24" xfId="0" applyFont="1" applyFill="1" applyBorder="1" applyAlignment="1">
      <alignment horizontal="left" vertical="center" wrapText="1"/>
    </xf>
    <xf numFmtId="43" fontId="52" fillId="4" borderId="1" xfId="1" applyFont="1" applyFill="1" applyBorder="1" applyAlignment="1">
      <alignment vertical="center" wrapText="1"/>
    </xf>
    <xf numFmtId="0" fontId="47" fillId="4" borderId="0" xfId="0" applyFont="1" applyFill="1" applyAlignment="1">
      <alignment horizontal="left" vertical="center" wrapText="1"/>
    </xf>
    <xf numFmtId="0" fontId="7" fillId="5" borderId="0" xfId="0" applyFont="1" applyFill="1" applyAlignment="1">
      <alignment horizontal="center" wrapText="1"/>
    </xf>
    <xf numFmtId="0" fontId="13" fillId="11" borderId="0" xfId="0" applyFont="1" applyFill="1"/>
    <xf numFmtId="0" fontId="5" fillId="10" borderId="0" xfId="0" applyFont="1" applyFill="1"/>
    <xf numFmtId="164" fontId="5" fillId="10" borderId="3" xfId="0" applyNumberFormat="1" applyFont="1" applyFill="1" applyBorder="1" applyAlignment="1">
      <alignment horizontal="left" vertical="top" wrapText="1"/>
    </xf>
    <xf numFmtId="14" fontId="5" fillId="10" borderId="0" xfId="0" applyNumberFormat="1" applyFont="1" applyFill="1"/>
    <xf numFmtId="0" fontId="55" fillId="10" borderId="16" xfId="0" applyFont="1" applyFill="1" applyBorder="1"/>
    <xf numFmtId="168" fontId="6" fillId="10" borderId="0" xfId="0" applyNumberFormat="1" applyFont="1" applyFill="1"/>
    <xf numFmtId="0" fontId="5" fillId="10" borderId="19" xfId="0" applyFont="1" applyFill="1" applyBorder="1"/>
    <xf numFmtId="0" fontId="5" fillId="10" borderId="20" xfId="0" applyFont="1" applyFill="1" applyBorder="1"/>
    <xf numFmtId="0" fontId="24" fillId="0" borderId="0" xfId="0" applyFont="1" applyAlignment="1">
      <alignment horizontal="left" vertical="top" wrapText="1"/>
    </xf>
    <xf numFmtId="0" fontId="6" fillId="10" borderId="0" xfId="0" applyFont="1" applyFill="1" applyAlignment="1">
      <alignment vertical="center" wrapText="1"/>
    </xf>
    <xf numFmtId="49" fontId="5" fillId="10" borderId="0" xfId="0" applyNumberFormat="1" applyFont="1" applyFill="1"/>
    <xf numFmtId="0" fontId="5" fillId="10" borderId="0" xfId="0" applyFont="1" applyFill="1" applyAlignment="1">
      <alignment vertical="center" wrapText="1"/>
    </xf>
    <xf numFmtId="14" fontId="9" fillId="2" borderId="1" xfId="0" applyNumberFormat="1" applyFont="1" applyFill="1" applyBorder="1" applyAlignment="1">
      <alignment horizontal="center" vertical="center" wrapText="1"/>
    </xf>
    <xf numFmtId="43" fontId="56" fillId="10" borderId="0" xfId="0" applyNumberFormat="1" applyFont="1" applyFill="1"/>
    <xf numFmtId="0" fontId="51" fillId="10" borderId="1" xfId="0" applyFont="1" applyFill="1" applyBorder="1" applyAlignment="1">
      <alignment vertical="center" wrapText="1"/>
    </xf>
    <xf numFmtId="11" fontId="5" fillId="4" borderId="1" xfId="0" applyNumberFormat="1" applyFont="1" applyFill="1" applyBorder="1" applyAlignment="1">
      <alignment horizontal="left" vertical="center" wrapText="1"/>
    </xf>
    <xf numFmtId="0" fontId="28" fillId="10" borderId="0" xfId="0" applyFont="1" applyFill="1"/>
    <xf numFmtId="10" fontId="28" fillId="10" borderId="0" xfId="275" applyNumberFormat="1" applyFont="1" applyFill="1" applyAlignment="1">
      <alignment horizontal="center"/>
    </xf>
    <xf numFmtId="0" fontId="28" fillId="10" borderId="0" xfId="0" applyFont="1" applyFill="1" applyAlignment="1">
      <alignment horizontal="center"/>
    </xf>
    <xf numFmtId="43" fontId="25" fillId="10" borderId="0" xfId="0" applyNumberFormat="1" applyFont="1" applyFill="1"/>
    <xf numFmtId="0" fontId="5" fillId="10" borderId="1" xfId="0" applyFont="1" applyFill="1" applyBorder="1"/>
    <xf numFmtId="0" fontId="5" fillId="10" borderId="1" xfId="0" applyFont="1" applyFill="1" applyBorder="1" applyAlignment="1">
      <alignment wrapText="1"/>
    </xf>
    <xf numFmtId="0" fontId="9"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5" fillId="10" borderId="1" xfId="0" applyFont="1" applyFill="1" applyBorder="1" applyAlignment="1">
      <alignment vertical="center" wrapText="1"/>
    </xf>
    <xf numFmtId="0" fontId="6" fillId="10" borderId="0" xfId="0" applyFont="1" applyFill="1" applyAlignment="1">
      <alignment vertical="center"/>
    </xf>
    <xf numFmtId="0" fontId="5" fillId="10" borderId="13" xfId="0" applyFont="1" applyFill="1" applyBorder="1" applyAlignment="1">
      <alignment vertical="center"/>
    </xf>
    <xf numFmtId="0" fontId="5" fillId="10" borderId="15" xfId="0" applyFont="1" applyFill="1" applyBorder="1" applyAlignment="1">
      <alignment vertical="center"/>
    </xf>
    <xf numFmtId="14" fontId="5" fillId="10" borderId="1" xfId="0" applyNumberFormat="1" applyFont="1" applyFill="1" applyBorder="1"/>
    <xf numFmtId="0" fontId="6" fillId="10" borderId="0" xfId="0" applyFont="1" applyFill="1"/>
    <xf numFmtId="49" fontId="5" fillId="10" borderId="1" xfId="0" applyNumberFormat="1" applyFont="1" applyFill="1" applyBorder="1"/>
    <xf numFmtId="0" fontId="6" fillId="10" borderId="0" xfId="0" applyFont="1" applyFill="1" applyAlignment="1">
      <alignment wrapText="1"/>
    </xf>
    <xf numFmtId="164" fontId="5" fillId="10" borderId="1" xfId="0" applyNumberFormat="1" applyFont="1" applyFill="1" applyBorder="1" applyAlignment="1">
      <alignment vertical="center" wrapText="1"/>
    </xf>
    <xf numFmtId="164" fontId="5" fillId="10" borderId="0" xfId="0" applyNumberFormat="1" applyFont="1" applyFill="1" applyAlignment="1">
      <alignment vertical="center" wrapText="1"/>
    </xf>
    <xf numFmtId="0" fontId="44"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3" fillId="0" borderId="0" xfId="0" applyFont="1" applyAlignment="1">
      <alignment horizontal="justify" vertical="top"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3" fillId="0" borderId="0" xfId="0" applyFont="1" applyAlignment="1">
      <alignment horizontal="center" vertical="center"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6"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8" fillId="0" borderId="0" xfId="0" applyFont="1" applyAlignment="1">
      <alignment horizontal="left"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8" fillId="0" borderId="0" xfId="0" applyFont="1" applyAlignment="1">
      <alignment horizontal="center" vertical="center"/>
    </xf>
    <xf numFmtId="0" fontId="7" fillId="0" borderId="0" xfId="0" applyFont="1" applyAlignment="1">
      <alignment horizontal="left" vertical="top" wrapText="1"/>
    </xf>
    <xf numFmtId="0" fontId="27" fillId="0" borderId="0" xfId="0" applyFont="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1" fillId="0" borderId="0" xfId="0" applyFont="1" applyAlignment="1">
      <alignment horizontal="center" vertical="top" wrapText="1"/>
    </xf>
    <xf numFmtId="0" fontId="8" fillId="0" borderId="0" xfId="0" applyFont="1" applyAlignment="1">
      <alignment horizontal="center" vertical="top" wrapText="1"/>
    </xf>
    <xf numFmtId="0" fontId="31" fillId="0" borderId="0" xfId="0" applyFont="1" applyAlignment="1">
      <alignment horizontal="left"/>
    </xf>
    <xf numFmtId="0" fontId="8" fillId="0" borderId="0" xfId="0" applyFont="1" applyAlignment="1">
      <alignment horizontal="center" wrapText="1"/>
    </xf>
    <xf numFmtId="0" fontId="53" fillId="0" borderId="0" xfId="0" applyFont="1" applyAlignment="1">
      <alignment horizontal="center" wrapText="1"/>
    </xf>
    <xf numFmtId="0" fontId="14" fillId="0" borderId="0" xfId="0" applyFont="1" applyAlignment="1">
      <alignment horizontal="left" vertical="top" wrapText="1"/>
    </xf>
    <xf numFmtId="0" fontId="14" fillId="0" borderId="0" xfId="0" applyFont="1" applyAlignment="1">
      <alignment horizontal="right"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4" fillId="0" borderId="0" xfId="0" applyFont="1" applyAlignment="1">
      <alignment horizontal="right" vertical="top" wrapText="1"/>
    </xf>
    <xf numFmtId="0" fontId="26" fillId="0" borderId="0" xfId="0" applyFont="1" applyAlignment="1">
      <alignment horizontal="righ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7" fillId="0" borderId="0" xfId="0" applyFont="1" applyAlignment="1">
      <alignment horizontal="left"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38" fillId="0" borderId="0" xfId="0" applyFont="1" applyAlignment="1">
      <alignment vertical="center" wrapText="1"/>
    </xf>
    <xf numFmtId="0" fontId="37" fillId="0" borderId="0" xfId="0" applyFont="1" applyAlignment="1">
      <alignment horizontal="justify"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37" fillId="0" borderId="0" xfId="0" applyFont="1" applyAlignment="1">
      <alignment horizontal="justify" vertical="top" wrapText="1"/>
    </xf>
    <xf numFmtId="0" fontId="13" fillId="0" borderId="0" xfId="0" applyFont="1" applyAlignment="1">
      <alignment horizontal="left"/>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0" fillId="0" borderId="0" xfId="0" applyFont="1" applyAlignment="1">
      <alignment horizontal="left" vertical="center" wrapText="1" readingOrder="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276">
    <cellStyle name="Обычный" xfId="0" builtinId="0"/>
    <cellStyle name="Обычный 10" xfId="72" xr:uid="{00000000-0005-0000-0000-000001000000}"/>
    <cellStyle name="Обычный 10 2" xfId="208" xr:uid="{00000000-0005-0000-0000-000002000000}"/>
    <cellStyle name="Обычный 11" xfId="73" xr:uid="{00000000-0005-0000-0000-000003000000}"/>
    <cellStyle name="Обычный 11 2" xfId="209" xr:uid="{00000000-0005-0000-0000-000004000000}"/>
    <cellStyle name="Обычный 2" xfId="63" xr:uid="{00000000-0005-0000-0000-000005000000}"/>
    <cellStyle name="Обычный 3" xfId="64" xr:uid="{00000000-0005-0000-0000-000006000000}"/>
    <cellStyle name="Обычный 4" xfId="66" xr:uid="{00000000-0005-0000-0000-000007000000}"/>
    <cellStyle name="Обычный 4 2" xfId="202" xr:uid="{00000000-0005-0000-0000-000008000000}"/>
    <cellStyle name="Обычный 5" xfId="67" xr:uid="{00000000-0005-0000-0000-000009000000}"/>
    <cellStyle name="Обычный 5 2" xfId="203" xr:uid="{00000000-0005-0000-0000-00000A000000}"/>
    <cellStyle name="Обычный 6" xfId="68" xr:uid="{00000000-0005-0000-0000-00000B000000}"/>
    <cellStyle name="Обычный 6 2" xfId="204" xr:uid="{00000000-0005-0000-0000-00000C000000}"/>
    <cellStyle name="Обычный 7" xfId="69" xr:uid="{00000000-0005-0000-0000-00000D000000}"/>
    <cellStyle name="Обычный 7 2" xfId="205" xr:uid="{00000000-0005-0000-0000-00000E000000}"/>
    <cellStyle name="Обычный 8" xfId="70" xr:uid="{00000000-0005-0000-0000-00000F000000}"/>
    <cellStyle name="Обычный 8 2" xfId="206" xr:uid="{00000000-0005-0000-0000-000010000000}"/>
    <cellStyle name="Обычный 9" xfId="71" xr:uid="{00000000-0005-0000-0000-000011000000}"/>
    <cellStyle name="Обычный 9 2" xfId="207" xr:uid="{00000000-0005-0000-0000-000012000000}"/>
    <cellStyle name="Процентный" xfId="275" builtinId="5"/>
    <cellStyle name="Финансовый" xfId="1" builtinId="3"/>
    <cellStyle name="Финансовый 10" xfId="125" xr:uid="{00000000-0005-0000-0000-000015000000}"/>
    <cellStyle name="Финансовый 10 2" xfId="261" xr:uid="{00000000-0005-0000-0000-000016000000}"/>
    <cellStyle name="Финансовый 11" xfId="61" xr:uid="{00000000-0005-0000-0000-000017000000}"/>
    <cellStyle name="Финансовый 11 2" xfId="199" xr:uid="{00000000-0005-0000-0000-000018000000}"/>
    <cellStyle name="Финансовый 12" xfId="49" xr:uid="{00000000-0005-0000-0000-000019000000}"/>
    <cellStyle name="Финансовый 12 2" xfId="187" xr:uid="{00000000-0005-0000-0000-00001A000000}"/>
    <cellStyle name="Финансовый 13" xfId="127" xr:uid="{00000000-0005-0000-0000-00001B000000}"/>
    <cellStyle name="Финансовый 13 2" xfId="263" xr:uid="{00000000-0005-0000-0000-00001C000000}"/>
    <cellStyle name="Финансовый 14" xfId="25" xr:uid="{00000000-0005-0000-0000-00001D000000}"/>
    <cellStyle name="Финансовый 14 2" xfId="163" xr:uid="{00000000-0005-0000-0000-00001E000000}"/>
    <cellStyle name="Финансовый 15" xfId="13" xr:uid="{00000000-0005-0000-0000-00001F000000}"/>
    <cellStyle name="Финансовый 15 2" xfId="151" xr:uid="{00000000-0005-0000-0000-000020000000}"/>
    <cellStyle name="Финансовый 16" xfId="139" xr:uid="{00000000-0005-0000-0000-000021000000}"/>
    <cellStyle name="Финансовый 2" xfId="2" xr:uid="{00000000-0005-0000-0000-000022000000}"/>
    <cellStyle name="Финансовый 2 10" xfId="62" xr:uid="{00000000-0005-0000-0000-000023000000}"/>
    <cellStyle name="Финансовый 2 10 2" xfId="200" xr:uid="{00000000-0005-0000-0000-000024000000}"/>
    <cellStyle name="Финансовый 2 11" xfId="50" xr:uid="{00000000-0005-0000-0000-000025000000}"/>
    <cellStyle name="Финансовый 2 11 2" xfId="188" xr:uid="{00000000-0005-0000-0000-000026000000}"/>
    <cellStyle name="Финансовый 2 12" xfId="128" xr:uid="{00000000-0005-0000-0000-000027000000}"/>
    <cellStyle name="Финансовый 2 12 2" xfId="264" xr:uid="{00000000-0005-0000-0000-000028000000}"/>
    <cellStyle name="Финансовый 2 13" xfId="26" xr:uid="{00000000-0005-0000-0000-000029000000}"/>
    <cellStyle name="Финансовый 2 13 2" xfId="164" xr:uid="{00000000-0005-0000-0000-00002A000000}"/>
    <cellStyle name="Финансовый 2 14" xfId="14" xr:uid="{00000000-0005-0000-0000-00002B000000}"/>
    <cellStyle name="Финансовый 2 14 2" xfId="152" xr:uid="{00000000-0005-0000-0000-00002C000000}"/>
    <cellStyle name="Финансовый 2 15" xfId="140" xr:uid="{00000000-0005-0000-0000-00002D000000}"/>
    <cellStyle name="Финансовый 2 2" xfId="4" xr:uid="{00000000-0005-0000-0000-00002E000000}"/>
    <cellStyle name="Финансовый 2 2 10" xfId="28" xr:uid="{00000000-0005-0000-0000-00002F000000}"/>
    <cellStyle name="Финансовый 2 2 10 2" xfId="166" xr:uid="{00000000-0005-0000-0000-000030000000}"/>
    <cellStyle name="Финансовый 2 2 11" xfId="16" xr:uid="{00000000-0005-0000-0000-000031000000}"/>
    <cellStyle name="Финансовый 2 2 11 2" xfId="154" xr:uid="{00000000-0005-0000-0000-000032000000}"/>
    <cellStyle name="Финансовый 2 2 12" xfId="142" xr:uid="{00000000-0005-0000-0000-000033000000}"/>
    <cellStyle name="Финансовый 2 2 2" xfId="10" xr:uid="{00000000-0005-0000-0000-000034000000}"/>
    <cellStyle name="Финансовый 2 2 2 2" xfId="46" xr:uid="{00000000-0005-0000-0000-000035000000}"/>
    <cellStyle name="Финансовый 2 2 2 2 2" xfId="104" xr:uid="{00000000-0005-0000-0000-000036000000}"/>
    <cellStyle name="Финансовый 2 2 2 2 2 2" xfId="240" xr:uid="{00000000-0005-0000-0000-000037000000}"/>
    <cellStyle name="Финансовый 2 2 2 2 3" xfId="184" xr:uid="{00000000-0005-0000-0000-000038000000}"/>
    <cellStyle name="Финансовый 2 2 2 3" xfId="116" xr:uid="{00000000-0005-0000-0000-000039000000}"/>
    <cellStyle name="Финансовый 2 2 2 3 2" xfId="252" xr:uid="{00000000-0005-0000-0000-00003A000000}"/>
    <cellStyle name="Финансовый 2 2 2 4" xfId="80" xr:uid="{00000000-0005-0000-0000-00003B000000}"/>
    <cellStyle name="Финансовый 2 2 2 4 2" xfId="216" xr:uid="{00000000-0005-0000-0000-00003C000000}"/>
    <cellStyle name="Финансовый 2 2 2 5" xfId="58" xr:uid="{00000000-0005-0000-0000-00003D000000}"/>
    <cellStyle name="Финансовый 2 2 2 5 2" xfId="196" xr:uid="{00000000-0005-0000-0000-00003E000000}"/>
    <cellStyle name="Финансовый 2 2 2 6" xfId="136" xr:uid="{00000000-0005-0000-0000-00003F000000}"/>
    <cellStyle name="Финансовый 2 2 2 6 2" xfId="272" xr:uid="{00000000-0005-0000-0000-000040000000}"/>
    <cellStyle name="Финансовый 2 2 2 7" xfId="34" xr:uid="{00000000-0005-0000-0000-000041000000}"/>
    <cellStyle name="Финансовый 2 2 2 7 2" xfId="172" xr:uid="{00000000-0005-0000-0000-000042000000}"/>
    <cellStyle name="Финансовый 2 2 2 8" xfId="22" xr:uid="{00000000-0005-0000-0000-000043000000}"/>
    <cellStyle name="Финансовый 2 2 2 8 2" xfId="160" xr:uid="{00000000-0005-0000-0000-000044000000}"/>
    <cellStyle name="Финансовый 2 2 2 9" xfId="148" xr:uid="{00000000-0005-0000-0000-000045000000}"/>
    <cellStyle name="Финансовый 2 2 3" xfId="40" xr:uid="{00000000-0005-0000-0000-000046000000}"/>
    <cellStyle name="Финансовый 2 2 3 2" xfId="122" xr:uid="{00000000-0005-0000-0000-000047000000}"/>
    <cellStyle name="Финансовый 2 2 3 2 2" xfId="258" xr:uid="{00000000-0005-0000-0000-000048000000}"/>
    <cellStyle name="Финансовый 2 2 3 3" xfId="86" xr:uid="{00000000-0005-0000-0000-000049000000}"/>
    <cellStyle name="Финансовый 2 2 3 3 2" xfId="222" xr:uid="{00000000-0005-0000-0000-00004A000000}"/>
    <cellStyle name="Финансовый 2 2 3 4" xfId="178" xr:uid="{00000000-0005-0000-0000-00004B000000}"/>
    <cellStyle name="Финансовый 2 2 4" xfId="92" xr:uid="{00000000-0005-0000-0000-00004C000000}"/>
    <cellStyle name="Финансовый 2 2 4 2" xfId="228" xr:uid="{00000000-0005-0000-0000-00004D000000}"/>
    <cellStyle name="Финансовый 2 2 5" xfId="98" xr:uid="{00000000-0005-0000-0000-00004E000000}"/>
    <cellStyle name="Финансовый 2 2 5 2" xfId="234" xr:uid="{00000000-0005-0000-0000-00004F000000}"/>
    <cellStyle name="Финансовый 2 2 6" xfId="110" xr:uid="{00000000-0005-0000-0000-000050000000}"/>
    <cellStyle name="Финансовый 2 2 6 2" xfId="246" xr:uid="{00000000-0005-0000-0000-000051000000}"/>
    <cellStyle name="Финансовый 2 2 7" xfId="65" xr:uid="{00000000-0005-0000-0000-000052000000}"/>
    <cellStyle name="Финансовый 2 2 7 2" xfId="201" xr:uid="{00000000-0005-0000-0000-000053000000}"/>
    <cellStyle name="Финансовый 2 2 8" xfId="52" xr:uid="{00000000-0005-0000-0000-000054000000}"/>
    <cellStyle name="Финансовый 2 2 8 2" xfId="190" xr:uid="{00000000-0005-0000-0000-000055000000}"/>
    <cellStyle name="Финансовый 2 2 9" xfId="130" xr:uid="{00000000-0005-0000-0000-000056000000}"/>
    <cellStyle name="Финансовый 2 2 9 2" xfId="266" xr:uid="{00000000-0005-0000-0000-000057000000}"/>
    <cellStyle name="Финансовый 2 3" xfId="6" xr:uid="{00000000-0005-0000-0000-000058000000}"/>
    <cellStyle name="Финансовый 2 3 10" xfId="30" xr:uid="{00000000-0005-0000-0000-000059000000}"/>
    <cellStyle name="Финансовый 2 3 10 2" xfId="168" xr:uid="{00000000-0005-0000-0000-00005A000000}"/>
    <cellStyle name="Финансовый 2 3 11" xfId="18" xr:uid="{00000000-0005-0000-0000-00005B000000}"/>
    <cellStyle name="Финансовый 2 3 11 2" xfId="156" xr:uid="{00000000-0005-0000-0000-00005C000000}"/>
    <cellStyle name="Финансовый 2 3 12" xfId="144" xr:uid="{00000000-0005-0000-0000-00005D000000}"/>
    <cellStyle name="Финансовый 2 3 2" xfId="12" xr:uid="{00000000-0005-0000-0000-00005E000000}"/>
    <cellStyle name="Финансовый 2 3 2 2" xfId="48" xr:uid="{00000000-0005-0000-0000-00005F000000}"/>
    <cellStyle name="Финансовый 2 3 2 2 2" xfId="106" xr:uid="{00000000-0005-0000-0000-000060000000}"/>
    <cellStyle name="Финансовый 2 3 2 2 2 2" xfId="242" xr:uid="{00000000-0005-0000-0000-000061000000}"/>
    <cellStyle name="Финансовый 2 3 2 2 3" xfId="186" xr:uid="{00000000-0005-0000-0000-000062000000}"/>
    <cellStyle name="Финансовый 2 3 2 3" xfId="118" xr:uid="{00000000-0005-0000-0000-000063000000}"/>
    <cellStyle name="Финансовый 2 3 2 3 2" xfId="254" xr:uid="{00000000-0005-0000-0000-000064000000}"/>
    <cellStyle name="Финансовый 2 3 2 4" xfId="82" xr:uid="{00000000-0005-0000-0000-000065000000}"/>
    <cellStyle name="Финансовый 2 3 2 4 2" xfId="218" xr:uid="{00000000-0005-0000-0000-000066000000}"/>
    <cellStyle name="Финансовый 2 3 2 5" xfId="60" xr:uid="{00000000-0005-0000-0000-000067000000}"/>
    <cellStyle name="Финансовый 2 3 2 5 2" xfId="198" xr:uid="{00000000-0005-0000-0000-000068000000}"/>
    <cellStyle name="Финансовый 2 3 2 6" xfId="138" xr:uid="{00000000-0005-0000-0000-000069000000}"/>
    <cellStyle name="Финансовый 2 3 2 6 2" xfId="274" xr:uid="{00000000-0005-0000-0000-00006A000000}"/>
    <cellStyle name="Финансовый 2 3 2 7" xfId="36" xr:uid="{00000000-0005-0000-0000-00006B000000}"/>
    <cellStyle name="Финансовый 2 3 2 7 2" xfId="174" xr:uid="{00000000-0005-0000-0000-00006C000000}"/>
    <cellStyle name="Финансовый 2 3 2 8" xfId="24" xr:uid="{00000000-0005-0000-0000-00006D000000}"/>
    <cellStyle name="Финансовый 2 3 2 8 2" xfId="162" xr:uid="{00000000-0005-0000-0000-00006E000000}"/>
    <cellStyle name="Финансовый 2 3 2 9" xfId="150" xr:uid="{00000000-0005-0000-0000-00006F000000}"/>
    <cellStyle name="Финансовый 2 3 3" xfId="42" xr:uid="{00000000-0005-0000-0000-000070000000}"/>
    <cellStyle name="Финансовый 2 3 3 2" xfId="124" xr:uid="{00000000-0005-0000-0000-000071000000}"/>
    <cellStyle name="Финансовый 2 3 3 2 2" xfId="260" xr:uid="{00000000-0005-0000-0000-000072000000}"/>
    <cellStyle name="Финансовый 2 3 3 3" xfId="88" xr:uid="{00000000-0005-0000-0000-000073000000}"/>
    <cellStyle name="Финансовый 2 3 3 3 2" xfId="224" xr:uid="{00000000-0005-0000-0000-000074000000}"/>
    <cellStyle name="Финансовый 2 3 3 4" xfId="180" xr:uid="{00000000-0005-0000-0000-000075000000}"/>
    <cellStyle name="Финансовый 2 3 4" xfId="94" xr:uid="{00000000-0005-0000-0000-000076000000}"/>
    <cellStyle name="Финансовый 2 3 4 2" xfId="230" xr:uid="{00000000-0005-0000-0000-000077000000}"/>
    <cellStyle name="Финансовый 2 3 5" xfId="100" xr:uid="{00000000-0005-0000-0000-000078000000}"/>
    <cellStyle name="Финансовый 2 3 5 2" xfId="236" xr:uid="{00000000-0005-0000-0000-000079000000}"/>
    <cellStyle name="Финансовый 2 3 6" xfId="112" xr:uid="{00000000-0005-0000-0000-00007A000000}"/>
    <cellStyle name="Финансовый 2 3 6 2" xfId="248" xr:uid="{00000000-0005-0000-0000-00007B000000}"/>
    <cellStyle name="Финансовый 2 3 7" xfId="76" xr:uid="{00000000-0005-0000-0000-00007C000000}"/>
    <cellStyle name="Финансовый 2 3 7 2" xfId="212" xr:uid="{00000000-0005-0000-0000-00007D000000}"/>
    <cellStyle name="Финансовый 2 3 8" xfId="54" xr:uid="{00000000-0005-0000-0000-00007E000000}"/>
    <cellStyle name="Финансовый 2 3 8 2" xfId="192" xr:uid="{00000000-0005-0000-0000-00007F000000}"/>
    <cellStyle name="Финансовый 2 3 9" xfId="132" xr:uid="{00000000-0005-0000-0000-000080000000}"/>
    <cellStyle name="Финансовый 2 3 9 2" xfId="268" xr:uid="{00000000-0005-0000-0000-000081000000}"/>
    <cellStyle name="Финансовый 2 4" xfId="8" xr:uid="{00000000-0005-0000-0000-000082000000}"/>
    <cellStyle name="Финансовый 2 4 2" xfId="44" xr:uid="{00000000-0005-0000-0000-000083000000}"/>
    <cellStyle name="Финансовый 2 4 2 2" xfId="102" xr:uid="{00000000-0005-0000-0000-000084000000}"/>
    <cellStyle name="Финансовый 2 4 2 2 2" xfId="238" xr:uid="{00000000-0005-0000-0000-000085000000}"/>
    <cellStyle name="Финансовый 2 4 2 3" xfId="182" xr:uid="{00000000-0005-0000-0000-000086000000}"/>
    <cellStyle name="Финансовый 2 4 3" xfId="114" xr:uid="{00000000-0005-0000-0000-000087000000}"/>
    <cellStyle name="Финансовый 2 4 3 2" xfId="250" xr:uid="{00000000-0005-0000-0000-000088000000}"/>
    <cellStyle name="Финансовый 2 4 4" xfId="78" xr:uid="{00000000-0005-0000-0000-000089000000}"/>
    <cellStyle name="Финансовый 2 4 4 2" xfId="214" xr:uid="{00000000-0005-0000-0000-00008A000000}"/>
    <cellStyle name="Финансовый 2 4 5" xfId="56" xr:uid="{00000000-0005-0000-0000-00008B000000}"/>
    <cellStyle name="Финансовый 2 4 5 2" xfId="194" xr:uid="{00000000-0005-0000-0000-00008C000000}"/>
    <cellStyle name="Финансовый 2 4 6" xfId="134" xr:uid="{00000000-0005-0000-0000-00008D000000}"/>
    <cellStyle name="Финансовый 2 4 6 2" xfId="270" xr:uid="{00000000-0005-0000-0000-00008E000000}"/>
    <cellStyle name="Финансовый 2 4 7" xfId="32" xr:uid="{00000000-0005-0000-0000-00008F000000}"/>
    <cellStyle name="Финансовый 2 4 7 2" xfId="170" xr:uid="{00000000-0005-0000-0000-000090000000}"/>
    <cellStyle name="Финансовый 2 4 8" xfId="20" xr:uid="{00000000-0005-0000-0000-000091000000}"/>
    <cellStyle name="Финансовый 2 4 8 2" xfId="158" xr:uid="{00000000-0005-0000-0000-000092000000}"/>
    <cellStyle name="Финансовый 2 4 9" xfId="146" xr:uid="{00000000-0005-0000-0000-000093000000}"/>
    <cellStyle name="Финансовый 2 5" xfId="38" xr:uid="{00000000-0005-0000-0000-000094000000}"/>
    <cellStyle name="Финансовый 2 5 2" xfId="120" xr:uid="{00000000-0005-0000-0000-000095000000}"/>
    <cellStyle name="Финансовый 2 5 2 2" xfId="256" xr:uid="{00000000-0005-0000-0000-000096000000}"/>
    <cellStyle name="Финансовый 2 5 3" xfId="84" xr:uid="{00000000-0005-0000-0000-000097000000}"/>
    <cellStyle name="Финансовый 2 5 3 2" xfId="220" xr:uid="{00000000-0005-0000-0000-000098000000}"/>
    <cellStyle name="Финансовый 2 5 4" xfId="176" xr:uid="{00000000-0005-0000-0000-000099000000}"/>
    <cellStyle name="Финансовый 2 6" xfId="90" xr:uid="{00000000-0005-0000-0000-00009A000000}"/>
    <cellStyle name="Финансовый 2 6 2" xfId="226" xr:uid="{00000000-0005-0000-0000-00009B000000}"/>
    <cellStyle name="Финансовый 2 7" xfId="96" xr:uid="{00000000-0005-0000-0000-00009C000000}"/>
    <cellStyle name="Финансовый 2 7 2" xfId="232" xr:uid="{00000000-0005-0000-0000-00009D000000}"/>
    <cellStyle name="Финансовый 2 8" xfId="108" xr:uid="{00000000-0005-0000-0000-00009E000000}"/>
    <cellStyle name="Финансовый 2 8 2" xfId="244" xr:uid="{00000000-0005-0000-0000-00009F000000}"/>
    <cellStyle name="Финансовый 2 9" xfId="126" xr:uid="{00000000-0005-0000-0000-0000A0000000}"/>
    <cellStyle name="Финансовый 2 9 2" xfId="262" xr:uid="{00000000-0005-0000-0000-0000A1000000}"/>
    <cellStyle name="Финансовый 3" xfId="3" xr:uid="{00000000-0005-0000-0000-0000A2000000}"/>
    <cellStyle name="Финансовый 3 10" xfId="27" xr:uid="{00000000-0005-0000-0000-0000A3000000}"/>
    <cellStyle name="Финансовый 3 10 2" xfId="165" xr:uid="{00000000-0005-0000-0000-0000A4000000}"/>
    <cellStyle name="Финансовый 3 11" xfId="15" xr:uid="{00000000-0005-0000-0000-0000A5000000}"/>
    <cellStyle name="Финансовый 3 11 2" xfId="153" xr:uid="{00000000-0005-0000-0000-0000A6000000}"/>
    <cellStyle name="Финансовый 3 12" xfId="141" xr:uid="{00000000-0005-0000-0000-0000A7000000}"/>
    <cellStyle name="Финансовый 3 2" xfId="9" xr:uid="{00000000-0005-0000-0000-0000A8000000}"/>
    <cellStyle name="Финансовый 3 2 2" xfId="45" xr:uid="{00000000-0005-0000-0000-0000A9000000}"/>
    <cellStyle name="Финансовый 3 2 2 2" xfId="103" xr:uid="{00000000-0005-0000-0000-0000AA000000}"/>
    <cellStyle name="Финансовый 3 2 2 2 2" xfId="239" xr:uid="{00000000-0005-0000-0000-0000AB000000}"/>
    <cellStyle name="Финансовый 3 2 2 3" xfId="183" xr:uid="{00000000-0005-0000-0000-0000AC000000}"/>
    <cellStyle name="Финансовый 3 2 3" xfId="115" xr:uid="{00000000-0005-0000-0000-0000AD000000}"/>
    <cellStyle name="Финансовый 3 2 3 2" xfId="251" xr:uid="{00000000-0005-0000-0000-0000AE000000}"/>
    <cellStyle name="Финансовый 3 2 4" xfId="79" xr:uid="{00000000-0005-0000-0000-0000AF000000}"/>
    <cellStyle name="Финансовый 3 2 4 2" xfId="215" xr:uid="{00000000-0005-0000-0000-0000B0000000}"/>
    <cellStyle name="Финансовый 3 2 5" xfId="57" xr:uid="{00000000-0005-0000-0000-0000B1000000}"/>
    <cellStyle name="Финансовый 3 2 5 2" xfId="195" xr:uid="{00000000-0005-0000-0000-0000B2000000}"/>
    <cellStyle name="Финансовый 3 2 6" xfId="135" xr:uid="{00000000-0005-0000-0000-0000B3000000}"/>
    <cellStyle name="Финансовый 3 2 6 2" xfId="271" xr:uid="{00000000-0005-0000-0000-0000B4000000}"/>
    <cellStyle name="Финансовый 3 2 7" xfId="33" xr:uid="{00000000-0005-0000-0000-0000B5000000}"/>
    <cellStyle name="Финансовый 3 2 7 2" xfId="171" xr:uid="{00000000-0005-0000-0000-0000B6000000}"/>
    <cellStyle name="Финансовый 3 2 8" xfId="21" xr:uid="{00000000-0005-0000-0000-0000B7000000}"/>
    <cellStyle name="Финансовый 3 2 8 2" xfId="159" xr:uid="{00000000-0005-0000-0000-0000B8000000}"/>
    <cellStyle name="Финансовый 3 2 9" xfId="147" xr:uid="{00000000-0005-0000-0000-0000B9000000}"/>
    <cellStyle name="Финансовый 3 3" xfId="39" xr:uid="{00000000-0005-0000-0000-0000BA000000}"/>
    <cellStyle name="Финансовый 3 3 2" xfId="121" xr:uid="{00000000-0005-0000-0000-0000BB000000}"/>
    <cellStyle name="Финансовый 3 3 2 2" xfId="257" xr:uid="{00000000-0005-0000-0000-0000BC000000}"/>
    <cellStyle name="Финансовый 3 3 3" xfId="85" xr:uid="{00000000-0005-0000-0000-0000BD000000}"/>
    <cellStyle name="Финансовый 3 3 3 2" xfId="221" xr:uid="{00000000-0005-0000-0000-0000BE000000}"/>
    <cellStyle name="Финансовый 3 3 4" xfId="177" xr:uid="{00000000-0005-0000-0000-0000BF000000}"/>
    <cellStyle name="Финансовый 3 4" xfId="91" xr:uid="{00000000-0005-0000-0000-0000C0000000}"/>
    <cellStyle name="Финансовый 3 4 2" xfId="227" xr:uid="{00000000-0005-0000-0000-0000C1000000}"/>
    <cellStyle name="Финансовый 3 5" xfId="97" xr:uid="{00000000-0005-0000-0000-0000C2000000}"/>
    <cellStyle name="Финансовый 3 5 2" xfId="233" xr:uid="{00000000-0005-0000-0000-0000C3000000}"/>
    <cellStyle name="Финансовый 3 6" xfId="109" xr:uid="{00000000-0005-0000-0000-0000C4000000}"/>
    <cellStyle name="Финансовый 3 6 2" xfId="245" xr:uid="{00000000-0005-0000-0000-0000C5000000}"/>
    <cellStyle name="Финансовый 3 7" xfId="74" xr:uid="{00000000-0005-0000-0000-0000C6000000}"/>
    <cellStyle name="Финансовый 3 7 2" xfId="210" xr:uid="{00000000-0005-0000-0000-0000C7000000}"/>
    <cellStyle name="Финансовый 3 8" xfId="51" xr:uid="{00000000-0005-0000-0000-0000C8000000}"/>
    <cellStyle name="Финансовый 3 8 2" xfId="189" xr:uid="{00000000-0005-0000-0000-0000C9000000}"/>
    <cellStyle name="Финансовый 3 9" xfId="129" xr:uid="{00000000-0005-0000-0000-0000CA000000}"/>
    <cellStyle name="Финансовый 3 9 2" xfId="265" xr:uid="{00000000-0005-0000-0000-0000CB000000}"/>
    <cellStyle name="Финансовый 4" xfId="5" xr:uid="{00000000-0005-0000-0000-0000CC000000}"/>
    <cellStyle name="Финансовый 4 10" xfId="29" xr:uid="{00000000-0005-0000-0000-0000CD000000}"/>
    <cellStyle name="Финансовый 4 10 2" xfId="167" xr:uid="{00000000-0005-0000-0000-0000CE000000}"/>
    <cellStyle name="Финансовый 4 11" xfId="17" xr:uid="{00000000-0005-0000-0000-0000CF000000}"/>
    <cellStyle name="Финансовый 4 11 2" xfId="155" xr:uid="{00000000-0005-0000-0000-0000D0000000}"/>
    <cellStyle name="Финансовый 4 12" xfId="143" xr:uid="{00000000-0005-0000-0000-0000D1000000}"/>
    <cellStyle name="Финансовый 4 2" xfId="11" xr:uid="{00000000-0005-0000-0000-0000D2000000}"/>
    <cellStyle name="Финансовый 4 2 2" xfId="47" xr:uid="{00000000-0005-0000-0000-0000D3000000}"/>
    <cellStyle name="Финансовый 4 2 2 2" xfId="105" xr:uid="{00000000-0005-0000-0000-0000D4000000}"/>
    <cellStyle name="Финансовый 4 2 2 2 2" xfId="241" xr:uid="{00000000-0005-0000-0000-0000D5000000}"/>
    <cellStyle name="Финансовый 4 2 2 3" xfId="185" xr:uid="{00000000-0005-0000-0000-0000D6000000}"/>
    <cellStyle name="Финансовый 4 2 3" xfId="117" xr:uid="{00000000-0005-0000-0000-0000D7000000}"/>
    <cellStyle name="Финансовый 4 2 3 2" xfId="253" xr:uid="{00000000-0005-0000-0000-0000D8000000}"/>
    <cellStyle name="Финансовый 4 2 4" xfId="81" xr:uid="{00000000-0005-0000-0000-0000D9000000}"/>
    <cellStyle name="Финансовый 4 2 4 2" xfId="217" xr:uid="{00000000-0005-0000-0000-0000DA000000}"/>
    <cellStyle name="Финансовый 4 2 5" xfId="59" xr:uid="{00000000-0005-0000-0000-0000DB000000}"/>
    <cellStyle name="Финансовый 4 2 5 2" xfId="197" xr:uid="{00000000-0005-0000-0000-0000DC000000}"/>
    <cellStyle name="Финансовый 4 2 6" xfId="137" xr:uid="{00000000-0005-0000-0000-0000DD000000}"/>
    <cellStyle name="Финансовый 4 2 6 2" xfId="273" xr:uid="{00000000-0005-0000-0000-0000DE000000}"/>
    <cellStyle name="Финансовый 4 2 7" xfId="35" xr:uid="{00000000-0005-0000-0000-0000DF000000}"/>
    <cellStyle name="Финансовый 4 2 7 2" xfId="173" xr:uid="{00000000-0005-0000-0000-0000E0000000}"/>
    <cellStyle name="Финансовый 4 2 8" xfId="23" xr:uid="{00000000-0005-0000-0000-0000E1000000}"/>
    <cellStyle name="Финансовый 4 2 8 2" xfId="161" xr:uid="{00000000-0005-0000-0000-0000E2000000}"/>
    <cellStyle name="Финансовый 4 2 9" xfId="149" xr:uid="{00000000-0005-0000-0000-0000E3000000}"/>
    <cellStyle name="Финансовый 4 3" xfId="41" xr:uid="{00000000-0005-0000-0000-0000E4000000}"/>
    <cellStyle name="Финансовый 4 3 2" xfId="123" xr:uid="{00000000-0005-0000-0000-0000E5000000}"/>
    <cellStyle name="Финансовый 4 3 2 2" xfId="259" xr:uid="{00000000-0005-0000-0000-0000E6000000}"/>
    <cellStyle name="Финансовый 4 3 3" xfId="87" xr:uid="{00000000-0005-0000-0000-0000E7000000}"/>
    <cellStyle name="Финансовый 4 3 3 2" xfId="223" xr:uid="{00000000-0005-0000-0000-0000E8000000}"/>
    <cellStyle name="Финансовый 4 3 4" xfId="179" xr:uid="{00000000-0005-0000-0000-0000E9000000}"/>
    <cellStyle name="Финансовый 4 4" xfId="93" xr:uid="{00000000-0005-0000-0000-0000EA000000}"/>
    <cellStyle name="Финансовый 4 4 2" xfId="229" xr:uid="{00000000-0005-0000-0000-0000EB000000}"/>
    <cellStyle name="Финансовый 4 5" xfId="99" xr:uid="{00000000-0005-0000-0000-0000EC000000}"/>
    <cellStyle name="Финансовый 4 5 2" xfId="235" xr:uid="{00000000-0005-0000-0000-0000ED000000}"/>
    <cellStyle name="Финансовый 4 6" xfId="111" xr:uid="{00000000-0005-0000-0000-0000EE000000}"/>
    <cellStyle name="Финансовый 4 6 2" xfId="247" xr:uid="{00000000-0005-0000-0000-0000EF000000}"/>
    <cellStyle name="Финансовый 4 7" xfId="75" xr:uid="{00000000-0005-0000-0000-0000F0000000}"/>
    <cellStyle name="Финансовый 4 7 2" xfId="211" xr:uid="{00000000-0005-0000-0000-0000F1000000}"/>
    <cellStyle name="Финансовый 4 8" xfId="53" xr:uid="{00000000-0005-0000-0000-0000F2000000}"/>
    <cellStyle name="Финансовый 4 8 2" xfId="191" xr:uid="{00000000-0005-0000-0000-0000F3000000}"/>
    <cellStyle name="Финансовый 4 9" xfId="131" xr:uid="{00000000-0005-0000-0000-0000F4000000}"/>
    <cellStyle name="Финансовый 4 9 2" xfId="267" xr:uid="{00000000-0005-0000-0000-0000F5000000}"/>
    <cellStyle name="Финансовый 5" xfId="7" xr:uid="{00000000-0005-0000-0000-0000F6000000}"/>
    <cellStyle name="Финансовый 5 2" xfId="43" xr:uid="{00000000-0005-0000-0000-0000F7000000}"/>
    <cellStyle name="Финансовый 5 2 2" xfId="101" xr:uid="{00000000-0005-0000-0000-0000F8000000}"/>
    <cellStyle name="Финансовый 5 2 2 2" xfId="237" xr:uid="{00000000-0005-0000-0000-0000F9000000}"/>
    <cellStyle name="Финансовый 5 2 3" xfId="181" xr:uid="{00000000-0005-0000-0000-0000FA000000}"/>
    <cellStyle name="Финансовый 5 3" xfId="113" xr:uid="{00000000-0005-0000-0000-0000FB000000}"/>
    <cellStyle name="Финансовый 5 3 2" xfId="249" xr:uid="{00000000-0005-0000-0000-0000FC000000}"/>
    <cellStyle name="Финансовый 5 4" xfId="77" xr:uid="{00000000-0005-0000-0000-0000FD000000}"/>
    <cellStyle name="Финансовый 5 4 2" xfId="213" xr:uid="{00000000-0005-0000-0000-0000FE000000}"/>
    <cellStyle name="Финансовый 5 5" xfId="55" xr:uid="{00000000-0005-0000-0000-0000FF000000}"/>
    <cellStyle name="Финансовый 5 5 2" xfId="193" xr:uid="{00000000-0005-0000-0000-000000010000}"/>
    <cellStyle name="Финансовый 5 6" xfId="133" xr:uid="{00000000-0005-0000-0000-000001010000}"/>
    <cellStyle name="Финансовый 5 6 2" xfId="269" xr:uid="{00000000-0005-0000-0000-000002010000}"/>
    <cellStyle name="Финансовый 5 7" xfId="31" xr:uid="{00000000-0005-0000-0000-000003010000}"/>
    <cellStyle name="Финансовый 5 7 2" xfId="169" xr:uid="{00000000-0005-0000-0000-000004010000}"/>
    <cellStyle name="Финансовый 5 8" xfId="19" xr:uid="{00000000-0005-0000-0000-000005010000}"/>
    <cellStyle name="Финансовый 5 8 2" xfId="157" xr:uid="{00000000-0005-0000-0000-000006010000}"/>
    <cellStyle name="Финансовый 5 9" xfId="145" xr:uid="{00000000-0005-0000-0000-000007010000}"/>
    <cellStyle name="Финансовый 6" xfId="37" xr:uid="{00000000-0005-0000-0000-000008010000}"/>
    <cellStyle name="Финансовый 6 2" xfId="119" xr:uid="{00000000-0005-0000-0000-000009010000}"/>
    <cellStyle name="Финансовый 6 2 2" xfId="255" xr:uid="{00000000-0005-0000-0000-00000A010000}"/>
    <cellStyle name="Финансовый 6 3" xfId="83" xr:uid="{00000000-0005-0000-0000-00000B010000}"/>
    <cellStyle name="Финансовый 6 3 2" xfId="219" xr:uid="{00000000-0005-0000-0000-00000C010000}"/>
    <cellStyle name="Финансовый 6 4" xfId="175" xr:uid="{00000000-0005-0000-0000-00000D010000}"/>
    <cellStyle name="Финансовый 7" xfId="89" xr:uid="{00000000-0005-0000-0000-00000E010000}"/>
    <cellStyle name="Финансовый 7 2" xfId="225" xr:uid="{00000000-0005-0000-0000-00000F010000}"/>
    <cellStyle name="Финансовый 8" xfId="95" xr:uid="{00000000-0005-0000-0000-000010010000}"/>
    <cellStyle name="Финансовый 8 2" xfId="231" xr:uid="{00000000-0005-0000-0000-000011010000}"/>
    <cellStyle name="Финансовый 9" xfId="107" xr:uid="{00000000-0005-0000-0000-000012010000}"/>
    <cellStyle name="Финансовый 9 2" xfId="243" xr:uid="{00000000-0005-0000-0000-000013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18" zoomScaleNormal="100" zoomScaleSheetLayoutView="100" workbookViewId="0">
      <selection activeCell="A14" sqref="A14:E14"/>
    </sheetView>
  </sheetViews>
  <sheetFormatPr defaultRowHeight="15" x14ac:dyDescent="0.2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29" t="str">
        <f>""&amp;'Общие данные'!B147&amp;"
mikromoliya tashkiloti
Kredit qo‘mitasining yig‘ilishi"</f>
        <v>«CLEVER MIKROMOLIYA TASHKILOTI» MChJ
mikromoliya tashkiloti
Kredit qo‘mitasining yig‘ilishi</v>
      </c>
      <c r="B1" s="229"/>
      <c r="C1" s="229"/>
      <c r="D1" s="229"/>
      <c r="E1" s="229"/>
    </row>
    <row r="2" spans="1:33" ht="29.25" customHeight="1" x14ac:dyDescent="0.25">
      <c r="A2" s="229" t="str">
        <f>""&amp;H7&amp;" protokolidan ko'chirma"</f>
        <v>№544-QR protokolidan ko'chirma</v>
      </c>
      <c r="B2" s="229"/>
      <c r="C2" s="229"/>
      <c r="D2" s="229"/>
      <c r="E2" s="229"/>
    </row>
    <row r="3" spans="1:33" ht="29.25" customHeight="1" x14ac:dyDescent="0.25">
      <c r="A3" s="132" t="s">
        <v>205</v>
      </c>
      <c r="B3" s="50"/>
      <c r="C3" s="50"/>
      <c r="D3" s="50"/>
      <c r="E3" s="133" t="str">
        <f>'Общие данные'!B68</f>
        <v>6 mart 2025 y.</v>
      </c>
    </row>
    <row r="4" spans="1:33" ht="29.25" customHeight="1" x14ac:dyDescent="0.25">
      <c r="A4" s="50"/>
      <c r="B4" s="229" t="s">
        <v>204</v>
      </c>
      <c r="C4" s="229"/>
      <c r="D4" s="229"/>
      <c r="E4" s="50"/>
    </row>
    <row r="5" spans="1:33" ht="36" customHeight="1" x14ac:dyDescent="0.25">
      <c r="A5" s="228" t="str">
        <f>"         "&amp;H8&amp;"."&amp;'Общие данные'!B5&amp;" ga "&amp;'Общие данные'!B65&amp;" berish masalasini ko‘rib chiqish to‘g‘risida."</f>
        <v xml:space="preserve">         1.SHUKUROV OTABEK SHOKIROVICH ga mikroqarz berish masalasini ko‘rib chiqish to‘g‘risida.</v>
      </c>
      <c r="B5" s="228"/>
      <c r="C5" s="228"/>
      <c r="D5" s="228"/>
      <c r="E5" s="228"/>
    </row>
    <row r="7" spans="1:33" ht="21" customHeight="1" x14ac:dyDescent="0.35">
      <c r="A7" s="227"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SHUKUROV OTABEK SHOKIROVICHga 40 000 000,00 (qirq million so'm) so‘m miqdorida, muddati 30 (o'ttiz ) oyga va yillik 60 (Oltmish) foiz miqdorida mikroqarz berich bo‘yicha SHUKUROV OTABEK SHOKIROVICHning kredit arizasi va «CLEVER MIKROMOLIYA TASHKILOTI» MChJning xulosasi bilan ishtirokchilarni tanishtirdi.</v>
      </c>
      <c r="B7" s="227"/>
      <c r="C7" s="227"/>
      <c r="D7" s="227"/>
      <c r="E7" s="227"/>
      <c r="G7" s="62" t="s">
        <v>260</v>
      </c>
      <c r="H7" s="63" t="str">
        <f>'Общие данные'!B1</f>
        <v>№544-QR</v>
      </c>
    </row>
    <row r="8" spans="1:33" ht="23.25" x14ac:dyDescent="0.35">
      <c r="A8" s="227"/>
      <c r="B8" s="227"/>
      <c r="C8" s="227"/>
      <c r="D8" s="227"/>
      <c r="E8" s="227"/>
      <c r="G8" s="62" t="s">
        <v>261</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16.5" customHeight="1" x14ac:dyDescent="0.35">
      <c r="A9" s="227"/>
      <c r="B9" s="227"/>
      <c r="C9" s="227"/>
      <c r="D9" s="227"/>
      <c r="E9" s="227"/>
      <c r="G9" s="62" t="s">
        <v>262</v>
      </c>
      <c r="H9" s="63" t="str">
        <f>IF(H8=I8,I9,IF(H8=J8,J9,IF(H8=K8,K9,IF(H8=L8,L9,IF(H8=M8,M9,IF(H8=N8,N9,IF(H8=O8,O9,IF(H8=P8,P9,IF(H8=Q8,Q9,IF(H8=R8,R9,IF(H8=S8,S9,IF(H8=T8,T9,IF(H8=U8,U9,IF(H8=V8,V9,IF(H8=W8,W9,IF(H8=X8,X9,IF(H8=Y8,Y9,IF(H8=Z8,Z9,IF(H8=AA8,AA9,IF(H8=AB8,AB9,IF(H8=AC8,AC9,IF(H8=AD8,AD9,IF(H8=AE8,AE9,IF(H8=AF8,AF9,IF(H8=AG8,AG9)))))))))))))))))))))))))</f>
        <v>Birinchi</v>
      </c>
      <c r="I9" s="154" t="s">
        <v>192</v>
      </c>
      <c r="J9" s="155" t="s">
        <v>193</v>
      </c>
      <c r="K9" s="155" t="s">
        <v>194</v>
      </c>
      <c r="L9" s="155" t="s">
        <v>374</v>
      </c>
      <c r="M9" s="155" t="s">
        <v>195</v>
      </c>
      <c r="N9" s="155" t="s">
        <v>375</v>
      </c>
      <c r="O9" s="155" t="s">
        <v>196</v>
      </c>
      <c r="P9" s="155" t="s">
        <v>197</v>
      </c>
      <c r="Q9" s="155" t="s">
        <v>198</v>
      </c>
      <c r="R9" s="155" t="s">
        <v>364</v>
      </c>
      <c r="S9" s="155" t="s">
        <v>365</v>
      </c>
      <c r="T9" s="155" t="s">
        <v>366</v>
      </c>
      <c r="U9" s="155" t="s">
        <v>367</v>
      </c>
      <c r="V9" s="155" t="s">
        <v>376</v>
      </c>
      <c r="W9" s="155" t="s">
        <v>368</v>
      </c>
      <c r="X9" s="155" t="s">
        <v>369</v>
      </c>
      <c r="Y9" s="155" t="s">
        <v>370</v>
      </c>
      <c r="Z9" s="155" t="s">
        <v>371</v>
      </c>
      <c r="AA9" s="155" t="s">
        <v>372</v>
      </c>
      <c r="AB9" s="155" t="s">
        <v>199</v>
      </c>
      <c r="AC9" s="155" t="s">
        <v>200</v>
      </c>
      <c r="AD9" s="155" t="s">
        <v>201</v>
      </c>
      <c r="AE9" s="155" t="s">
        <v>202</v>
      </c>
      <c r="AF9" s="155" t="s">
        <v>373</v>
      </c>
      <c r="AG9" s="155" t="s">
        <v>203</v>
      </c>
    </row>
    <row r="10" spans="1:33" ht="10.5" hidden="1" customHeight="1" x14ac:dyDescent="0.25">
      <c r="A10" s="227"/>
      <c r="B10" s="227"/>
      <c r="C10" s="227"/>
      <c r="D10" s="227"/>
      <c r="E10" s="227"/>
    </row>
    <row r="11" spans="1:33" ht="9" hidden="1" customHeight="1" x14ac:dyDescent="0.25">
      <c r="A11" s="227"/>
      <c r="B11" s="227"/>
      <c r="C11" s="227"/>
      <c r="D11" s="227"/>
      <c r="E11" s="227"/>
    </row>
    <row r="12" spans="1:33" ht="3" customHeight="1" x14ac:dyDescent="0.25">
      <c r="A12" s="227"/>
      <c r="B12" s="227"/>
      <c r="C12" s="227"/>
      <c r="D12" s="227"/>
      <c r="E12" s="227"/>
    </row>
    <row r="13" spans="1:33" ht="7.5" customHeight="1" x14ac:dyDescent="0.25"/>
    <row r="14" spans="1:33" ht="15.75" customHeight="1" x14ac:dyDescent="0.25">
      <c r="A14" s="230" t="str">
        <f>""&amp;'Общие данные'!C64&amp;" ta’minoti:"</f>
        <v>Mikroqarz ta’minoti:</v>
      </c>
      <c r="B14" s="230"/>
      <c r="C14" s="230"/>
      <c r="D14" s="230"/>
      <c r="E14" s="230"/>
    </row>
    <row r="15" spans="1:33" ht="7.5" customHeight="1" x14ac:dyDescent="0.25"/>
    <row r="16" spans="1:33" ht="64.5" customHeight="1" x14ac:dyDescent="0.25">
      <c r="A16" s="227" t="str">
        <f>'Заключение КК'!A18:E18</f>
        <v xml:space="preserve">  Egalik huquqi SHUKUROV SHOKIR ABDIKARIMOVICHga tegishli bo'lgan garovga olingan avtomobil markasi   COBALT, rangi -  OQ OLIMPIYSKAYA BELAYA, ishlab chiqarilgan yili - 2016, davlat raqam belgisi 80J851UA, kuzov turi - YENGIL SEDAN, kuzov raqami XWBJF69VEGA010899, dvigatel raqami B15D211163492DJX0086, shassi raqami - RAKAMSIZ</v>
      </c>
      <c r="B16" s="227"/>
      <c r="C16" s="227"/>
      <c r="D16" s="227"/>
      <c r="E16" s="227"/>
    </row>
    <row r="17" spans="1:5" ht="17.25" customHeight="1" x14ac:dyDescent="0.25">
      <c r="C17" s="156" t="s">
        <v>383</v>
      </c>
      <c r="D17" s="156" t="str">
        <f>""&amp;'Общие данные'!B147&amp;" kredit qo‘mitasi"</f>
        <v>«CLEVER MIKROMOLIYA TASHKILOTI» MChJ kredit qo‘mitasi</v>
      </c>
      <c r="E17" s="156"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x14ac:dyDescent="0.25">
      <c r="A18" s="227"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27"/>
      <c r="C18" s="227"/>
      <c r="D18" s="227"/>
      <c r="E18" s="227"/>
    </row>
    <row r="19" spans="1:5" ht="24" customHeight="1" x14ac:dyDescent="0.25">
      <c r="A19" s="231" t="s">
        <v>263</v>
      </c>
      <c r="B19" s="231"/>
      <c r="C19" s="231"/>
      <c r="D19" s="231"/>
      <c r="E19" s="231"/>
    </row>
    <row r="20" spans="1:5" ht="32.25" customHeight="1" x14ac:dyDescent="0.25">
      <c r="A20" s="227" t="str">
        <f>"       "&amp;'Общие данные'!B5&amp;"ga quyidagi shartlarda "&amp;'Общие данные'!B65&amp;" berish masalasi ma’qullansin:"</f>
        <v xml:space="preserve">       SHUKUROV OTABEK SHOKIROVICHga quyidagi shartlarda mikroqarz berish masalasi ma’qullansin:</v>
      </c>
      <c r="B20" s="227"/>
      <c r="C20" s="227"/>
      <c r="D20" s="227"/>
      <c r="E20" s="227"/>
    </row>
    <row r="21" spans="1:5" s="134" customFormat="1" ht="18.75" customHeight="1" x14ac:dyDescent="0.25">
      <c r="A21" s="228" t="str">
        <f>"1. "&amp;'Общие данные'!C64&amp;" summasi: "&amp;FIXED('Общие данные'!B75)&amp;" ("&amp;'Общие данные'!B76&amp;") so'm."</f>
        <v>1. Mikroqarz summasi: 40 000 000,00 (qirq million so'm) so'm.</v>
      </c>
      <c r="B21" s="228"/>
      <c r="C21" s="228"/>
      <c r="D21" s="228"/>
      <c r="E21" s="228"/>
    </row>
    <row r="22" spans="1:5" s="134" customFormat="1" ht="18.75" customHeight="1" x14ac:dyDescent="0.25">
      <c r="A22" s="228" t="str">
        <f>"2. "&amp;'Общие данные'!C64&amp;" muddati: "&amp;'Общие данные'!B81&amp;" ("&amp;'Общие данные'!B82&amp;") oy "</f>
        <v xml:space="preserve">2. Mikroqarz muddati: 30 (o'ttiz ) oy </v>
      </c>
      <c r="B22" s="228"/>
      <c r="C22" s="228"/>
      <c r="D22" s="228"/>
      <c r="E22" s="228"/>
    </row>
    <row r="23" spans="1:5" s="134" customFormat="1" ht="18.75" customHeight="1" x14ac:dyDescent="0.25">
      <c r="A23" s="228" t="str">
        <f>"3. "&amp;'Общие данные'!C64&amp;"dan foydalanganlik uchun foiz stavkasi:yillik "&amp;'Общие данные'!B85&amp;"% ("&amp;'Общие данные'!B86&amp;") foiz."</f>
        <v>3. Mikroqarzdan foydalanganlik uchun foiz stavkasi:yillik 60% (Oltmish) foiz.</v>
      </c>
      <c r="B23" s="228"/>
      <c r="C23" s="228"/>
      <c r="D23" s="228"/>
      <c r="E23" s="228"/>
    </row>
    <row r="24" spans="1:5" s="134" customFormat="1" ht="18.75" customHeight="1" x14ac:dyDescent="0.25">
      <c r="A24" s="228" t="str">
        <f>"4. "&amp;'Общие данные'!C64&amp;" bo‘yicha asosiy qarz va foizlarni to‘lash:"</f>
        <v>4. Mikroqarz bo‘yicha asosiy qarz va foizlarni to‘lash:</v>
      </c>
      <c r="B24" s="228"/>
      <c r="C24" s="228"/>
      <c r="D24" s="228"/>
      <c r="E24" s="228"/>
    </row>
    <row r="25" spans="1:5" s="134" customFormat="1" ht="18.75" customHeight="1" x14ac:dyDescent="0.25">
      <c r="A25" s="228" t="str">
        <f>'Кредитная заявка'!A19:D19</f>
        <v xml:space="preserve"> - mikroqarz shartnomasi bo'yicha har oy differensial to'lovlari amalga oshiriladi</v>
      </c>
      <c r="B25" s="228"/>
      <c r="C25" s="228"/>
      <c r="D25" s="228"/>
      <c r="E25" s="228"/>
    </row>
    <row r="26" spans="1:5" ht="48" customHeight="1" x14ac:dyDescent="0.25">
      <c r="A26" s="227" t="str">
        <f>"5. "&amp;'Общие данные'!C64&amp;" bo‘yicha garov  "&amp;'Заключение КК'!A29:E29&amp;""</f>
        <v>5. Mikroqarz bo‘yicha garov   - SHUKUROV SHOKIR ABDIKARIMOVICH ga mulk huquqi asosida tegishli avtotransport vositasi COBALT , quyidagi tafsilotlarga muvofiq:</v>
      </c>
      <c r="B26" s="227"/>
      <c r="C26" s="227"/>
      <c r="D26" s="227"/>
      <c r="E26" s="227"/>
    </row>
    <row r="27" spans="1:5" ht="40.5" customHeight="1" x14ac:dyDescent="0.25">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75.75" customHeight="1" x14ac:dyDescent="0.25">
      <c r="A28" s="17" t="str">
        <f>'Акт согласования'!A30</f>
        <v>COBALT</v>
      </c>
      <c r="B28" s="17" t="str">
        <f>'Акт согласования'!B30</f>
        <v>kuzov turi - YENGIL SEDAN, kuzov raqami XWBJF69VEGA010899</v>
      </c>
      <c r="C28" s="17" t="str">
        <f>'Акт согласования'!C30</f>
        <v>dvigatel raqami B15D211163492DJX0086, shassi raqami - RAKAMSIZ</v>
      </c>
      <c r="D28" s="17" t="str">
        <f>'Акт согласования'!D30</f>
        <v>rangi -  OQ OLIMPIYSKAYA BELAYA, ishlab chiqarilgan yili - 2016</v>
      </c>
      <c r="E28" s="17" t="str">
        <f>'Акт согласования'!E30</f>
        <v>60 000 000,00 
(oltmish million so'm)</v>
      </c>
    </row>
    <row r="29" spans="1:5" ht="20.25" customHeight="1" x14ac:dyDescent="0.25">
      <c r="A29" s="227" t="str">
        <f>'Акт согласования'!A22:E22</f>
        <v>-* avtotransport egasi: SHUKUROV SHOKIR ABDIKARIMOVICH</v>
      </c>
      <c r="B29" s="227"/>
      <c r="C29" s="227"/>
      <c r="D29" s="227"/>
      <c r="E29" s="227"/>
    </row>
    <row r="30" spans="1:5" ht="20.25" customHeight="1" x14ac:dyDescent="0.25">
      <c r="A30" s="227" t="str">
        <f>'Акт согласования'!A23:E23</f>
        <v>-* texnik pasport: AAG 0819754 24.01.2023y.</v>
      </c>
      <c r="B30" s="227"/>
      <c r="C30" s="227"/>
      <c r="D30" s="227"/>
      <c r="E30" s="227"/>
    </row>
    <row r="31" spans="1:5" ht="34.5" customHeight="1" x14ac:dyDescent="0.25">
      <c r="A31" s="227" t="str">
        <f>'Акт согласования'!A24:E24</f>
        <v xml:space="preserve">-* roʻyxatdan oʻtgan manzili/garaj manzili: QORAKO'L TUMANI JIG'ACHI MFY </v>
      </c>
      <c r="B31" s="227"/>
      <c r="C31" s="227"/>
      <c r="D31" s="227"/>
      <c r="E31" s="227"/>
    </row>
    <row r="32" spans="1:5" ht="33.75" customHeight="1" x14ac:dyDescent="0.25">
      <c r="A32" s="227" t="str">
        <f>'Акт согласования'!A25:E25</f>
        <v>-* davlat raqami: 80J851UA</v>
      </c>
      <c r="B32" s="227"/>
      <c r="C32" s="227"/>
      <c r="D32" s="227"/>
      <c r="E32" s="227"/>
    </row>
    <row r="33" spans="1:5" ht="12" customHeight="1" x14ac:dyDescent="0.25">
      <c r="A33" s="135"/>
      <c r="B33" s="135"/>
      <c r="C33" s="135"/>
      <c r="D33" s="135"/>
      <c r="E33" s="135"/>
    </row>
    <row r="34" spans="1:5" ht="33" customHeight="1" x14ac:dyDescent="0.25">
      <c r="A34" s="227"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27"/>
      <c r="C34" s="227"/>
      <c r="D34" s="227"/>
      <c r="E34" s="227"/>
    </row>
    <row r="36" spans="1:5" ht="29.25" customHeight="1" x14ac:dyDescent="0.25">
      <c r="A36" s="224" t="s">
        <v>264</v>
      </c>
      <c r="B36" s="224"/>
      <c r="C36" s="224"/>
      <c r="D36" s="224"/>
      <c r="E36" s="224"/>
    </row>
    <row r="37" spans="1:5" ht="29.25" customHeight="1" x14ac:dyDescent="0.25">
      <c r="A37" s="225" t="s">
        <v>394</v>
      </c>
      <c r="B37" s="225"/>
      <c r="C37" s="166"/>
      <c r="D37" s="167"/>
      <c r="E37" s="167"/>
    </row>
    <row r="38" spans="1:5" ht="29.25" customHeight="1" x14ac:dyDescent="0.25">
      <c r="A38" s="226" t="str">
        <f>"2. "&amp;'Общие данные'!B159&amp;""</f>
        <v>2. Mominov B.X.</v>
      </c>
      <c r="B38" s="226"/>
      <c r="C38" s="166"/>
      <c r="D38" s="168"/>
      <c r="E38" s="168"/>
    </row>
    <row r="39" spans="1:5" ht="29.25" customHeight="1" x14ac:dyDescent="0.25">
      <c r="A39" s="225" t="str">
        <f>"3. "&amp;'Общие данные'!B160&amp;""</f>
        <v>3. Jumanazarov B.T.</v>
      </c>
      <c r="B39" s="225"/>
      <c r="C39" s="131"/>
      <c r="D39" s="169"/>
      <c r="E39" s="169"/>
    </row>
  </sheetData>
  <mergeCells count="25">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6:E36"/>
    <mergeCell ref="A37:B37"/>
    <mergeCell ref="A38:B38"/>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3"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topLeftCell="A10" zoomScale="70" zoomScaleNormal="70" zoomScaleSheetLayoutView="70" workbookViewId="0">
      <selection activeCell="E8" sqref="E8:E19"/>
    </sheetView>
  </sheetViews>
  <sheetFormatPr defaultColWidth="9.140625" defaultRowHeight="15" outlineLevelCol="1" x14ac:dyDescent="0.25"/>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x14ac:dyDescent="0.25">
      <c r="A1" s="86"/>
      <c r="B1" s="86"/>
      <c r="C1" s="86"/>
      <c r="D1" s="86"/>
      <c r="E1" s="241" t="s">
        <v>16</v>
      </c>
      <c r="F1" s="241"/>
    </row>
    <row r="2" spans="1:22" x14ac:dyDescent="0.25">
      <c r="A2" s="86"/>
      <c r="B2" s="86"/>
      <c r="C2" s="86"/>
      <c r="D2" s="86"/>
      <c r="E2" s="86"/>
      <c r="F2" s="88" t="str">
        <f>"к договору микрозайма "&amp;'Общие данные'!B74&amp;""</f>
        <v>к договору микрозайма 6 mart 2025 y.dan №544-QR</v>
      </c>
    </row>
    <row r="3" spans="1:22" ht="19.5" customHeight="1" x14ac:dyDescent="0.25">
      <c r="A3" s="86"/>
      <c r="B3" s="86"/>
      <c r="C3" s="86"/>
      <c r="D3" s="86"/>
      <c r="E3" s="86"/>
      <c r="F3" s="86"/>
      <c r="H3" s="89"/>
      <c r="I3" s="89"/>
      <c r="J3" s="90"/>
      <c r="K3" s="90"/>
    </row>
    <row r="4" spans="1:22" ht="19.5" customHeight="1" x14ac:dyDescent="0.25">
      <c r="A4" s="242" t="s">
        <v>17</v>
      </c>
      <c r="B4" s="242"/>
      <c r="C4" s="242"/>
      <c r="D4" s="242"/>
      <c r="E4" s="242"/>
      <c r="F4" s="242"/>
      <c r="H4" s="89"/>
      <c r="I4" s="89"/>
      <c r="J4" s="89"/>
      <c r="K4" s="89"/>
    </row>
    <row r="5" spans="1:22" ht="19.5" customHeight="1" x14ac:dyDescent="0.25">
      <c r="L5" s="87">
        <f>'Общие данные'!B81</f>
        <v>30</v>
      </c>
    </row>
    <row r="6" spans="1:22" x14ac:dyDescent="0.25">
      <c r="A6" s="243" t="s">
        <v>15</v>
      </c>
      <c r="B6" s="244" t="s">
        <v>9</v>
      </c>
      <c r="C6" s="244" t="s">
        <v>10</v>
      </c>
      <c r="D6" s="245" t="s">
        <v>11</v>
      </c>
      <c r="E6" s="245"/>
      <c r="F6" s="245"/>
    </row>
    <row r="7" spans="1:22" s="16" customFormat="1" x14ac:dyDescent="0.25">
      <c r="A7" s="243"/>
      <c r="B7" s="244"/>
      <c r="C7" s="244"/>
      <c r="D7" s="91" t="s">
        <v>12</v>
      </c>
      <c r="E7" s="91" t="s">
        <v>13</v>
      </c>
      <c r="F7" s="91" t="s">
        <v>14</v>
      </c>
      <c r="G7" s="92"/>
      <c r="H7" s="92"/>
      <c r="I7" s="92"/>
      <c r="J7" s="92"/>
      <c r="K7" s="92"/>
      <c r="L7" s="92"/>
      <c r="M7" s="92"/>
      <c r="N7" s="92"/>
    </row>
    <row r="8" spans="1:22" x14ac:dyDescent="0.25">
      <c r="A8" s="93">
        <v>1</v>
      </c>
      <c r="B8" s="94">
        <f>'Общие данные'!B79</f>
        <v>45757</v>
      </c>
      <c r="C8" s="51">
        <f>'Общие данные'!B75</f>
        <v>40000000</v>
      </c>
      <c r="D8" s="51">
        <f>IF(IF(C8=0,L8,IF(C8&gt;1,I8))="",0,(IF(C8=0,L8,IF(C8&gt;1,I8))))</f>
        <v>1333333.33</v>
      </c>
      <c r="E8" s="51">
        <f>IF(C8=0,N6,IF(C8&gt;1,L8))</f>
        <v>2301369.6999999997</v>
      </c>
      <c r="F8" s="51">
        <f>IF(C8=0,O6,IF(C8&gt;1,M8))</f>
        <v>3634703.03</v>
      </c>
      <c r="G8" s="107">
        <f>B8-'Общие данные'!B67</f>
        <v>35</v>
      </c>
      <c r="H8" s="87">
        <f>DATE(YEAR(B8),12,31)-DATE(YEAR(B8),1,1)+1</f>
        <v>365</v>
      </c>
      <c r="I8" s="95">
        <f>IF('Общие данные'!B83=0,ROUND(C8/L5,2),"")</f>
        <v>1333333.33</v>
      </c>
      <c r="J8" s="95"/>
      <c r="K8" s="95"/>
      <c r="L8" s="89">
        <f>ROUND(C8*'Общие данные'!$B$84/H8,2)*G8</f>
        <v>2301369.6999999997</v>
      </c>
      <c r="M8" s="89">
        <f t="shared" ref="M8:M31" si="0">D8+E8</f>
        <v>3634703.03</v>
      </c>
      <c r="N8" s="89"/>
      <c r="O8" s="104" t="str">
        <f>TEXT(B8,"ддд")</f>
        <v>Чт</v>
      </c>
      <c r="P8" s="106">
        <f>IF(O8=$U$8,2,IF(O8=$V$8,1,0))</f>
        <v>0</v>
      </c>
      <c r="Q8" s="106">
        <f>DAY('Общие данные'!$B$78)+P8</f>
        <v>10</v>
      </c>
      <c r="R8" s="101"/>
      <c r="S8" s="102" t="s">
        <v>32</v>
      </c>
      <c r="T8" s="102" t="s">
        <v>33</v>
      </c>
      <c r="U8" s="102" t="s">
        <v>34</v>
      </c>
      <c r="V8" s="103" t="s">
        <v>35</v>
      </c>
    </row>
    <row r="9" spans="1:22" x14ac:dyDescent="0.25">
      <c r="A9" s="93">
        <v>2</v>
      </c>
      <c r="B9" s="94">
        <f>IF(A9&lt;='Общие данные'!$B$81,DATE(YEAR(R9),MONTH(R9),DAY(IF(A9='Общие данные'!$B$81,'Общие данные'!$B$67,IF(A9&lt;'Общие данные'!$B$81,(Q9),IF(A9&gt;'Общие данные'!$B$81,$H$44,0))))))</f>
        <v>45789</v>
      </c>
      <c r="C9" s="51">
        <f t="shared" ref="C9:C30" si="1">C8-D8</f>
        <v>38666666.670000002</v>
      </c>
      <c r="D9" s="51">
        <f t="shared" ref="D9:D30" si="2">IF(C9=0,L9,IF(C9&gt;1,I9))</f>
        <v>1333333.33</v>
      </c>
      <c r="E9" s="51">
        <f t="shared" ref="E9:E30" si="3">IF(C9=0,N8,IF(C9&gt;1,L9))</f>
        <v>2033972.48</v>
      </c>
      <c r="F9" s="51">
        <f t="shared" ref="F9:F30" si="4">IF(C9=0,N8,IF(C9&gt;1,M9))</f>
        <v>3367305.81</v>
      </c>
      <c r="G9" s="87">
        <f>B9-B8</f>
        <v>32</v>
      </c>
      <c r="H9" s="87">
        <f t="shared" ref="H9:H31" si="5">DATE(YEAR(B9),12,31)-DATE(YEAR(B9),1,1)+1</f>
        <v>365</v>
      </c>
      <c r="I9" s="95">
        <f>IF(I8="",ROUND(C8/(L5-1),2),I8)</f>
        <v>1333333.33</v>
      </c>
      <c r="J9" s="95"/>
      <c r="K9" s="95"/>
      <c r="L9" s="89">
        <f>ROUND(C9*'Общие данные'!$B$84/H9,2)*G9</f>
        <v>2033972.48</v>
      </c>
      <c r="M9" s="89">
        <f t="shared" si="0"/>
        <v>3367305.81</v>
      </c>
      <c r="N9" s="89"/>
      <c r="O9" s="104" t="str">
        <f>TEXT(R9,"ддд")</f>
        <v>Сб</v>
      </c>
      <c r="P9" s="106">
        <f t="shared" ref="P9:P31" si="6">IF(O9=$U$8,2,IF(O9=$V$8,1,0))</f>
        <v>2</v>
      </c>
      <c r="Q9" s="106">
        <f>DAY('Общие данные'!$B$78)+P9</f>
        <v>12</v>
      </c>
      <c r="R9" s="101">
        <f>IF(A9&lt;='Общие данные'!$B$81,DATE(YEAR($B$8),MONTH($B$8)+A8,DAY('Общие данные'!$B$78)),0)</f>
        <v>45787</v>
      </c>
      <c r="S9" s="87"/>
      <c r="T9" s="87"/>
      <c r="U9" s="87"/>
      <c r="V9" s="87"/>
    </row>
    <row r="10" spans="1:22" x14ac:dyDescent="0.25">
      <c r="A10" s="93">
        <v>3</v>
      </c>
      <c r="B10" s="94">
        <f>IF(A10&lt;='Общие данные'!$B$81,DATE(YEAR(R10),MONTH(R10),DAY(IF(A10='Общие данные'!$B$81,'Общие данные'!$B$67,IF(A10&lt;'Общие данные'!$B$81,(Q10),IF(A10&gt;'Общие данные'!$B$81,$H$44,0))))))</f>
        <v>45818</v>
      </c>
      <c r="C10" s="51">
        <f t="shared" si="1"/>
        <v>37333333.340000004</v>
      </c>
      <c r="D10" s="51">
        <f t="shared" si="2"/>
        <v>1333333.33</v>
      </c>
      <c r="E10" s="51">
        <f t="shared" si="3"/>
        <v>1779725.94</v>
      </c>
      <c r="F10" s="51">
        <f t="shared" si="4"/>
        <v>3113059.27</v>
      </c>
      <c r="G10" s="87">
        <f t="shared" ref="G10:G31" si="7">B10-B9</f>
        <v>29</v>
      </c>
      <c r="H10" s="87">
        <f t="shared" si="5"/>
        <v>365</v>
      </c>
      <c r="I10" s="95">
        <f>I9</f>
        <v>1333333.33</v>
      </c>
      <c r="J10" s="95"/>
      <c r="K10" s="95"/>
      <c r="L10" s="89">
        <f>ROUND(C10*'Общие данные'!$B$84/H10,2)*G10</f>
        <v>1779725.94</v>
      </c>
      <c r="M10" s="89">
        <f t="shared" si="0"/>
        <v>3113059.27</v>
      </c>
      <c r="N10" s="89"/>
      <c r="O10" s="104" t="str">
        <f t="shared" ref="O10:O31" si="8">TEXT(R10,"ддд")</f>
        <v>Вт</v>
      </c>
      <c r="P10" s="106">
        <f t="shared" si="6"/>
        <v>0</v>
      </c>
      <c r="Q10" s="106">
        <f>DAY('Общие данные'!$B$78)+P10</f>
        <v>10</v>
      </c>
      <c r="R10" s="101">
        <f>IF(A10&lt;='Общие данные'!$B$81,DATE(YEAR($B$8),MONTH($B$8)+A9,DAY('Общие данные'!$B$78)),0)</f>
        <v>45818</v>
      </c>
      <c r="S10" s="87"/>
      <c r="T10" s="87"/>
      <c r="U10" s="87"/>
      <c r="V10" s="87"/>
    </row>
    <row r="11" spans="1:22" x14ac:dyDescent="0.25">
      <c r="A11" s="93">
        <v>4</v>
      </c>
      <c r="B11" s="94">
        <f>IF(A11&lt;='Общие данные'!$B$81,DATE(YEAR(R11),MONTH(R11),DAY(IF(A11='Общие данные'!$B$81,'Общие данные'!$B$67,IF(A11&lt;'Общие данные'!$B$81,(Q11),IF(A11&gt;'Общие данные'!$B$81,$H$44,0))))))</f>
        <v>45848</v>
      </c>
      <c r="C11" s="51">
        <f t="shared" si="1"/>
        <v>36000000.010000005</v>
      </c>
      <c r="D11" s="51">
        <f t="shared" si="2"/>
        <v>1333333.33</v>
      </c>
      <c r="E11" s="51">
        <f t="shared" si="3"/>
        <v>1775342.4000000001</v>
      </c>
      <c r="F11" s="51">
        <f t="shared" si="4"/>
        <v>3108675.7300000004</v>
      </c>
      <c r="G11" s="87">
        <f t="shared" si="7"/>
        <v>30</v>
      </c>
      <c r="H11" s="87">
        <f t="shared" si="5"/>
        <v>365</v>
      </c>
      <c r="I11" s="95">
        <f>I10</f>
        <v>1333333.33</v>
      </c>
      <c r="J11" s="95"/>
      <c r="K11" s="95"/>
      <c r="L11" s="89">
        <f>ROUND(C11*'Общие данные'!$B$84/H11,2)*G11</f>
        <v>1775342.4000000001</v>
      </c>
      <c r="M11" s="89">
        <f t="shared" si="0"/>
        <v>3108675.7300000004</v>
      </c>
      <c r="N11" s="89"/>
      <c r="O11" s="104" t="str">
        <f t="shared" si="8"/>
        <v>Чт</v>
      </c>
      <c r="P11" s="106">
        <f t="shared" si="6"/>
        <v>0</v>
      </c>
      <c r="Q11" s="106">
        <f>DAY('Общие данные'!$B$78)+P11</f>
        <v>10</v>
      </c>
      <c r="R11" s="101">
        <f>IF(A11&lt;='Общие данные'!$B$81,DATE(YEAR($B$8),MONTH($B$8)+A10,DAY('Общие данные'!$B$78)),0)</f>
        <v>45848</v>
      </c>
      <c r="S11" s="87"/>
      <c r="T11" s="87"/>
      <c r="U11" s="87"/>
      <c r="V11" s="87"/>
    </row>
    <row r="12" spans="1:22" x14ac:dyDescent="0.25">
      <c r="A12" s="93">
        <v>5</v>
      </c>
      <c r="B12" s="94">
        <f>IF(A12&lt;='Общие данные'!$B$81,DATE(YEAR(R12),MONTH(R12),DAY(IF(A12='Общие данные'!$B$81,'Общие данные'!$B$67,IF(A12&lt;'Общие данные'!$B$81,(Q12),IF(A12&gt;'Общие данные'!$B$81,$H$44,0))))))</f>
        <v>45880</v>
      </c>
      <c r="C12" s="51">
        <f t="shared" si="1"/>
        <v>34666666.680000007</v>
      </c>
      <c r="D12" s="51">
        <f t="shared" si="2"/>
        <v>1333333.33</v>
      </c>
      <c r="E12" s="51">
        <f t="shared" si="3"/>
        <v>1823561.6</v>
      </c>
      <c r="F12" s="51">
        <f t="shared" si="4"/>
        <v>3156894.93</v>
      </c>
      <c r="G12" s="87">
        <f t="shared" si="7"/>
        <v>32</v>
      </c>
      <c r="H12" s="87">
        <f t="shared" si="5"/>
        <v>365</v>
      </c>
      <c r="I12" s="95">
        <f>I11</f>
        <v>1333333.33</v>
      </c>
      <c r="J12" s="95">
        <f>'Общие данные'!B75</f>
        <v>40000000</v>
      </c>
      <c r="K12" s="95"/>
      <c r="L12" s="89">
        <f>ROUND(C12*'Общие данные'!$B$84/H12,2)*G12</f>
        <v>1823561.6</v>
      </c>
      <c r="M12" s="89">
        <f t="shared" si="0"/>
        <v>3156894.93</v>
      </c>
      <c r="N12" s="89"/>
      <c r="O12" s="104" t="str">
        <f t="shared" si="8"/>
        <v>Вс</v>
      </c>
      <c r="P12" s="106">
        <f t="shared" si="6"/>
        <v>1</v>
      </c>
      <c r="Q12" s="106">
        <f>DAY('Общие данные'!$B$78)+P12</f>
        <v>11</v>
      </c>
      <c r="R12" s="101">
        <f>IF(A12&lt;='Общие данные'!$B$81,DATE(YEAR($B$8),MONTH($B$8)+A11,DAY('Общие данные'!$B$78)),0)</f>
        <v>45879</v>
      </c>
      <c r="S12" s="87"/>
      <c r="T12" s="87"/>
      <c r="U12" s="87"/>
      <c r="V12" s="87"/>
    </row>
    <row r="13" spans="1:22" x14ac:dyDescent="0.25">
      <c r="A13" s="93">
        <v>6</v>
      </c>
      <c r="B13" s="94">
        <f>IF(A13&lt;='Общие данные'!$B$81,DATE(YEAR(R13),MONTH(R13),DAY(IF(A13='Общие данные'!$B$81,'Общие данные'!$B$67,IF(A13&lt;'Общие данные'!$B$81,(Q13),IF(A13&gt;'Общие данные'!$B$81,$H$44,0))))))</f>
        <v>45910</v>
      </c>
      <c r="C13" s="51">
        <f t="shared" si="1"/>
        <v>33333333.350000009</v>
      </c>
      <c r="D13" s="51">
        <f t="shared" si="2"/>
        <v>1333333.33</v>
      </c>
      <c r="E13" s="51">
        <f t="shared" si="3"/>
        <v>1643835.5999999999</v>
      </c>
      <c r="F13" s="51">
        <f t="shared" si="4"/>
        <v>2977168.9299999997</v>
      </c>
      <c r="G13" s="87">
        <f t="shared" si="7"/>
        <v>30</v>
      </c>
      <c r="H13" s="87">
        <f t="shared" si="5"/>
        <v>365</v>
      </c>
      <c r="I13" s="95">
        <f>IF(L5=H1,K13,IF(L5&gt;H1,I12))</f>
        <v>1333333.33</v>
      </c>
      <c r="J13" s="95">
        <f>SUM($I$8:I12)</f>
        <v>6666666.6500000004</v>
      </c>
      <c r="K13" s="95">
        <f>$J$12-J13</f>
        <v>33333333.350000001</v>
      </c>
      <c r="L13" s="89">
        <f>ROUND(C13*'Общие данные'!$B$84/H13,2)*G13</f>
        <v>1643835.5999999999</v>
      </c>
      <c r="M13" s="89">
        <f t="shared" si="0"/>
        <v>2977168.9299999997</v>
      </c>
      <c r="N13" s="89"/>
      <c r="O13" s="104" t="str">
        <f t="shared" si="8"/>
        <v>Ср</v>
      </c>
      <c r="P13" s="106">
        <f t="shared" si="6"/>
        <v>0</v>
      </c>
      <c r="Q13" s="106">
        <f>DAY('Общие данные'!$B$78)+P13</f>
        <v>10</v>
      </c>
      <c r="R13" s="101">
        <f>IF(A13&lt;='Общие данные'!$B$81,DATE(YEAR($B$8),MONTH($B$8)+A12,DAY('Общие данные'!$B$78)),0)</f>
        <v>45910</v>
      </c>
      <c r="S13" s="87"/>
      <c r="T13" s="87"/>
      <c r="U13" s="87"/>
      <c r="V13" s="87"/>
    </row>
    <row r="14" spans="1:22" x14ac:dyDescent="0.25">
      <c r="A14" s="93">
        <v>7</v>
      </c>
      <c r="B14" s="94">
        <f>IF(A14&lt;='Общие данные'!$B$81,DATE(YEAR(R14),MONTH(R14),DAY(IF(A14='Общие данные'!$B$81,'Общие данные'!$B$67,IF(A14&lt;'Общие данные'!$B$81,(Q14),IF(A14&gt;'Общие данные'!$B$81,$H$44,0))))))</f>
        <v>45940</v>
      </c>
      <c r="C14" s="51">
        <f t="shared" si="1"/>
        <v>32000000.020000011</v>
      </c>
      <c r="D14" s="51">
        <f t="shared" si="2"/>
        <v>1333333.33</v>
      </c>
      <c r="E14" s="51">
        <f t="shared" si="3"/>
        <v>1578082.2</v>
      </c>
      <c r="F14" s="51">
        <f t="shared" si="4"/>
        <v>2911415.5300000003</v>
      </c>
      <c r="G14" s="87">
        <f t="shared" si="7"/>
        <v>30</v>
      </c>
      <c r="H14" s="87">
        <f t="shared" si="5"/>
        <v>365</v>
      </c>
      <c r="I14" s="95">
        <f>IF($L$5=A14,K14,IF($L$5&gt;A14,I13))</f>
        <v>1333333.33</v>
      </c>
      <c r="J14" s="95">
        <f>SUM($I$8:I13)</f>
        <v>7999999.9800000004</v>
      </c>
      <c r="K14" s="95">
        <f t="shared" ref="K14:K31" si="9">$J$12-J14</f>
        <v>32000000.02</v>
      </c>
      <c r="L14" s="89">
        <f>ROUND(C14*'Общие данные'!$B$84/H14,2)*G14</f>
        <v>1578082.2</v>
      </c>
      <c r="M14" s="89">
        <f t="shared" si="0"/>
        <v>2911415.5300000003</v>
      </c>
      <c r="N14" s="89"/>
      <c r="O14" s="104" t="str">
        <f t="shared" si="8"/>
        <v>Пт</v>
      </c>
      <c r="P14" s="106">
        <f t="shared" si="6"/>
        <v>0</v>
      </c>
      <c r="Q14" s="106">
        <f>DAY('Общие данные'!$B$78)+P14</f>
        <v>10</v>
      </c>
      <c r="R14" s="101">
        <f>IF(A14&lt;='Общие данные'!$B$81,DATE(YEAR($B$8),MONTH($B$8)+A13,DAY('Общие данные'!$B$78)),0)</f>
        <v>45940</v>
      </c>
      <c r="S14" s="87"/>
      <c r="T14" s="87"/>
      <c r="U14" s="87"/>
      <c r="V14" s="87"/>
    </row>
    <row r="15" spans="1:22" x14ac:dyDescent="0.25">
      <c r="A15" s="93">
        <v>8</v>
      </c>
      <c r="B15" s="94">
        <f>IF(A15&lt;='Общие данные'!$B$81,DATE(YEAR(R15),MONTH(R15),DAY(IF(A15='Общие данные'!$B$81,'Общие данные'!$B$67,IF(A15&lt;'Общие данные'!$B$81,(Q15),IF(A15&gt;'Общие данные'!$B$81,$H$44,0))))))</f>
        <v>45971</v>
      </c>
      <c r="C15" s="51">
        <f t="shared" si="1"/>
        <v>30666666.690000013</v>
      </c>
      <c r="D15" s="51">
        <f t="shared" si="2"/>
        <v>1333333.33</v>
      </c>
      <c r="E15" s="51">
        <f t="shared" si="3"/>
        <v>1562739.76</v>
      </c>
      <c r="F15" s="51">
        <f t="shared" si="4"/>
        <v>2896073.09</v>
      </c>
      <c r="G15" s="87">
        <f t="shared" si="7"/>
        <v>31</v>
      </c>
      <c r="H15" s="87">
        <f t="shared" si="5"/>
        <v>365</v>
      </c>
      <c r="I15" s="95">
        <f t="shared" ref="I15:I31" si="10">IF($L$5=A15,K15,IF($L$5&gt;A15,I14))</f>
        <v>1333333.33</v>
      </c>
      <c r="J15" s="95">
        <f>SUM($I$8:I14)</f>
        <v>9333333.3100000005</v>
      </c>
      <c r="K15" s="95">
        <f t="shared" si="9"/>
        <v>30666666.689999998</v>
      </c>
      <c r="L15" s="89">
        <f>ROUND(C15*'Общие данные'!$B$84/H15,2)*G15</f>
        <v>1562739.76</v>
      </c>
      <c r="M15" s="89">
        <f t="shared" si="0"/>
        <v>2896073.09</v>
      </c>
      <c r="N15" s="89"/>
      <c r="O15" s="104" t="str">
        <f t="shared" si="8"/>
        <v>Пн</v>
      </c>
      <c r="P15" s="106">
        <f t="shared" si="6"/>
        <v>0</v>
      </c>
      <c r="Q15" s="106">
        <f>DAY('Общие данные'!$B$78)+P15</f>
        <v>10</v>
      </c>
      <c r="R15" s="101">
        <f>IF(A15&lt;='Общие данные'!$B$81,DATE(YEAR($B$8),MONTH($B$8)+A14,DAY('Общие данные'!$B$78)),0)</f>
        <v>45971</v>
      </c>
      <c r="S15" s="87"/>
      <c r="T15" s="87"/>
      <c r="U15" s="87"/>
      <c r="V15" s="87"/>
    </row>
    <row r="16" spans="1:22" x14ac:dyDescent="0.25">
      <c r="A16" s="93">
        <v>9</v>
      </c>
      <c r="B16" s="94">
        <f>IF(A16&lt;='Общие данные'!$B$81,DATE(YEAR(R16),MONTH(R16),DAY(IF(A16='Общие данные'!$B$81,'Общие данные'!$B$67,IF(A16&lt;'Общие данные'!$B$81,(Q16),IF(A16&gt;'Общие данные'!$B$81,$H$44,0))))))</f>
        <v>46001</v>
      </c>
      <c r="C16" s="51">
        <f t="shared" si="1"/>
        <v>29333333.360000014</v>
      </c>
      <c r="D16" s="51">
        <f t="shared" si="2"/>
        <v>1333333.33</v>
      </c>
      <c r="E16" s="51">
        <f t="shared" si="3"/>
        <v>1446575.4</v>
      </c>
      <c r="F16" s="51">
        <f t="shared" si="4"/>
        <v>2779908.73</v>
      </c>
      <c r="G16" s="87">
        <f t="shared" si="7"/>
        <v>30</v>
      </c>
      <c r="H16" s="87">
        <f t="shared" si="5"/>
        <v>365</v>
      </c>
      <c r="I16" s="95">
        <f t="shared" si="10"/>
        <v>1333333.33</v>
      </c>
      <c r="J16" s="95">
        <f>SUM($I$8:I15)</f>
        <v>10666666.640000001</v>
      </c>
      <c r="K16" s="95">
        <f t="shared" si="9"/>
        <v>29333333.359999999</v>
      </c>
      <c r="L16" s="89">
        <f>ROUND(C16*'Общие данные'!$B$84/H16,2)*G16</f>
        <v>1446575.4</v>
      </c>
      <c r="M16" s="89">
        <f t="shared" si="0"/>
        <v>2779908.73</v>
      </c>
      <c r="N16" s="89"/>
      <c r="O16" s="104" t="str">
        <f t="shared" si="8"/>
        <v>Ср</v>
      </c>
      <c r="P16" s="106">
        <f t="shared" si="6"/>
        <v>0</v>
      </c>
      <c r="Q16" s="106">
        <f>DAY('Общие данные'!$B$78)+P16</f>
        <v>10</v>
      </c>
      <c r="R16" s="101">
        <f>IF(A16&lt;='Общие данные'!$B$81,DATE(YEAR($B$8),MONTH($B$8)+A15,DAY('Общие данные'!$B$78)),0)</f>
        <v>46001</v>
      </c>
      <c r="S16" s="87"/>
      <c r="T16" s="87"/>
      <c r="U16" s="87"/>
      <c r="V16" s="87"/>
    </row>
    <row r="17" spans="1:22" x14ac:dyDescent="0.25">
      <c r="A17" s="93">
        <v>10</v>
      </c>
      <c r="B17" s="94">
        <f>IF(A17&lt;='Общие данные'!$B$81,DATE(YEAR(R17),MONTH(R17),DAY(IF(A17='Общие данные'!$B$81,'Общие данные'!$B$67,IF(A17&lt;'Общие данные'!$B$81,(Q17),IF(A17&gt;'Общие данные'!$B$81,$H$44,0))))))</f>
        <v>46034</v>
      </c>
      <c r="C17" s="51">
        <f t="shared" si="1"/>
        <v>28000000.030000016</v>
      </c>
      <c r="D17" s="51">
        <f t="shared" si="2"/>
        <v>1333333.33</v>
      </c>
      <c r="E17" s="51">
        <f t="shared" si="3"/>
        <v>1518904.2</v>
      </c>
      <c r="F17" s="51">
        <f t="shared" si="4"/>
        <v>2852237.5300000003</v>
      </c>
      <c r="G17" s="87">
        <f t="shared" si="7"/>
        <v>33</v>
      </c>
      <c r="H17" s="87">
        <f t="shared" si="5"/>
        <v>365</v>
      </c>
      <c r="I17" s="95">
        <f t="shared" si="10"/>
        <v>1333333.33</v>
      </c>
      <c r="J17" s="95">
        <f>SUM($I$8:I16)</f>
        <v>11999999.970000001</v>
      </c>
      <c r="K17" s="95">
        <f>$J$12-J17</f>
        <v>28000000.030000001</v>
      </c>
      <c r="L17" s="89">
        <f>ROUND(C17*'Общие данные'!$B$84/H17,2)*G17</f>
        <v>1518904.2</v>
      </c>
      <c r="M17" s="89">
        <f t="shared" si="0"/>
        <v>2852237.5300000003</v>
      </c>
      <c r="N17" s="89"/>
      <c r="O17" s="104" t="str">
        <f t="shared" si="8"/>
        <v>Сб</v>
      </c>
      <c r="P17" s="106">
        <f t="shared" si="6"/>
        <v>2</v>
      </c>
      <c r="Q17" s="106">
        <f>DAY('Общие данные'!$B$78)+P17</f>
        <v>12</v>
      </c>
      <c r="R17" s="101">
        <f>IF(A17&lt;='Общие данные'!$B$81,DATE(YEAR($B$8),MONTH($B$8)+A16,DAY('Общие данные'!$B$78)),0)</f>
        <v>46032</v>
      </c>
      <c r="S17" s="87"/>
      <c r="T17" s="87"/>
      <c r="U17" s="87"/>
      <c r="V17" s="87"/>
    </row>
    <row r="18" spans="1:22" x14ac:dyDescent="0.25">
      <c r="A18" s="93">
        <v>11</v>
      </c>
      <c r="B18" s="94">
        <f>IF(A18&lt;='Общие данные'!$B$81,DATE(YEAR(R18),MONTH(R18),DAY(IF(A18='Общие данные'!$B$81,'Общие данные'!$B$67,IF(A18&lt;'Общие данные'!$B$81,(Q18),IF(A18&gt;'Общие данные'!$B$81,$H$44,0))))))</f>
        <v>46063</v>
      </c>
      <c r="C18" s="51">
        <f t="shared" si="1"/>
        <v>26666666.700000018</v>
      </c>
      <c r="D18" s="51">
        <f t="shared" si="2"/>
        <v>1333333.33</v>
      </c>
      <c r="E18" s="51">
        <f t="shared" si="3"/>
        <v>1271232.98</v>
      </c>
      <c r="F18" s="51">
        <f t="shared" si="4"/>
        <v>2604566.31</v>
      </c>
      <c r="G18" s="87">
        <f t="shared" si="7"/>
        <v>29</v>
      </c>
      <c r="H18" s="87">
        <f t="shared" si="5"/>
        <v>365</v>
      </c>
      <c r="I18" s="95">
        <f t="shared" si="10"/>
        <v>1333333.33</v>
      </c>
      <c r="J18" s="95">
        <f>SUM($I$8:I17)</f>
        <v>13333333.300000001</v>
      </c>
      <c r="K18" s="95">
        <f t="shared" si="9"/>
        <v>26666666.699999999</v>
      </c>
      <c r="L18" s="89">
        <f>ROUND(C18*'Общие данные'!$B$84/H18,2)*G18</f>
        <v>1271232.98</v>
      </c>
      <c r="M18" s="89">
        <f t="shared" si="0"/>
        <v>2604566.31</v>
      </c>
      <c r="N18" s="89"/>
      <c r="O18" s="104" t="str">
        <f t="shared" si="8"/>
        <v>Вт</v>
      </c>
      <c r="P18" s="106">
        <f t="shared" si="6"/>
        <v>0</v>
      </c>
      <c r="Q18" s="106">
        <f>DAY('Общие данные'!$B$78)+P18</f>
        <v>10</v>
      </c>
      <c r="R18" s="101">
        <f>IF(A18&lt;='Общие данные'!$B$81,DATE(YEAR($B$8),MONTH($B$8)+A17,DAY('Общие данные'!$B$78)),0)</f>
        <v>46063</v>
      </c>
      <c r="S18" s="87"/>
      <c r="T18" s="87"/>
      <c r="U18" s="87"/>
      <c r="V18" s="87"/>
    </row>
    <row r="19" spans="1:22" x14ac:dyDescent="0.25">
      <c r="A19" s="93">
        <v>12</v>
      </c>
      <c r="B19" s="94">
        <f>IF(A19&lt;='Общие данные'!$B$81,DATE(YEAR(R19),MONTH(R19),DAY(IF(A19='Общие данные'!$B$81,'Общие данные'!$B$67,IF(A19&lt;'Общие данные'!$B$81,(Q19),IF(A19&gt;'Общие данные'!$B$81,$H$44,0))))))</f>
        <v>46091</v>
      </c>
      <c r="C19" s="51">
        <f t="shared" si="1"/>
        <v>25333333.37000002</v>
      </c>
      <c r="D19" s="51">
        <f t="shared" si="2"/>
        <v>1333333.33</v>
      </c>
      <c r="E19" s="51">
        <f t="shared" si="3"/>
        <v>1166027.52</v>
      </c>
      <c r="F19" s="51">
        <f t="shared" si="4"/>
        <v>2499360.85</v>
      </c>
      <c r="G19" s="87">
        <f t="shared" si="7"/>
        <v>28</v>
      </c>
      <c r="H19" s="87">
        <f t="shared" si="5"/>
        <v>365</v>
      </c>
      <c r="I19" s="95">
        <f t="shared" si="10"/>
        <v>1333333.33</v>
      </c>
      <c r="J19" s="95">
        <f>SUM($I$8:I18)</f>
        <v>14666666.630000001</v>
      </c>
      <c r="K19" s="95">
        <f t="shared" si="9"/>
        <v>25333333.369999997</v>
      </c>
      <c r="L19" s="89">
        <f>ROUND(C19*'Общие данные'!$B$84/H19,2)*G19</f>
        <v>1166027.52</v>
      </c>
      <c r="M19" s="89">
        <f t="shared" si="0"/>
        <v>2499360.85</v>
      </c>
      <c r="N19" s="89"/>
      <c r="O19" s="104" t="str">
        <f t="shared" si="8"/>
        <v>Вт</v>
      </c>
      <c r="P19" s="106">
        <f t="shared" si="6"/>
        <v>0</v>
      </c>
      <c r="Q19" s="106">
        <f>DAY('Общие данные'!$B$78)+P19</f>
        <v>10</v>
      </c>
      <c r="R19" s="101">
        <f>IF(A19&lt;='Общие данные'!$B$81,DATE(YEAR($B$8),MONTH($B$8)+A18,DAY('Общие данные'!$B$78)),0)</f>
        <v>46091</v>
      </c>
      <c r="S19" s="87"/>
      <c r="T19" s="87"/>
      <c r="U19" s="87"/>
      <c r="V19" s="87"/>
    </row>
    <row r="20" spans="1:22" x14ac:dyDescent="0.25">
      <c r="A20" s="93">
        <v>13</v>
      </c>
      <c r="B20" s="94">
        <f>IF(A20&lt;='Общие данные'!$B$81,DATE(YEAR(R20),MONTH(R20),DAY(IF(A20='Общие данные'!$B$81,'Общие данные'!$B$67,IF(A20&lt;'Общие данные'!$B$81,(Q20),IF(A20&gt;'Общие данные'!$B$81,$H$44,0))))))</f>
        <v>46122</v>
      </c>
      <c r="C20" s="51">
        <f t="shared" si="1"/>
        <v>24000000.040000021</v>
      </c>
      <c r="D20" s="51">
        <f t="shared" si="2"/>
        <v>1333333.33</v>
      </c>
      <c r="E20" s="51">
        <f t="shared" si="3"/>
        <v>1223013.55</v>
      </c>
      <c r="F20" s="51">
        <f t="shared" si="4"/>
        <v>2556346.88</v>
      </c>
      <c r="G20" s="87">
        <f t="shared" si="7"/>
        <v>31</v>
      </c>
      <c r="H20" s="87">
        <f t="shared" si="5"/>
        <v>365</v>
      </c>
      <c r="I20" s="95">
        <f t="shared" si="10"/>
        <v>1333333.33</v>
      </c>
      <c r="J20" s="95">
        <f>SUM($I$8:I19)</f>
        <v>15999999.960000001</v>
      </c>
      <c r="K20" s="95">
        <f>$J$12-J20</f>
        <v>24000000.039999999</v>
      </c>
      <c r="L20" s="89">
        <f>ROUND(C20*'Общие данные'!$B$84/H20,2)*G20</f>
        <v>1223013.55</v>
      </c>
      <c r="M20" s="89">
        <f t="shared" si="0"/>
        <v>2556346.88</v>
      </c>
      <c r="N20" s="89"/>
      <c r="O20" s="104" t="str">
        <f t="shared" si="8"/>
        <v>Пт</v>
      </c>
      <c r="P20" s="106">
        <f t="shared" si="6"/>
        <v>0</v>
      </c>
      <c r="Q20" s="106">
        <f>DAY('Общие данные'!$B$78)+P20</f>
        <v>10</v>
      </c>
      <c r="R20" s="101">
        <f>IF(A20&lt;='Общие данные'!$B$81,DATE(YEAR($B$8),MONTH($B$8)+A19,DAY('Общие данные'!$B$78)),0)</f>
        <v>46122</v>
      </c>
      <c r="S20" s="87"/>
      <c r="T20" s="87"/>
      <c r="U20" s="87"/>
      <c r="V20" s="87"/>
    </row>
    <row r="21" spans="1:22" x14ac:dyDescent="0.25">
      <c r="A21" s="93">
        <v>14</v>
      </c>
      <c r="B21" s="94">
        <f>IF(A21&lt;='Общие данные'!$B$81,DATE(YEAR(R21),MONTH(R21),DAY(IF(A21='Общие данные'!$B$81,'Общие данные'!$B$67,IF(A21&lt;'Общие данные'!$B$81,(Q21),IF(A21&gt;'Общие данные'!$B$81,$H$44,0))))))</f>
        <v>46153</v>
      </c>
      <c r="C21" s="51">
        <f t="shared" si="1"/>
        <v>22666666.710000023</v>
      </c>
      <c r="D21" s="51">
        <f t="shared" si="2"/>
        <v>1333333.33</v>
      </c>
      <c r="E21" s="51">
        <f t="shared" si="3"/>
        <v>1155068.3699999999</v>
      </c>
      <c r="F21" s="51">
        <f t="shared" si="4"/>
        <v>2488401.7000000002</v>
      </c>
      <c r="G21" s="87">
        <f t="shared" si="7"/>
        <v>31</v>
      </c>
      <c r="H21" s="87">
        <f t="shared" si="5"/>
        <v>365</v>
      </c>
      <c r="I21" s="95">
        <f t="shared" si="10"/>
        <v>1333333.33</v>
      </c>
      <c r="J21" s="95">
        <f>SUM($I$8:I20)</f>
        <v>17333333.289999999</v>
      </c>
      <c r="K21" s="95">
        <f t="shared" si="9"/>
        <v>22666666.710000001</v>
      </c>
      <c r="L21" s="89">
        <f>ROUND(C21*'Общие данные'!$B$84/H21,2)*G21</f>
        <v>1155068.3699999999</v>
      </c>
      <c r="M21" s="89">
        <f t="shared" si="0"/>
        <v>2488401.7000000002</v>
      </c>
      <c r="N21" s="89"/>
      <c r="O21" s="104" t="str">
        <f t="shared" si="8"/>
        <v>Вс</v>
      </c>
      <c r="P21" s="106">
        <f t="shared" si="6"/>
        <v>1</v>
      </c>
      <c r="Q21" s="106">
        <f>DAY('Общие данные'!$B$78)+P21</f>
        <v>11</v>
      </c>
      <c r="R21" s="101">
        <f>IF(A21&lt;='Общие данные'!$B$81,DATE(YEAR($B$8),MONTH($B$8)+A20,DAY('Общие данные'!$B$78)),0)</f>
        <v>46152</v>
      </c>
      <c r="S21" s="87"/>
      <c r="T21" s="87"/>
      <c r="U21" s="87"/>
      <c r="V21" s="87"/>
    </row>
    <row r="22" spans="1:22" x14ac:dyDescent="0.25">
      <c r="A22" s="93">
        <v>15</v>
      </c>
      <c r="B22" s="94">
        <f>IF(A22&lt;='Общие данные'!$B$81,DATE(YEAR(R22),MONTH(R22),DAY(IF(A22='Общие данные'!$B$81,'Общие данные'!$B$67,IF(A22&lt;'Общие данные'!$B$81,(Q22),IF(A22&gt;'Общие данные'!$B$81,$H$44,0))))))</f>
        <v>46183</v>
      </c>
      <c r="C22" s="51">
        <f t="shared" si="1"/>
        <v>21333333.380000025</v>
      </c>
      <c r="D22" s="51">
        <f t="shared" si="2"/>
        <v>1333333.33</v>
      </c>
      <c r="E22" s="51">
        <f t="shared" si="3"/>
        <v>1052054.7</v>
      </c>
      <c r="F22" s="51">
        <f t="shared" si="4"/>
        <v>2385388.0300000003</v>
      </c>
      <c r="G22" s="87">
        <f t="shared" si="7"/>
        <v>30</v>
      </c>
      <c r="H22" s="87">
        <f t="shared" si="5"/>
        <v>365</v>
      </c>
      <c r="I22" s="95">
        <f t="shared" si="10"/>
        <v>1333333.33</v>
      </c>
      <c r="J22" s="95">
        <f>SUM($I$8:I21)</f>
        <v>18666666.619999997</v>
      </c>
      <c r="K22" s="95">
        <f t="shared" si="9"/>
        <v>21333333.380000003</v>
      </c>
      <c r="L22" s="89">
        <f>ROUND(C22*'Общие данные'!$B$84/H22,2)*G22</f>
        <v>1052054.7</v>
      </c>
      <c r="M22" s="89">
        <f t="shared" si="0"/>
        <v>2385388.0300000003</v>
      </c>
      <c r="N22" s="89"/>
      <c r="O22" s="104" t="str">
        <f t="shared" si="8"/>
        <v>Ср</v>
      </c>
      <c r="P22" s="106">
        <f t="shared" si="6"/>
        <v>0</v>
      </c>
      <c r="Q22" s="106">
        <f>DAY('Общие данные'!$B$78)+P22</f>
        <v>10</v>
      </c>
      <c r="R22" s="101">
        <f>IF(A22&lt;='Общие данные'!$B$81,DATE(YEAR($B$8),MONTH($B$8)+A21,DAY('Общие данные'!$B$78)),0)</f>
        <v>46183</v>
      </c>
      <c r="S22" s="87"/>
      <c r="T22" s="87"/>
      <c r="U22" s="87"/>
      <c r="V22" s="87"/>
    </row>
    <row r="23" spans="1:22" x14ac:dyDescent="0.25">
      <c r="A23" s="93">
        <v>16</v>
      </c>
      <c r="B23" s="94">
        <f>IF(A23&lt;='Общие данные'!$B$81,DATE(YEAR(R23),MONTH(R23),DAY(IF(A23='Общие данные'!$B$81,'Общие данные'!$B$67,IF(A23&lt;'Общие данные'!$B$81,(Q23),IF(A23&gt;'Общие данные'!$B$81,$H$44,0))))))</f>
        <v>46213</v>
      </c>
      <c r="C23" s="51">
        <f t="shared" si="1"/>
        <v>20000000.050000027</v>
      </c>
      <c r="D23" s="51">
        <f t="shared" si="2"/>
        <v>1333333.33</v>
      </c>
      <c r="E23" s="51">
        <f t="shared" si="3"/>
        <v>986301.29999999993</v>
      </c>
      <c r="F23" s="51">
        <f t="shared" si="4"/>
        <v>2319634.63</v>
      </c>
      <c r="G23" s="87">
        <f t="shared" si="7"/>
        <v>30</v>
      </c>
      <c r="H23" s="87">
        <f t="shared" si="5"/>
        <v>365</v>
      </c>
      <c r="I23" s="95">
        <f t="shared" si="10"/>
        <v>1333333.33</v>
      </c>
      <c r="J23" s="95">
        <f>SUM($I$8:I22)</f>
        <v>19999999.949999996</v>
      </c>
      <c r="K23" s="95">
        <f t="shared" si="9"/>
        <v>20000000.050000004</v>
      </c>
      <c r="L23" s="89">
        <f>ROUND(C23*'Общие данные'!$B$84/H23,2)*G23</f>
        <v>986301.29999999993</v>
      </c>
      <c r="M23" s="89">
        <f t="shared" si="0"/>
        <v>2319634.63</v>
      </c>
      <c r="N23" s="89"/>
      <c r="O23" s="104" t="str">
        <f t="shared" si="8"/>
        <v>Пт</v>
      </c>
      <c r="P23" s="106">
        <f t="shared" si="6"/>
        <v>0</v>
      </c>
      <c r="Q23" s="106">
        <f>DAY('Общие данные'!$B$78)+P23</f>
        <v>10</v>
      </c>
      <c r="R23" s="101">
        <f>IF(A23&lt;='Общие данные'!$B$81,DATE(YEAR($B$8),MONTH($B$8)+A22,DAY('Общие данные'!$B$78)),0)</f>
        <v>46213</v>
      </c>
      <c r="S23" s="87"/>
      <c r="T23" s="87"/>
      <c r="U23" s="87"/>
      <c r="V23" s="87"/>
    </row>
    <row r="24" spans="1:22" x14ac:dyDescent="0.25">
      <c r="A24" s="93">
        <v>17</v>
      </c>
      <c r="B24" s="94">
        <f>IF(A24&lt;='Общие данные'!$B$81,DATE(YEAR(R24),MONTH(R24),DAY(IF(A24='Общие данные'!$B$81,'Общие данные'!$B$67,IF(A24&lt;'Общие данные'!$B$81,(Q24),IF(A24&gt;'Общие данные'!$B$81,$H$44,0))))))</f>
        <v>46244</v>
      </c>
      <c r="C24" s="51">
        <f t="shared" si="1"/>
        <v>18666666.720000029</v>
      </c>
      <c r="D24" s="51">
        <f t="shared" si="2"/>
        <v>1333333.33</v>
      </c>
      <c r="E24" s="51">
        <f t="shared" si="3"/>
        <v>951232.83</v>
      </c>
      <c r="F24" s="51">
        <f t="shared" si="4"/>
        <v>2284566.16</v>
      </c>
      <c r="G24" s="87">
        <f t="shared" si="7"/>
        <v>31</v>
      </c>
      <c r="H24" s="87">
        <f t="shared" si="5"/>
        <v>365</v>
      </c>
      <c r="I24" s="95">
        <f t="shared" si="10"/>
        <v>1333333.33</v>
      </c>
      <c r="J24" s="95">
        <f>SUM($I$8:I23)</f>
        <v>21333333.279999994</v>
      </c>
      <c r="K24" s="95">
        <f t="shared" si="9"/>
        <v>18666666.720000006</v>
      </c>
      <c r="L24" s="89">
        <f>ROUND(C24*'Общие данные'!$B$84/H24,2)*G24</f>
        <v>951232.83</v>
      </c>
      <c r="M24" s="89">
        <f t="shared" si="0"/>
        <v>2284566.16</v>
      </c>
      <c r="N24" s="89"/>
      <c r="O24" s="104" t="str">
        <f t="shared" si="8"/>
        <v>Пн</v>
      </c>
      <c r="P24" s="106">
        <f t="shared" si="6"/>
        <v>0</v>
      </c>
      <c r="Q24" s="106">
        <f>DAY('Общие данные'!$B$78)+P24</f>
        <v>10</v>
      </c>
      <c r="R24" s="101">
        <f>IF(A24&lt;='Общие данные'!$B$81,DATE(YEAR($B$8),MONTH($B$8)+A23,DAY('Общие данные'!$B$78)),0)</f>
        <v>46244</v>
      </c>
      <c r="S24" s="87"/>
      <c r="T24" s="87"/>
      <c r="U24" s="87"/>
      <c r="V24" s="87"/>
    </row>
    <row r="25" spans="1:22" x14ac:dyDescent="0.25">
      <c r="A25" s="93">
        <v>18</v>
      </c>
      <c r="B25" s="94">
        <f>IF(A25&lt;='Общие данные'!$B$81,DATE(YEAR(R25),MONTH(R25),DAY(IF(A25='Общие данные'!$B$81,'Общие данные'!$B$67,IF(A25&lt;'Общие данные'!$B$81,(Q25),IF(A25&gt;'Общие данные'!$B$81,$H$44,0))))))</f>
        <v>46275</v>
      </c>
      <c r="C25" s="51">
        <f t="shared" si="1"/>
        <v>17333333.39000003</v>
      </c>
      <c r="D25" s="51">
        <f t="shared" si="2"/>
        <v>1333333.33</v>
      </c>
      <c r="E25" s="51">
        <f t="shared" si="3"/>
        <v>883287.65</v>
      </c>
      <c r="F25" s="51">
        <f t="shared" si="4"/>
        <v>2216620.98</v>
      </c>
      <c r="G25" s="87">
        <f t="shared" si="7"/>
        <v>31</v>
      </c>
      <c r="H25" s="87">
        <f t="shared" si="5"/>
        <v>365</v>
      </c>
      <c r="I25" s="95">
        <f t="shared" si="10"/>
        <v>1333333.33</v>
      </c>
      <c r="J25" s="95">
        <f>SUM($I$8:I24)</f>
        <v>22666666.609999992</v>
      </c>
      <c r="K25" s="95">
        <f t="shared" si="9"/>
        <v>17333333.390000008</v>
      </c>
      <c r="L25" s="89">
        <f>ROUND(C25*'Общие данные'!$B$84/H25,2)*G25</f>
        <v>883287.65</v>
      </c>
      <c r="M25" s="89">
        <f t="shared" si="0"/>
        <v>2216620.98</v>
      </c>
      <c r="N25" s="89"/>
      <c r="O25" s="104" t="str">
        <f t="shared" si="8"/>
        <v>Чт</v>
      </c>
      <c r="P25" s="106">
        <f t="shared" si="6"/>
        <v>0</v>
      </c>
      <c r="Q25" s="106">
        <f>DAY('Общие данные'!$B$78)+P25</f>
        <v>10</v>
      </c>
      <c r="R25" s="101">
        <f>IF(A25&lt;='Общие данные'!$B$81,DATE(YEAR($B$8),MONTH($B$8)+A24,DAY('Общие данные'!$B$78)),0)</f>
        <v>46275</v>
      </c>
      <c r="S25" s="87"/>
      <c r="T25" s="87"/>
      <c r="U25" s="87"/>
      <c r="V25" s="87"/>
    </row>
    <row r="26" spans="1:22" x14ac:dyDescent="0.25">
      <c r="A26" s="93">
        <v>19</v>
      </c>
      <c r="B26" s="94">
        <f>IF(A26&lt;='Общие данные'!$B$81,DATE(YEAR(R26),MONTH(R26),DAY(IF(A26='Общие данные'!$B$81,'Общие данные'!$B$67,IF(A26&lt;'Общие данные'!$B$81,(Q26),IF(A26&gt;'Общие данные'!$B$81,$H$44,0))))))</f>
        <v>46307</v>
      </c>
      <c r="C26" s="51">
        <f t="shared" si="1"/>
        <v>16000000.06000003</v>
      </c>
      <c r="D26" s="51">
        <f t="shared" si="2"/>
        <v>1333333.33</v>
      </c>
      <c r="E26" s="51">
        <f t="shared" si="3"/>
        <v>841643.84</v>
      </c>
      <c r="F26" s="51">
        <f t="shared" si="4"/>
        <v>2174977.17</v>
      </c>
      <c r="G26" s="87">
        <f t="shared" si="7"/>
        <v>32</v>
      </c>
      <c r="H26" s="87">
        <f t="shared" si="5"/>
        <v>365</v>
      </c>
      <c r="I26" s="95">
        <f t="shared" si="10"/>
        <v>1333333.33</v>
      </c>
      <c r="J26" s="95">
        <f>SUM($I$8:I25)</f>
        <v>23999999.93999999</v>
      </c>
      <c r="K26" s="95">
        <f t="shared" si="9"/>
        <v>16000000.06000001</v>
      </c>
      <c r="L26" s="89">
        <f>ROUND(C26*'Общие данные'!$B$84/H26,2)*G26</f>
        <v>841643.84</v>
      </c>
      <c r="M26" s="89">
        <f t="shared" si="0"/>
        <v>2174977.17</v>
      </c>
      <c r="N26" s="89"/>
      <c r="O26" s="104" t="str">
        <f t="shared" si="8"/>
        <v>Сб</v>
      </c>
      <c r="P26" s="106">
        <f t="shared" si="6"/>
        <v>2</v>
      </c>
      <c r="Q26" s="106">
        <f>DAY('Общие данные'!$B$78)+P26</f>
        <v>12</v>
      </c>
      <c r="R26" s="101">
        <f>IF(A26&lt;='Общие данные'!$B$81,DATE(YEAR($B$8),MONTH($B$8)+A25,DAY('Общие данные'!$B$78)),0)</f>
        <v>46305</v>
      </c>
      <c r="S26" s="87"/>
      <c r="T26" s="87"/>
      <c r="U26" s="87"/>
      <c r="V26" s="87"/>
    </row>
    <row r="27" spans="1:22" x14ac:dyDescent="0.25">
      <c r="A27" s="93">
        <v>20</v>
      </c>
      <c r="B27" s="94">
        <f>IF(A27&lt;='Общие данные'!$B$81,DATE(YEAR(R27),MONTH(R27),DAY(IF(A27='Общие данные'!$B$81,'Общие данные'!$B$67,IF(A27&lt;'Общие данные'!$B$81,(Q27),IF(A27&gt;'Общие данные'!$B$81,$H$44,0))))))</f>
        <v>46336</v>
      </c>
      <c r="C27" s="51">
        <f t="shared" si="1"/>
        <v>14666666.73000003</v>
      </c>
      <c r="D27" s="51">
        <f t="shared" si="2"/>
        <v>1333333.33</v>
      </c>
      <c r="E27" s="51">
        <f t="shared" si="3"/>
        <v>699178.11</v>
      </c>
      <c r="F27" s="51">
        <f t="shared" si="4"/>
        <v>2032511.44</v>
      </c>
      <c r="G27" s="87">
        <f t="shared" si="7"/>
        <v>29</v>
      </c>
      <c r="H27" s="87">
        <f t="shared" si="5"/>
        <v>365</v>
      </c>
      <c r="I27" s="95">
        <f t="shared" si="10"/>
        <v>1333333.33</v>
      </c>
      <c r="J27" s="95">
        <f>SUM($I$8:I26)</f>
        <v>25333333.269999988</v>
      </c>
      <c r="K27" s="95">
        <f t="shared" si="9"/>
        <v>14666666.730000012</v>
      </c>
      <c r="L27" s="89">
        <f>ROUND(C27*'Общие данные'!$B$84/H27,2)*G27</f>
        <v>699178.11</v>
      </c>
      <c r="M27" s="89">
        <f t="shared" si="0"/>
        <v>2032511.44</v>
      </c>
      <c r="N27" s="89"/>
      <c r="O27" s="104" t="str">
        <f t="shared" si="8"/>
        <v>Вт</v>
      </c>
      <c r="P27" s="106">
        <f t="shared" si="6"/>
        <v>0</v>
      </c>
      <c r="Q27" s="106">
        <f>DAY('Общие данные'!$B$78)+P27</f>
        <v>10</v>
      </c>
      <c r="R27" s="101">
        <f>IF(A27&lt;='Общие данные'!$B$81,DATE(YEAR($B$8),MONTH($B$8)+A26,DAY('Общие данные'!$B$78)),0)</f>
        <v>46336</v>
      </c>
      <c r="S27" s="87"/>
      <c r="T27" s="87"/>
      <c r="U27" s="87"/>
      <c r="V27" s="87"/>
    </row>
    <row r="28" spans="1:22" x14ac:dyDescent="0.25">
      <c r="A28" s="93">
        <v>21</v>
      </c>
      <c r="B28" s="94">
        <f>IF(A28&lt;='Общие данные'!$B$81,DATE(YEAR(R28),MONTH(R28),DAY(IF(A28='Общие данные'!$B$81,'Общие данные'!$B$67,IF(A28&lt;'Общие данные'!$B$81,(Q28),IF(A28&gt;'Общие данные'!$B$81,$H$44,0))))))</f>
        <v>46366</v>
      </c>
      <c r="C28" s="51">
        <f t="shared" si="1"/>
        <v>13333333.40000003</v>
      </c>
      <c r="D28" s="51">
        <f t="shared" si="2"/>
        <v>1333333.33</v>
      </c>
      <c r="E28" s="51">
        <f t="shared" si="3"/>
        <v>657534.30000000005</v>
      </c>
      <c r="F28" s="51">
        <f t="shared" si="4"/>
        <v>1990867.6300000001</v>
      </c>
      <c r="G28" s="87">
        <f t="shared" si="7"/>
        <v>30</v>
      </c>
      <c r="H28" s="87">
        <f t="shared" si="5"/>
        <v>365</v>
      </c>
      <c r="I28" s="95">
        <f t="shared" si="10"/>
        <v>1333333.33</v>
      </c>
      <c r="J28" s="95">
        <f>SUM($I$8:I27)</f>
        <v>26666666.599999987</v>
      </c>
      <c r="K28" s="95">
        <f t="shared" si="9"/>
        <v>13333333.400000013</v>
      </c>
      <c r="L28" s="89">
        <f>ROUND(C28*'Общие данные'!$B$84/H28,2)*G28</f>
        <v>657534.30000000005</v>
      </c>
      <c r="M28" s="89">
        <f t="shared" si="0"/>
        <v>1990867.6300000001</v>
      </c>
      <c r="N28" s="89"/>
      <c r="O28" s="104" t="str">
        <f t="shared" si="8"/>
        <v>Чт</v>
      </c>
      <c r="P28" s="106">
        <f t="shared" si="6"/>
        <v>0</v>
      </c>
      <c r="Q28" s="106">
        <f>DAY('Общие данные'!$B$78)+P28</f>
        <v>10</v>
      </c>
      <c r="R28" s="101">
        <f>IF(A28&lt;='Общие данные'!$B$81,DATE(YEAR($B$8),MONTH($B$8)+A27,DAY('Общие данные'!$B$78)),0)</f>
        <v>46366</v>
      </c>
      <c r="S28" s="87"/>
      <c r="T28" s="87"/>
      <c r="U28" s="87"/>
      <c r="V28" s="87"/>
    </row>
    <row r="29" spans="1:22" x14ac:dyDescent="0.25">
      <c r="A29" s="93">
        <v>22</v>
      </c>
      <c r="B29" s="94">
        <f>IF(A29&lt;='Общие данные'!$B$81,DATE(YEAR(R29),MONTH(R29),DAY(IF(A29='Общие данные'!$B$81,'Общие данные'!$B$67,IF(A29&lt;'Общие данные'!$B$81,(Q29),IF(A29&gt;'Общие данные'!$B$81,$H$44,0))))))</f>
        <v>46398</v>
      </c>
      <c r="C29" s="51">
        <f t="shared" si="1"/>
        <v>12000000.07000003</v>
      </c>
      <c r="D29" s="51">
        <f t="shared" si="2"/>
        <v>1333333.33</v>
      </c>
      <c r="E29" s="51">
        <f t="shared" si="3"/>
        <v>631232.96</v>
      </c>
      <c r="F29" s="51">
        <f t="shared" si="4"/>
        <v>1964566.29</v>
      </c>
      <c r="G29" s="87">
        <f t="shared" si="7"/>
        <v>32</v>
      </c>
      <c r="H29" s="87">
        <f t="shared" si="5"/>
        <v>365</v>
      </c>
      <c r="I29" s="95">
        <f t="shared" si="10"/>
        <v>1333333.33</v>
      </c>
      <c r="J29" s="95">
        <f>SUM($I$8:I28)</f>
        <v>27999999.929999985</v>
      </c>
      <c r="K29" s="95">
        <f t="shared" si="9"/>
        <v>12000000.070000015</v>
      </c>
      <c r="L29" s="89">
        <f>ROUND(C29*'Общие данные'!$B$84/H29,2)*G29</f>
        <v>631232.96</v>
      </c>
      <c r="M29" s="89">
        <f t="shared" si="0"/>
        <v>1964566.29</v>
      </c>
      <c r="N29" s="89"/>
      <c r="O29" s="104" t="str">
        <f t="shared" si="8"/>
        <v>Вс</v>
      </c>
      <c r="P29" s="106">
        <f t="shared" si="6"/>
        <v>1</v>
      </c>
      <c r="Q29" s="106">
        <f>DAY('Общие данные'!$B$78)+P29</f>
        <v>11</v>
      </c>
      <c r="R29" s="101">
        <f>IF(A29&lt;='Общие данные'!$B$81,DATE(YEAR($B$8),MONTH($B$8)+A28,DAY('Общие данные'!$B$78)),0)</f>
        <v>46397</v>
      </c>
      <c r="S29" s="87"/>
      <c r="T29" s="87"/>
      <c r="U29" s="87"/>
      <c r="V29" s="87"/>
    </row>
    <row r="30" spans="1:22" x14ac:dyDescent="0.25">
      <c r="A30" s="93">
        <v>23</v>
      </c>
      <c r="B30" s="94">
        <f>IF(A30&lt;='Общие данные'!$B$81,DATE(YEAR(R30),MONTH(R30),DAY(IF(A30='Общие данные'!$B$81,'Общие данные'!$B$67,IF(A30&lt;'Общие данные'!$B$81,(Q30),IF(A30&gt;'Общие данные'!$B$81,$H$44,0))))))</f>
        <v>46428</v>
      </c>
      <c r="C30" s="51">
        <f t="shared" si="1"/>
        <v>10666666.74000003</v>
      </c>
      <c r="D30" s="51">
        <f t="shared" si="2"/>
        <v>1333333.33</v>
      </c>
      <c r="E30" s="51">
        <f t="shared" si="3"/>
        <v>526027.5</v>
      </c>
      <c r="F30" s="51">
        <f t="shared" si="4"/>
        <v>1859360.83</v>
      </c>
      <c r="G30" s="87">
        <f t="shared" si="7"/>
        <v>30</v>
      </c>
      <c r="H30" s="87">
        <f t="shared" si="5"/>
        <v>365</v>
      </c>
      <c r="I30" s="95">
        <f t="shared" si="10"/>
        <v>1333333.33</v>
      </c>
      <c r="J30" s="95">
        <f>SUM($I$8:I29)</f>
        <v>29333333.259999983</v>
      </c>
      <c r="K30" s="95">
        <f t="shared" si="9"/>
        <v>10666666.740000017</v>
      </c>
      <c r="L30" s="89">
        <f>ROUND(C30*'Общие данные'!$B$84/H30,2)*G30</f>
        <v>526027.5</v>
      </c>
      <c r="M30" s="89">
        <f t="shared" si="0"/>
        <v>1859360.83</v>
      </c>
      <c r="N30" s="89"/>
      <c r="O30" s="104" t="str">
        <f t="shared" si="8"/>
        <v>Ср</v>
      </c>
      <c r="P30" s="106">
        <f t="shared" si="6"/>
        <v>0</v>
      </c>
      <c r="Q30" s="106">
        <f>DAY('Общие данные'!$B$78)+P30</f>
        <v>10</v>
      </c>
      <c r="R30" s="101">
        <f>IF(A30&lt;='Общие данные'!$B$81,DATE(YEAR($B$8),MONTH($B$8)+A29,DAY('Общие данные'!$B$78)),0)</f>
        <v>46428</v>
      </c>
      <c r="S30" s="87"/>
      <c r="T30" s="87"/>
      <c r="U30" s="87"/>
      <c r="V30" s="87"/>
    </row>
    <row r="31" spans="1:22" x14ac:dyDescent="0.25">
      <c r="A31" s="93">
        <v>24</v>
      </c>
      <c r="B31" s="94">
        <f>IF(A31&lt;='Общие данные'!$B$81,DATE(YEAR(R31),MONTH(R31),DAY(IF(A31='Общие данные'!$B$81,'Общие данные'!$B$67,IF(A31&lt;'Общие данные'!$B$81,(Q31),IF(A31&gt;'Общие данные'!$B$81,$H$44,0))))))</f>
        <v>46456</v>
      </c>
      <c r="C31" s="51">
        <f t="shared" ref="C31" si="11">C30-D30</f>
        <v>9333333.41000003</v>
      </c>
      <c r="D31" s="51">
        <f t="shared" ref="D31" si="12">IF(C31=0,L31,IF(C31&gt;1,I31))</f>
        <v>1333333.33</v>
      </c>
      <c r="E31" s="51">
        <f t="shared" ref="E31" si="13">IF(C31=0,N30,IF(C31&gt;1,L31))</f>
        <v>429589.16</v>
      </c>
      <c r="F31" s="51">
        <f t="shared" ref="F31" si="14">IF(C31=0,N30,IF(C31&gt;1,M31))</f>
        <v>1762922.49</v>
      </c>
      <c r="G31" s="87">
        <f t="shared" si="7"/>
        <v>28</v>
      </c>
      <c r="H31" s="87">
        <f t="shared" si="5"/>
        <v>365</v>
      </c>
      <c r="I31" s="95">
        <f t="shared" si="10"/>
        <v>1333333.33</v>
      </c>
      <c r="J31" s="95">
        <f>SUM($I$8:I30)</f>
        <v>30666666.589999981</v>
      </c>
      <c r="K31" s="95">
        <f t="shared" si="9"/>
        <v>9333333.4100000188</v>
      </c>
      <c r="L31" s="89">
        <f>ROUND(C31*'Общие данные'!$B$84/H31,2)*G31</f>
        <v>429589.16</v>
      </c>
      <c r="M31" s="89">
        <f t="shared" si="0"/>
        <v>1762922.49</v>
      </c>
      <c r="N31" s="89"/>
      <c r="O31" s="104" t="str">
        <f t="shared" si="8"/>
        <v>Ср</v>
      </c>
      <c r="P31" s="106">
        <f t="shared" si="6"/>
        <v>0</v>
      </c>
      <c r="Q31" s="106">
        <f>DAY('Общие данные'!$B$78)+P31</f>
        <v>10</v>
      </c>
      <c r="R31" s="101">
        <f>IF(A31&lt;='Общие данные'!$B$81,DATE(YEAR($B$8),MONTH($B$8)+A30,DAY('Общие данные'!$B$78)),0)</f>
        <v>46456</v>
      </c>
      <c r="S31" s="87"/>
      <c r="T31" s="87"/>
      <c r="U31" s="87"/>
      <c r="V31" s="87"/>
    </row>
    <row r="32" spans="1:22" x14ac:dyDescent="0.25">
      <c r="A32" s="93">
        <f>1+A31</f>
        <v>25</v>
      </c>
      <c r="B32" s="94">
        <f>IF(A32&lt;='Общие данные'!$B$81,DATE(YEAR(R32),MONTH(R32),DAY(IF(A32='Общие данные'!$B$81,'Общие данные'!$B$67,IF(A32&lt;'Общие данные'!$B$81,(Q32),IF(A32&gt;'Общие данные'!$B$81,$H$44,0))))))</f>
        <v>46489</v>
      </c>
      <c r="C32" s="51">
        <f t="shared" ref="C32:C42" si="15">C31-D31</f>
        <v>8000000.0800000299</v>
      </c>
      <c r="D32" s="51">
        <f t="shared" ref="D32:D42" si="16">IF(C32=0,L32,IF(C32&gt;1,I32))</f>
        <v>1333333.33</v>
      </c>
      <c r="E32" s="51">
        <f t="shared" ref="E32:E42" si="17">IF(C32=0,N31,IF(C32&gt;1,L32))</f>
        <v>433972.77</v>
      </c>
      <c r="F32" s="51">
        <f t="shared" ref="F32:F42" si="18">IF(C32=0,N31,IF(C32&gt;1,M32))</f>
        <v>1767306.1</v>
      </c>
      <c r="G32" s="87">
        <f t="shared" ref="G32:G42" si="19">B32-B31</f>
        <v>33</v>
      </c>
      <c r="H32" s="87">
        <f t="shared" ref="H32:H42" si="20">DATE(YEAR(B32),12,31)-DATE(YEAR(B32),1,1)+1</f>
        <v>365</v>
      </c>
      <c r="I32" s="95">
        <f t="shared" ref="I32:I42" si="21">IF($L$5=A32,K32,IF($L$5&gt;A32,I31))</f>
        <v>1333333.33</v>
      </c>
      <c r="J32" s="95">
        <f>SUM($I$8:I31)</f>
        <v>31999999.919999979</v>
      </c>
      <c r="K32" s="95">
        <f t="shared" ref="K32:K42" si="22">$J$12-J32</f>
        <v>8000000.0800000206</v>
      </c>
      <c r="L32" s="89">
        <f>ROUND(C32*'Общие данные'!$B$84/H32,2)*G32</f>
        <v>433972.77</v>
      </c>
      <c r="M32" s="89">
        <f t="shared" ref="M32:M42" si="23">D32+E32</f>
        <v>1767306.1</v>
      </c>
      <c r="N32" s="89"/>
      <c r="O32" s="104" t="str">
        <f t="shared" ref="O32:O42" si="24">TEXT(R32,"ддд")</f>
        <v>Сб</v>
      </c>
      <c r="P32" s="106">
        <f t="shared" ref="P32:P42" si="25">IF(O32=$U$8,2,IF(O32=$V$8,1,0))</f>
        <v>2</v>
      </c>
      <c r="Q32" s="106">
        <f>DAY('Общие данные'!$B$78)+P32</f>
        <v>12</v>
      </c>
      <c r="R32" s="101">
        <f>IF(A32&lt;='Общие данные'!$B$81,DATE(YEAR($B$8),MONTH($B$8)+A31,DAY('Общие данные'!$B$78)),0)</f>
        <v>46487</v>
      </c>
      <c r="S32" s="87"/>
      <c r="T32" s="87"/>
      <c r="U32" s="87"/>
      <c r="V32" s="87"/>
    </row>
    <row r="33" spans="1:22" x14ac:dyDescent="0.25">
      <c r="A33" s="93">
        <f t="shared" ref="A33:A42" si="26">1+A32</f>
        <v>26</v>
      </c>
      <c r="B33" s="94">
        <f>IF(A33&lt;='Общие данные'!$B$81,DATE(YEAR(R33),MONTH(R33),DAY(IF(A33='Общие данные'!$B$81,'Общие данные'!$B$67,IF(A33&lt;'Общие данные'!$B$81,(Q33),IF(A33&gt;'Общие данные'!$B$81,$H$44,0))))))</f>
        <v>46517</v>
      </c>
      <c r="C33" s="51">
        <f t="shared" si="15"/>
        <v>6666666.7500000298</v>
      </c>
      <c r="D33" s="51">
        <f t="shared" si="16"/>
        <v>1333333.33</v>
      </c>
      <c r="E33" s="51">
        <f t="shared" si="17"/>
        <v>306849.2</v>
      </c>
      <c r="F33" s="51">
        <f t="shared" si="18"/>
        <v>1640182.53</v>
      </c>
      <c r="G33" s="87">
        <f t="shared" si="19"/>
        <v>28</v>
      </c>
      <c r="H33" s="87">
        <f t="shared" si="20"/>
        <v>365</v>
      </c>
      <c r="I33" s="95">
        <f t="shared" si="21"/>
        <v>1333333.33</v>
      </c>
      <c r="J33" s="95">
        <f>SUM($I$8:I32)</f>
        <v>33333333.249999978</v>
      </c>
      <c r="K33" s="95">
        <f t="shared" si="22"/>
        <v>6666666.7500000224</v>
      </c>
      <c r="L33" s="89">
        <f>ROUND(C33*'Общие данные'!$B$84/H33,2)*G33</f>
        <v>306849.2</v>
      </c>
      <c r="M33" s="89">
        <f t="shared" si="23"/>
        <v>1640182.53</v>
      </c>
      <c r="N33" s="89"/>
      <c r="O33" s="104" t="str">
        <f t="shared" si="24"/>
        <v>Пн</v>
      </c>
      <c r="P33" s="106">
        <f t="shared" si="25"/>
        <v>0</v>
      </c>
      <c r="Q33" s="106">
        <f>DAY('Общие данные'!$B$78)+P33</f>
        <v>10</v>
      </c>
      <c r="R33" s="101">
        <f>IF(A33&lt;='Общие данные'!$B$81,DATE(YEAR($B$8),MONTH($B$8)+A32,DAY('Общие данные'!$B$78)),0)</f>
        <v>46517</v>
      </c>
      <c r="S33" s="87"/>
      <c r="T33" s="87"/>
      <c r="U33" s="87"/>
      <c r="V33" s="87"/>
    </row>
    <row r="34" spans="1:22" x14ac:dyDescent="0.25">
      <c r="A34" s="93">
        <f t="shared" si="26"/>
        <v>27</v>
      </c>
      <c r="B34" s="94">
        <f>IF(A34&lt;='Общие данные'!$B$81,DATE(YEAR(R34),MONTH(R34),DAY(IF(A34='Общие данные'!$B$81,'Общие данные'!$B$67,IF(A34&lt;'Общие данные'!$B$81,(Q34),IF(A34&gt;'Общие данные'!$B$81,$H$44,0))))))</f>
        <v>46548</v>
      </c>
      <c r="C34" s="51">
        <f t="shared" si="15"/>
        <v>5333333.4200000297</v>
      </c>
      <c r="D34" s="51">
        <f t="shared" si="16"/>
        <v>1333333.33</v>
      </c>
      <c r="E34" s="51">
        <f t="shared" si="17"/>
        <v>271780.72000000003</v>
      </c>
      <c r="F34" s="51">
        <f t="shared" si="18"/>
        <v>1605114.05</v>
      </c>
      <c r="G34" s="87">
        <f t="shared" si="19"/>
        <v>31</v>
      </c>
      <c r="H34" s="87">
        <f t="shared" si="20"/>
        <v>365</v>
      </c>
      <c r="I34" s="95">
        <f t="shared" si="21"/>
        <v>1333333.33</v>
      </c>
      <c r="J34" s="95">
        <f>SUM($I$8:I33)</f>
        <v>34666666.579999976</v>
      </c>
      <c r="K34" s="95">
        <f t="shared" si="22"/>
        <v>5333333.4200000241</v>
      </c>
      <c r="L34" s="89">
        <f>ROUND(C34*'Общие данные'!$B$84/H34,2)*G34</f>
        <v>271780.72000000003</v>
      </c>
      <c r="M34" s="89">
        <f t="shared" si="23"/>
        <v>1605114.05</v>
      </c>
      <c r="N34" s="89"/>
      <c r="O34" s="104" t="str">
        <f t="shared" si="24"/>
        <v>Чт</v>
      </c>
      <c r="P34" s="106">
        <f t="shared" si="25"/>
        <v>0</v>
      </c>
      <c r="Q34" s="106">
        <f>DAY('Общие данные'!$B$78)+P34</f>
        <v>10</v>
      </c>
      <c r="R34" s="101">
        <f>IF(A34&lt;='Общие данные'!$B$81,DATE(YEAR($B$8),MONTH($B$8)+A33,DAY('Общие данные'!$B$78)),0)</f>
        <v>46548</v>
      </c>
      <c r="S34" s="87"/>
      <c r="T34" s="87"/>
      <c r="U34" s="87"/>
      <c r="V34" s="87"/>
    </row>
    <row r="35" spans="1:22" x14ac:dyDescent="0.25">
      <c r="A35" s="93">
        <f t="shared" si="26"/>
        <v>28</v>
      </c>
      <c r="B35" s="94">
        <f>IF(A35&lt;='Общие данные'!$B$81,DATE(YEAR(R35),MONTH(R35),DAY(IF(A35='Общие данные'!$B$81,'Общие данные'!$B$67,IF(A35&lt;'Общие данные'!$B$81,(Q35),IF(A35&gt;'Общие данные'!$B$81,$H$44,0))))))</f>
        <v>46580</v>
      </c>
      <c r="C35" s="51">
        <f t="shared" si="15"/>
        <v>4000000.0900000297</v>
      </c>
      <c r="D35" s="51">
        <f t="shared" si="16"/>
        <v>1333333.33</v>
      </c>
      <c r="E35" s="51">
        <f t="shared" si="17"/>
        <v>210410.88</v>
      </c>
      <c r="F35" s="51">
        <f t="shared" si="18"/>
        <v>1543744.21</v>
      </c>
      <c r="G35" s="87">
        <f t="shared" si="19"/>
        <v>32</v>
      </c>
      <c r="H35" s="87">
        <f t="shared" si="20"/>
        <v>365</v>
      </c>
      <c r="I35" s="95">
        <f t="shared" si="21"/>
        <v>1333333.33</v>
      </c>
      <c r="J35" s="95">
        <f>SUM($I$8:I34)</f>
        <v>35999999.909999974</v>
      </c>
      <c r="K35" s="95">
        <f t="shared" si="22"/>
        <v>4000000.0900000259</v>
      </c>
      <c r="L35" s="89">
        <f>ROUND(C35*'Общие данные'!$B$84/H35,2)*G35</f>
        <v>210410.88</v>
      </c>
      <c r="M35" s="89">
        <f t="shared" si="23"/>
        <v>1543744.21</v>
      </c>
      <c r="N35" s="89"/>
      <c r="O35" s="104" t="str">
        <f t="shared" si="24"/>
        <v>Сб</v>
      </c>
      <c r="P35" s="106">
        <f t="shared" si="25"/>
        <v>2</v>
      </c>
      <c r="Q35" s="106">
        <f>DAY('Общие данные'!$B$78)+P35</f>
        <v>12</v>
      </c>
      <c r="R35" s="101">
        <f>IF(A35&lt;='Общие данные'!$B$81,DATE(YEAR($B$8),MONTH($B$8)+A34,DAY('Общие данные'!$B$78)),0)</f>
        <v>46578</v>
      </c>
      <c r="S35" s="87"/>
      <c r="T35" s="87"/>
      <c r="U35" s="87"/>
      <c r="V35" s="87"/>
    </row>
    <row r="36" spans="1:22" x14ac:dyDescent="0.25">
      <c r="A36" s="93">
        <f t="shared" si="26"/>
        <v>29</v>
      </c>
      <c r="B36" s="94">
        <f>IF(A36&lt;='Общие данные'!$B$81,DATE(YEAR(R36),MONTH(R36),DAY(IF(A36='Общие данные'!$B$81,'Общие данные'!$B$67,IF(A36&lt;'Общие данные'!$B$81,(Q36),IF(A36&gt;'Общие данные'!$B$81,$H$44,0))))))</f>
        <v>46609</v>
      </c>
      <c r="C36" s="51">
        <f t="shared" si="15"/>
        <v>2666666.7600000296</v>
      </c>
      <c r="D36" s="51">
        <f t="shared" si="16"/>
        <v>1333333.33</v>
      </c>
      <c r="E36" s="51">
        <f t="shared" si="17"/>
        <v>127123.24</v>
      </c>
      <c r="F36" s="51">
        <f t="shared" si="18"/>
        <v>1460456.57</v>
      </c>
      <c r="G36" s="87">
        <f t="shared" si="19"/>
        <v>29</v>
      </c>
      <c r="H36" s="87">
        <f t="shared" si="20"/>
        <v>365</v>
      </c>
      <c r="I36" s="95">
        <f t="shared" si="21"/>
        <v>1333333.33</v>
      </c>
      <c r="J36" s="95">
        <f>SUM($I$8:I35)</f>
        <v>37333333.239999972</v>
      </c>
      <c r="K36" s="95">
        <f t="shared" si="22"/>
        <v>2666666.7600000277</v>
      </c>
      <c r="L36" s="89">
        <f>ROUND(C36*'Общие данные'!$B$84/H36,2)*G36</f>
        <v>127123.24</v>
      </c>
      <c r="M36" s="89">
        <f t="shared" si="23"/>
        <v>1460456.57</v>
      </c>
      <c r="N36" s="89"/>
      <c r="O36" s="104" t="str">
        <f t="shared" si="24"/>
        <v>Вт</v>
      </c>
      <c r="P36" s="106">
        <f t="shared" si="25"/>
        <v>0</v>
      </c>
      <c r="Q36" s="106">
        <f>DAY('Общие данные'!$B$78)+P36</f>
        <v>10</v>
      </c>
      <c r="R36" s="101">
        <f>IF(A36&lt;='Общие данные'!$B$81,DATE(YEAR($B$8),MONTH($B$8)+A35,DAY('Общие данные'!$B$78)),0)</f>
        <v>46609</v>
      </c>
      <c r="S36" s="87"/>
      <c r="T36" s="87"/>
      <c r="U36" s="87"/>
      <c r="V36" s="87"/>
    </row>
    <row r="37" spans="1:22" x14ac:dyDescent="0.25">
      <c r="A37" s="93">
        <f t="shared" si="26"/>
        <v>30</v>
      </c>
      <c r="B37" s="94">
        <f>IF(A37&lt;='Общие данные'!$B$81,DATE(YEAR(R37),MONTH(R37),DAY(IF(A37='Общие данные'!$B$81,'Общие данные'!$B$67,IF(A37&lt;'Общие данные'!$B$81,(Q37),IF(A37&gt;'Общие данные'!$B$81,$H$44,0))))))</f>
        <v>46636</v>
      </c>
      <c r="C37" s="51">
        <f t="shared" si="15"/>
        <v>1333333.4300000295</v>
      </c>
      <c r="D37" s="51">
        <f t="shared" si="16"/>
        <v>1333333.4300000295</v>
      </c>
      <c r="E37" s="51">
        <f t="shared" si="17"/>
        <v>59178.060000000005</v>
      </c>
      <c r="F37" s="51">
        <f t="shared" si="18"/>
        <v>1392511.4900000296</v>
      </c>
      <c r="G37" s="87">
        <f t="shared" si="19"/>
        <v>27</v>
      </c>
      <c r="H37" s="87">
        <f t="shared" si="20"/>
        <v>365</v>
      </c>
      <c r="I37" s="95">
        <f t="shared" si="21"/>
        <v>1333333.4300000295</v>
      </c>
      <c r="J37" s="95">
        <f>SUM($I$8:I36)</f>
        <v>38666666.56999997</v>
      </c>
      <c r="K37" s="95">
        <f t="shared" si="22"/>
        <v>1333333.4300000295</v>
      </c>
      <c r="L37" s="89">
        <f>ROUND(C37*'Общие данные'!$B$84/H37,2)*G37</f>
        <v>59178.060000000005</v>
      </c>
      <c r="M37" s="89">
        <f t="shared" si="23"/>
        <v>1392511.4900000296</v>
      </c>
      <c r="N37" s="89"/>
      <c r="O37" s="104" t="str">
        <f t="shared" si="24"/>
        <v>Пт</v>
      </c>
      <c r="P37" s="106">
        <f t="shared" si="25"/>
        <v>0</v>
      </c>
      <c r="Q37" s="106">
        <f>DAY('Общие данные'!$B$78)+P37</f>
        <v>10</v>
      </c>
      <c r="R37" s="101">
        <f>IF(A37&lt;='Общие данные'!$B$81,DATE(YEAR($B$8),MONTH($B$8)+A36,DAY('Общие данные'!$B$78)),0)</f>
        <v>46640</v>
      </c>
      <c r="S37" s="87"/>
      <c r="T37" s="87"/>
      <c r="U37" s="87"/>
      <c r="V37" s="87"/>
    </row>
    <row r="38" spans="1:22" x14ac:dyDescent="0.25">
      <c r="A38" s="93">
        <f t="shared" si="26"/>
        <v>31</v>
      </c>
      <c r="B38" s="94" t="b">
        <f>IF(A38&lt;='Общие данные'!$B$81,DATE(YEAR(R38),MONTH(R38),DAY(IF(A38='Общие данные'!$B$81,'Общие данные'!$B$67,IF(A38&lt;'Общие данные'!$B$81,(Q38),IF(A38&gt;'Общие данные'!$B$81,$H$44,0))))))</f>
        <v>0</v>
      </c>
      <c r="C38" s="51">
        <f t="shared" si="15"/>
        <v>0</v>
      </c>
      <c r="D38" s="51">
        <f t="shared" si="16"/>
        <v>0</v>
      </c>
      <c r="E38" s="51">
        <f t="shared" si="17"/>
        <v>0</v>
      </c>
      <c r="F38" s="51">
        <f t="shared" si="18"/>
        <v>0</v>
      </c>
      <c r="G38" s="87">
        <f t="shared" si="19"/>
        <v>-46636</v>
      </c>
      <c r="H38" s="87">
        <f t="shared" si="20"/>
        <v>366</v>
      </c>
      <c r="I38" s="95" t="b">
        <f t="shared" si="21"/>
        <v>0</v>
      </c>
      <c r="J38" s="95">
        <f>SUM($I$8:I37)</f>
        <v>40000000</v>
      </c>
      <c r="K38" s="95">
        <f t="shared" si="22"/>
        <v>0</v>
      </c>
      <c r="L38" s="89">
        <f>ROUND(C38*'Общие данные'!$B$84/H38,2)*G38</f>
        <v>0</v>
      </c>
      <c r="M38" s="89">
        <f t="shared" si="23"/>
        <v>0</v>
      </c>
      <c r="N38" s="89"/>
      <c r="O38" s="104" t="str">
        <f t="shared" si="24"/>
        <v>Сб</v>
      </c>
      <c r="P38" s="106">
        <f t="shared" si="25"/>
        <v>2</v>
      </c>
      <c r="Q38" s="106">
        <f>DAY('Общие данные'!$B$78)+P38</f>
        <v>12</v>
      </c>
      <c r="R38" s="101">
        <f>IF(A38&lt;='Общие данные'!$B$81,DATE(YEAR($B$8),MONTH($B$8)+A37,DAY('Общие данные'!$B$78)),0)</f>
        <v>0</v>
      </c>
      <c r="S38" s="87"/>
      <c r="T38" s="87"/>
      <c r="U38" s="87"/>
      <c r="V38" s="87"/>
    </row>
    <row r="39" spans="1:22" x14ac:dyDescent="0.25">
      <c r="A39" s="93">
        <f t="shared" si="26"/>
        <v>32</v>
      </c>
      <c r="B39" s="94" t="b">
        <f>IF(A39&lt;='Общие данные'!$B$81,DATE(YEAR(R39),MONTH(R39),DAY(IF(A39='Общие данные'!$B$81,'Общие данные'!$B$67,IF(A39&lt;'Общие данные'!$B$81,(Q39),IF(A39&gt;'Общие данные'!$B$81,$H$44,0))))))</f>
        <v>0</v>
      </c>
      <c r="C39" s="51">
        <f t="shared" si="15"/>
        <v>0</v>
      </c>
      <c r="D39" s="51">
        <f t="shared" si="16"/>
        <v>0</v>
      </c>
      <c r="E39" s="51">
        <f t="shared" si="17"/>
        <v>0</v>
      </c>
      <c r="F39" s="51">
        <f t="shared" si="18"/>
        <v>0</v>
      </c>
      <c r="G39" s="87">
        <f t="shared" si="19"/>
        <v>0</v>
      </c>
      <c r="H39" s="87">
        <f t="shared" si="20"/>
        <v>366</v>
      </c>
      <c r="I39" s="95" t="b">
        <f t="shared" si="21"/>
        <v>0</v>
      </c>
      <c r="J39" s="95">
        <f>SUM($I$8:I38)</f>
        <v>40000000</v>
      </c>
      <c r="K39" s="95">
        <f t="shared" si="22"/>
        <v>0</v>
      </c>
      <c r="L39" s="89">
        <f>ROUND(C39*'Общие данные'!$B$84/H39,2)*G39</f>
        <v>0</v>
      </c>
      <c r="M39" s="89">
        <f t="shared" si="23"/>
        <v>0</v>
      </c>
      <c r="N39" s="89"/>
      <c r="O39" s="104" t="str">
        <f t="shared" si="24"/>
        <v>Сб</v>
      </c>
      <c r="P39" s="106">
        <f t="shared" si="25"/>
        <v>2</v>
      </c>
      <c r="Q39" s="106">
        <f>DAY('Общие данные'!$B$78)+P39</f>
        <v>12</v>
      </c>
      <c r="R39" s="101">
        <f>IF(A39&lt;='Общие данные'!$B$81,DATE(YEAR($B$8),MONTH($B$8)+A38,DAY('Общие данные'!$B$78)),0)</f>
        <v>0</v>
      </c>
      <c r="S39" s="87"/>
      <c r="T39" s="87"/>
      <c r="U39" s="87"/>
      <c r="V39" s="87"/>
    </row>
    <row r="40" spans="1:22" x14ac:dyDescent="0.25">
      <c r="A40" s="93">
        <f t="shared" si="26"/>
        <v>33</v>
      </c>
      <c r="B40" s="94" t="b">
        <f>IF(A40&lt;='Общие данные'!$B$81,DATE(YEAR(R40),MONTH(R40),DAY(IF(A40='Общие данные'!$B$81,'Общие данные'!$B$67,IF(A40&lt;'Общие данные'!$B$81,(Q40),IF(A40&gt;'Общие данные'!$B$81,$H$44,0))))))</f>
        <v>0</v>
      </c>
      <c r="C40" s="51">
        <f t="shared" si="15"/>
        <v>0</v>
      </c>
      <c r="D40" s="51">
        <f t="shared" si="16"/>
        <v>0</v>
      </c>
      <c r="E40" s="51">
        <f t="shared" si="17"/>
        <v>0</v>
      </c>
      <c r="F40" s="51">
        <f t="shared" si="18"/>
        <v>0</v>
      </c>
      <c r="G40" s="87">
        <f t="shared" si="19"/>
        <v>0</v>
      </c>
      <c r="H40" s="87">
        <f t="shared" si="20"/>
        <v>366</v>
      </c>
      <c r="I40" s="95" t="b">
        <f t="shared" si="21"/>
        <v>0</v>
      </c>
      <c r="J40" s="95">
        <f>SUM($I$8:I39)</f>
        <v>40000000</v>
      </c>
      <c r="K40" s="95">
        <f t="shared" si="22"/>
        <v>0</v>
      </c>
      <c r="L40" s="89">
        <f>ROUND(C40*'Общие данные'!$B$84/H40,2)*G40</f>
        <v>0</v>
      </c>
      <c r="M40" s="89">
        <f t="shared" si="23"/>
        <v>0</v>
      </c>
      <c r="N40" s="89"/>
      <c r="O40" s="104" t="str">
        <f t="shared" si="24"/>
        <v>Сб</v>
      </c>
      <c r="P40" s="106">
        <f t="shared" si="25"/>
        <v>2</v>
      </c>
      <c r="Q40" s="106">
        <f>DAY('Общие данные'!$B$78)+P40</f>
        <v>12</v>
      </c>
      <c r="R40" s="101">
        <f>IF(A40&lt;='Общие данные'!$B$81,DATE(YEAR($B$8),MONTH($B$8)+A39,DAY('Общие данные'!$B$78)),0)</f>
        <v>0</v>
      </c>
      <c r="S40" s="87"/>
      <c r="T40" s="87"/>
      <c r="U40" s="87"/>
      <c r="V40" s="87"/>
    </row>
    <row r="41" spans="1:22" x14ac:dyDescent="0.25">
      <c r="A41" s="93">
        <f t="shared" si="26"/>
        <v>34</v>
      </c>
      <c r="B41" s="94" t="b">
        <f>IF(A41&lt;='Общие данные'!$B$81,DATE(YEAR(R41),MONTH(R41),DAY(IF(A41='Общие данные'!$B$81,'Общие данные'!$B$67,IF(A41&lt;'Общие данные'!$B$81,(Q41),IF(A41&gt;'Общие данные'!$B$81,$H$44,0))))))</f>
        <v>0</v>
      </c>
      <c r="C41" s="51">
        <f t="shared" si="15"/>
        <v>0</v>
      </c>
      <c r="D41" s="51">
        <f t="shared" si="16"/>
        <v>0</v>
      </c>
      <c r="E41" s="51">
        <f t="shared" si="17"/>
        <v>0</v>
      </c>
      <c r="F41" s="51">
        <f t="shared" si="18"/>
        <v>0</v>
      </c>
      <c r="G41" s="87">
        <f t="shared" si="19"/>
        <v>0</v>
      </c>
      <c r="H41" s="87">
        <f t="shared" si="20"/>
        <v>366</v>
      </c>
      <c r="I41" s="95" t="b">
        <f t="shared" si="21"/>
        <v>0</v>
      </c>
      <c r="J41" s="95">
        <f>SUM($I$8:I40)</f>
        <v>40000000</v>
      </c>
      <c r="K41" s="95">
        <f t="shared" si="22"/>
        <v>0</v>
      </c>
      <c r="L41" s="89">
        <f>ROUND(C41*'Общие данные'!$B$84/H41,2)*G41</f>
        <v>0</v>
      </c>
      <c r="M41" s="89">
        <f t="shared" si="23"/>
        <v>0</v>
      </c>
      <c r="N41" s="89"/>
      <c r="O41" s="104" t="str">
        <f t="shared" si="24"/>
        <v>Сб</v>
      </c>
      <c r="P41" s="106">
        <f t="shared" si="25"/>
        <v>2</v>
      </c>
      <c r="Q41" s="106">
        <f>DAY('Общие данные'!$B$78)+P41</f>
        <v>12</v>
      </c>
      <c r="R41" s="101">
        <f>IF(A41&lt;='Общие данные'!$B$81,DATE(YEAR($B$8),MONTH($B$8)+A40,DAY('Общие данные'!$B$78)),0)</f>
        <v>0</v>
      </c>
      <c r="S41" s="87"/>
      <c r="T41" s="87"/>
      <c r="U41" s="87"/>
      <c r="V41" s="87"/>
    </row>
    <row r="42" spans="1:22" x14ac:dyDescent="0.25">
      <c r="A42" s="93">
        <f t="shared" si="26"/>
        <v>35</v>
      </c>
      <c r="B42" s="94" t="b">
        <f>IF(A42&lt;='Общие данные'!$B$81,DATE(YEAR(R42),MONTH(R42),DAY(IF(A42='Общие данные'!$B$81,'Общие данные'!$B$67,IF(A42&lt;'Общие данные'!$B$81,(Q42),IF(A42&gt;'Общие данные'!$B$81,$H$44,0))))))</f>
        <v>0</v>
      </c>
      <c r="C42" s="51">
        <f t="shared" si="15"/>
        <v>0</v>
      </c>
      <c r="D42" s="51">
        <f t="shared" si="16"/>
        <v>0</v>
      </c>
      <c r="E42" s="51">
        <f t="shared" si="17"/>
        <v>0</v>
      </c>
      <c r="F42" s="51">
        <f t="shared" si="18"/>
        <v>0</v>
      </c>
      <c r="G42" s="87">
        <f t="shared" si="19"/>
        <v>0</v>
      </c>
      <c r="H42" s="87">
        <f t="shared" si="20"/>
        <v>366</v>
      </c>
      <c r="I42" s="95" t="b">
        <f t="shared" si="21"/>
        <v>0</v>
      </c>
      <c r="J42" s="95">
        <f>SUM($I$8:I41)</f>
        <v>40000000</v>
      </c>
      <c r="K42" s="95">
        <f t="shared" si="22"/>
        <v>0</v>
      </c>
      <c r="L42" s="89">
        <f>ROUND(C42*'Общие данные'!$B$84/H42,2)*G42</f>
        <v>0</v>
      </c>
      <c r="M42" s="89">
        <f t="shared" si="23"/>
        <v>0</v>
      </c>
      <c r="N42" s="89"/>
      <c r="O42" s="104" t="str">
        <f t="shared" si="24"/>
        <v>Сб</v>
      </c>
      <c r="P42" s="106">
        <f t="shared" si="25"/>
        <v>2</v>
      </c>
      <c r="Q42" s="106">
        <f>DAY('Общие данные'!$B$78)+P42</f>
        <v>12</v>
      </c>
      <c r="R42" s="101">
        <f>IF(A42&lt;='Общие данные'!$B$81,DATE(YEAR($B$8),MONTH($B$8)+A41,DAY('Общие данные'!$B$78)),0)</f>
        <v>0</v>
      </c>
      <c r="S42" s="87"/>
      <c r="T42" s="87"/>
      <c r="U42" s="87"/>
      <c r="V42" s="87"/>
    </row>
    <row r="43" spans="1:22" x14ac:dyDescent="0.25">
      <c r="A43" s="93">
        <f t="shared" ref="A43" si="27">1+A42</f>
        <v>36</v>
      </c>
      <c r="B43" s="94" t="b">
        <f>IF(A43&lt;='Общие данные'!$B$81,DATE(YEAR(R43),MONTH(R43),DAY(IF(A43='Общие данные'!$B$81,'Общие данные'!$B$67,IF(A43&lt;'Общие данные'!$B$81,(Q43),IF(A43&gt;'Общие данные'!$B$81,$H$44,0))))))</f>
        <v>0</v>
      </c>
      <c r="C43" s="51">
        <f t="shared" ref="C43" si="28">C42-D42</f>
        <v>0</v>
      </c>
      <c r="D43" s="51">
        <f t="shared" ref="D43" si="29">IF(C43=0,L43,IF(C43&gt;1,I43))</f>
        <v>0</v>
      </c>
      <c r="E43" s="51">
        <f t="shared" ref="E43" si="30">IF(C43=0,N42,IF(C43&gt;1,L43))</f>
        <v>0</v>
      </c>
      <c r="F43" s="51">
        <f t="shared" ref="F43" si="31">IF(C43=0,N42,IF(C43&gt;1,M43))</f>
        <v>0</v>
      </c>
      <c r="G43" s="87">
        <f t="shared" ref="G43" si="32">B43-B42</f>
        <v>0</v>
      </c>
      <c r="H43" s="87">
        <f t="shared" ref="H43" si="33">DATE(YEAR(B43),12,31)-DATE(YEAR(B43),1,1)+1</f>
        <v>366</v>
      </c>
      <c r="I43" s="95" t="b">
        <f t="shared" ref="I43" si="34">IF($L$5=A43,K43,IF($L$5&gt;A43,I42))</f>
        <v>0</v>
      </c>
      <c r="J43" s="95">
        <f>SUM($I$8:I42)</f>
        <v>40000000</v>
      </c>
      <c r="K43" s="95">
        <f t="shared" ref="K43" si="35">$J$12-J43</f>
        <v>0</v>
      </c>
      <c r="L43" s="89">
        <f>ROUND(C43*'Общие данные'!$B$84/H43,2)*G43</f>
        <v>0</v>
      </c>
      <c r="M43" s="89">
        <f t="shared" ref="M43" si="36">D43+E43</f>
        <v>0</v>
      </c>
      <c r="N43" s="89"/>
      <c r="O43" s="104" t="str">
        <f t="shared" ref="O43" si="37">TEXT(R43,"ддд")</f>
        <v>Сб</v>
      </c>
      <c r="P43" s="106">
        <f t="shared" ref="P43" si="38">IF(O43=$U$8,2,IF(O43=$V$8,1,0))</f>
        <v>2</v>
      </c>
      <c r="Q43" s="106">
        <f>DAY('Общие данные'!$B$78)+P43</f>
        <v>12</v>
      </c>
      <c r="R43" s="101">
        <f>IF(A43&lt;='Общие данные'!$B$81,DATE(YEAR($B$8),MONTH($B$8)+A42,DAY('Общие данные'!$B$78)),0)</f>
        <v>0</v>
      </c>
      <c r="S43" s="87"/>
      <c r="T43" s="87"/>
      <c r="U43" s="87"/>
      <c r="V43" s="87"/>
    </row>
    <row r="44" spans="1:22" x14ac:dyDescent="0.25">
      <c r="A44" s="96"/>
      <c r="B44" s="97" t="s">
        <v>7</v>
      </c>
      <c r="C44" s="98"/>
      <c r="D44" s="98">
        <f>SUM(D8:D43)</f>
        <v>40000000</v>
      </c>
      <c r="E44" s="98">
        <f t="shared" ref="E44:F44" si="39">SUM(E8:E43)</f>
        <v>31346848.919999991</v>
      </c>
      <c r="F44" s="98">
        <f t="shared" si="39"/>
        <v>71346848.920000032</v>
      </c>
    </row>
    <row r="45" spans="1:22" ht="9" customHeight="1" x14ac:dyDescent="0.25">
      <c r="B45" s="99"/>
      <c r="C45" s="100"/>
      <c r="D45" s="100"/>
      <c r="E45" s="100"/>
      <c r="F45" s="100"/>
    </row>
    <row r="46" spans="1:22" ht="47.25" customHeight="1" x14ac:dyDescent="0.25">
      <c r="A46" s="238" t="s">
        <v>18</v>
      </c>
      <c r="B46" s="238"/>
      <c r="C46" s="238"/>
      <c r="D46" s="238"/>
      <c r="E46" s="238"/>
      <c r="F46" s="238"/>
    </row>
    <row r="47" spans="1:22" ht="7.5" customHeight="1" x14ac:dyDescent="0.25"/>
    <row r="48" spans="1:22" x14ac:dyDescent="0.25">
      <c r="A48" s="239" t="e">
        <f>#REF!</f>
        <v>#REF!</v>
      </c>
      <c r="B48" s="239"/>
      <c r="C48" s="239"/>
      <c r="D48" s="239" t="e">
        <f>#REF!</f>
        <v>#REF!</v>
      </c>
      <c r="E48" s="239"/>
      <c r="F48" s="239"/>
    </row>
    <row r="49" spans="1:6" ht="11.25" customHeight="1" x14ac:dyDescent="0.25">
      <c r="A49" s="240"/>
      <c r="B49" s="240"/>
      <c r="C49" s="240"/>
      <c r="D49" s="240"/>
      <c r="E49" s="240"/>
      <c r="F49" s="240"/>
    </row>
    <row r="50" spans="1:6" ht="30" customHeight="1" x14ac:dyDescent="0.25">
      <c r="A50" s="237" t="e">
        <f>#REF!</f>
        <v>#REF!</v>
      </c>
      <c r="B50" s="237"/>
      <c r="C50" s="237"/>
      <c r="D50" s="237" t="e">
        <f>#REF!</f>
        <v>#REF!</v>
      </c>
      <c r="E50" s="237"/>
      <c r="F50" s="237"/>
    </row>
    <row r="51" spans="1:6" ht="32.25" customHeight="1" x14ac:dyDescent="0.25">
      <c r="A51" s="233" t="e">
        <f>#REF!</f>
        <v>#REF!</v>
      </c>
      <c r="B51" s="233"/>
      <c r="C51" s="233"/>
      <c r="D51" s="233" t="e">
        <f>#REF!</f>
        <v>#REF!</v>
      </c>
      <c r="E51" s="233"/>
      <c r="F51" s="233"/>
    </row>
    <row r="52" spans="1:6" x14ac:dyDescent="0.25">
      <c r="A52" s="233" t="e">
        <f>#REF!</f>
        <v>#REF!</v>
      </c>
      <c r="B52" s="233"/>
      <c r="C52" s="233"/>
      <c r="D52" s="233" t="str">
        <f>"паспорт серии "&amp;'Общие данные'!B16&amp;", "&amp;'Общие данные'!B20&amp;""</f>
        <v>паспорт серии AD9358147, IIV 6230 tomonidan 11.11.2024 yilda berilgan</v>
      </c>
      <c r="E52" s="233"/>
      <c r="F52" s="233"/>
    </row>
    <row r="53" spans="1:6" ht="32.25" customHeight="1" x14ac:dyDescent="0.25">
      <c r="A53" s="233" t="e">
        <f>#REF!</f>
        <v>#REF!</v>
      </c>
      <c r="B53" s="233"/>
      <c r="C53" s="233"/>
      <c r="D53" s="233"/>
      <c r="E53" s="233"/>
      <c r="F53" s="233"/>
    </row>
    <row r="54" spans="1:6" x14ac:dyDescent="0.25">
      <c r="A54" s="233" t="e">
        <f>#REF!</f>
        <v>#REF!</v>
      </c>
      <c r="B54" s="233"/>
      <c r="C54" s="233"/>
      <c r="D54" s="233" t="e">
        <f>#REF!</f>
        <v>#REF!</v>
      </c>
      <c r="E54" s="233"/>
      <c r="F54" s="233"/>
    </row>
    <row r="55" spans="1:6" x14ac:dyDescent="0.25">
      <c r="A55" s="233" t="e">
        <f>#REF!</f>
        <v>#REF!</v>
      </c>
      <c r="B55" s="233"/>
      <c r="C55" s="233"/>
      <c r="D55" s="233" t="e">
        <f>#REF!</f>
        <v>#REF!</v>
      </c>
      <c r="E55" s="233"/>
      <c r="F55" s="233"/>
    </row>
    <row r="56" spans="1:6" x14ac:dyDescent="0.25">
      <c r="A56" s="233" t="e">
        <f>#REF!</f>
        <v>#REF!</v>
      </c>
      <c r="B56" s="233"/>
      <c r="C56" s="233"/>
      <c r="D56" s="233" t="e">
        <f>#REF!</f>
        <v>#REF!</v>
      </c>
      <c r="E56" s="233"/>
      <c r="F56" s="233"/>
    </row>
    <row r="57" spans="1:6" ht="8.25" customHeight="1" x14ac:dyDescent="0.25">
      <c r="A57" s="233"/>
      <c r="B57" s="233"/>
      <c r="C57" s="233"/>
      <c r="D57" s="233"/>
      <c r="E57" s="233"/>
      <c r="F57" s="233"/>
    </row>
    <row r="58" spans="1:6" x14ac:dyDescent="0.25">
      <c r="A58" s="237" t="e">
        <f>#REF!</f>
        <v>#REF!</v>
      </c>
      <c r="B58" s="237"/>
      <c r="C58" s="237"/>
      <c r="D58" s="237" t="e">
        <f>#REF!</f>
        <v>#REF!</v>
      </c>
      <c r="E58" s="237"/>
      <c r="F58" s="237"/>
    </row>
    <row r="59" spans="1:6" ht="7.5" customHeight="1" x14ac:dyDescent="0.25">
      <c r="A59" s="237"/>
      <c r="B59" s="237"/>
      <c r="C59" s="237"/>
      <c r="D59" s="237"/>
      <c r="E59" s="237"/>
      <c r="F59" s="237"/>
    </row>
    <row r="60" spans="1:6" x14ac:dyDescent="0.25">
      <c r="A60" s="237" t="e">
        <f>#REF!</f>
        <v>#REF!</v>
      </c>
      <c r="B60" s="237"/>
      <c r="C60" s="237"/>
      <c r="D60" s="237" t="e">
        <f>#REF!</f>
        <v>#REF!</v>
      </c>
      <c r="E60" s="237"/>
      <c r="F60" s="237"/>
    </row>
    <row r="61" spans="1:6" ht="8.25" customHeight="1" x14ac:dyDescent="0.25">
      <c r="A61" s="233"/>
      <c r="B61" s="233"/>
      <c r="C61" s="233"/>
      <c r="D61" s="233"/>
      <c r="E61" s="233"/>
      <c r="F61" s="233"/>
    </row>
    <row r="62" spans="1:6" ht="30" customHeight="1" x14ac:dyDescent="0.25">
      <c r="A62" s="234"/>
      <c r="B62" s="234"/>
      <c r="C62" s="234"/>
      <c r="D62" s="235" t="e">
        <f>#REF!</f>
        <v>#REF!</v>
      </c>
      <c r="E62" s="235"/>
      <c r="F62" s="235"/>
    </row>
    <row r="63" spans="1:6" x14ac:dyDescent="0.25">
      <c r="A63" s="236"/>
      <c r="B63" s="236"/>
      <c r="C63" s="236"/>
      <c r="D63" s="236"/>
      <c r="E63" s="236"/>
      <c r="F63" s="236"/>
    </row>
    <row r="64" spans="1:6" x14ac:dyDescent="0.25">
      <c r="A64" s="232"/>
      <c r="B64" s="232"/>
      <c r="C64" s="232"/>
      <c r="D64" s="232"/>
      <c r="E64" s="232"/>
      <c r="F64" s="232"/>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x14ac:dyDescent="0.25">
      <c r="A1" s="118" t="s">
        <v>15</v>
      </c>
      <c r="B1" s="119" t="s">
        <v>3</v>
      </c>
      <c r="D1" s="118"/>
      <c r="E1" s="118" t="s">
        <v>40</v>
      </c>
      <c r="F1" s="118" t="s">
        <v>41</v>
      </c>
      <c r="G1" s="118"/>
      <c r="H1" s="118"/>
      <c r="I1" s="118"/>
      <c r="J1" s="118"/>
      <c r="K1" s="118"/>
      <c r="L1" s="118" t="s">
        <v>42</v>
      </c>
      <c r="M1" s="118" t="s">
        <v>44</v>
      </c>
      <c r="N1" s="118" t="s">
        <v>43</v>
      </c>
    </row>
    <row r="2" spans="1:23" ht="15" customHeight="1" x14ac:dyDescent="0.25">
      <c r="A2" s="112">
        <v>1</v>
      </c>
      <c r="B2" t="s">
        <v>259</v>
      </c>
      <c r="C2" t="s">
        <v>67</v>
      </c>
      <c r="D2" s="114" t="s">
        <v>259</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12">
        <v>2</v>
      </c>
      <c r="D3" s="114" t="s">
        <v>259</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12">
        <v>3</v>
      </c>
      <c r="D4" s="114" t="s">
        <v>259</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12">
        <v>4</v>
      </c>
      <c r="D5" s="114" t="s">
        <v>259</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x14ac:dyDescent="0.25">
      <c r="A6" s="112">
        <v>5</v>
      </c>
      <c r="D6" s="114" t="s">
        <v>259</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x14ac:dyDescent="0.25">
      <c r="A7" s="112">
        <v>6</v>
      </c>
      <c r="D7" s="114" t="s">
        <v>259</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x14ac:dyDescent="0.25">
      <c r="A8" s="112">
        <v>7</v>
      </c>
      <c r="D8" s="114" t="s">
        <v>259</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x14ac:dyDescent="0.25">
      <c r="A9" s="112">
        <v>8</v>
      </c>
      <c r="D9" s="114" t="s">
        <v>259</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x14ac:dyDescent="0.25">
      <c r="A10" s="112">
        <v>9</v>
      </c>
      <c r="D10" s="114" t="s">
        <v>259</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x14ac:dyDescent="0.25">
      <c r="A11" s="112">
        <v>10</v>
      </c>
      <c r="D11" s="114" t="s">
        <v>259</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x14ac:dyDescent="0.25">
      <c r="A12" s="112">
        <v>11</v>
      </c>
      <c r="D12" s="114" t="s">
        <v>259</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x14ac:dyDescent="0.25">
      <c r="A13" s="112">
        <v>12</v>
      </c>
      <c r="D13" s="114" t="s">
        <v>259</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x14ac:dyDescent="0.25">
      <c r="A14" s="112">
        <v>13</v>
      </c>
      <c r="D14" s="114" t="s">
        <v>259</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x14ac:dyDescent="0.25">
      <c r="A15" s="112">
        <v>14</v>
      </c>
      <c r="D15" s="114" t="s">
        <v>259</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x14ac:dyDescent="0.25">
      <c r="A16" s="112">
        <v>15</v>
      </c>
      <c r="D16" s="114" t="s">
        <v>259</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x14ac:dyDescent="0.25">
      <c r="A17" s="112">
        <v>16</v>
      </c>
      <c r="D17" s="114" t="s">
        <v>259</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x14ac:dyDescent="0.25">
      <c r="A18" s="112">
        <v>17</v>
      </c>
      <c r="D18" s="114" t="s">
        <v>259</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x14ac:dyDescent="0.25">
      <c r="A19" s="112">
        <v>18</v>
      </c>
      <c r="D19" s="114" t="s">
        <v>259</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x14ac:dyDescent="0.25">
      <c r="A20" s="112">
        <v>19</v>
      </c>
      <c r="D20" s="114" t="s">
        <v>259</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x14ac:dyDescent="0.25">
      <c r="A21" s="112">
        <v>20</v>
      </c>
      <c r="D21" s="114" t="s">
        <v>259</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x14ac:dyDescent="0.25">
      <c r="M22" s="120">
        <f>SUM(M2:M21)+'Общие данные'!B136</f>
        <v>105000000</v>
      </c>
      <c r="Q22" t="s">
        <v>258</v>
      </c>
    </row>
    <row r="23" spans="1:17" x14ac:dyDescent="0.25">
      <c r="A23" s="101"/>
      <c r="B23" s="102"/>
      <c r="C23" s="102"/>
      <c r="D23" s="102"/>
      <c r="E23" s="102"/>
      <c r="F23" s="102"/>
      <c r="G23" s="102"/>
      <c r="H23" s="102"/>
      <c r="I23" s="102"/>
      <c r="J23" s="102"/>
      <c r="K23" s="102"/>
      <c r="L23" s="102"/>
      <c r="M23" s="102"/>
      <c r="N23" s="102"/>
      <c r="O23" s="102"/>
    </row>
    <row r="24" spans="1:17" x14ac:dyDescent="0.25">
      <c r="A24" s="102"/>
      <c r="B24" s="102"/>
      <c r="C24" s="102"/>
      <c r="D24" s="102"/>
      <c r="E24" s="102"/>
      <c r="F24" s="102"/>
      <c r="G24" s="102"/>
      <c r="H24" s="102"/>
      <c r="I24" s="102"/>
      <c r="J24" s="102"/>
      <c r="K24" s="102"/>
      <c r="L24" s="102"/>
      <c r="M24" s="102"/>
      <c r="N24" s="102"/>
      <c r="O24" s="102"/>
    </row>
    <row r="25" spans="1:17" x14ac:dyDescent="0.25">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x14ac:dyDescent="0.25">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x14ac:dyDescent="0.25">
      <c r="A27" s="102"/>
      <c r="B27" s="102"/>
      <c r="C27" s="102"/>
      <c r="D27" s="102"/>
      <c r="E27" s="102"/>
      <c r="F27" s="102"/>
      <c r="G27" s="102"/>
      <c r="H27" s="102"/>
      <c r="I27" s="102"/>
      <c r="J27" s="102"/>
      <c r="K27" s="102"/>
      <c r="L27" s="102"/>
      <c r="M27" s="102"/>
      <c r="N27" s="102"/>
      <c r="O27" s="102"/>
    </row>
    <row r="28" spans="1:17" x14ac:dyDescent="0.25">
      <c r="A28" s="102" t="s">
        <v>119</v>
      </c>
      <c r="B28" s="102" t="s">
        <v>120</v>
      </c>
      <c r="C28" s="102" t="s">
        <v>109</v>
      </c>
      <c r="D28" s="102" t="s">
        <v>110</v>
      </c>
      <c r="E28" s="102" t="s">
        <v>111</v>
      </c>
      <c r="F28" s="102" t="s">
        <v>112</v>
      </c>
      <c r="G28" s="102"/>
      <c r="H28" s="102"/>
      <c r="I28" s="102"/>
      <c r="J28" s="102"/>
      <c r="K28" s="102" t="s">
        <v>24</v>
      </c>
      <c r="L28" s="102" t="s">
        <v>114</v>
      </c>
      <c r="M28" s="102" t="s">
        <v>257</v>
      </c>
      <c r="N28" s="102" t="s">
        <v>256</v>
      </c>
      <c r="O28" s="102" t="s">
        <v>117</v>
      </c>
      <c r="P28" s="102" t="s">
        <v>118</v>
      </c>
    </row>
    <row r="29" spans="1:17" x14ac:dyDescent="0.25">
      <c r="A29" s="102" t="s">
        <v>119</v>
      </c>
      <c r="B29" s="102" t="s">
        <v>120</v>
      </c>
      <c r="C29" s="102" t="s">
        <v>109</v>
      </c>
      <c r="D29" s="102" t="s">
        <v>110</v>
      </c>
      <c r="E29" s="102" t="s">
        <v>111</v>
      </c>
      <c r="F29" s="102" t="s">
        <v>112</v>
      </c>
      <c r="G29" s="102"/>
      <c r="H29" s="102"/>
      <c r="I29" s="102"/>
      <c r="J29" s="102"/>
      <c r="K29" s="102" t="s">
        <v>28</v>
      </c>
      <c r="L29" s="102" t="s">
        <v>114</v>
      </c>
      <c r="M29" s="102" t="s">
        <v>257</v>
      </c>
      <c r="N29" s="102" t="s">
        <v>256</v>
      </c>
      <c r="O29" s="102" t="s">
        <v>117</v>
      </c>
      <c r="P29" s="102" t="s">
        <v>118</v>
      </c>
    </row>
    <row r="30" spans="1:17" x14ac:dyDescent="0.25">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abSelected="1" zoomScale="115" zoomScaleNormal="115" workbookViewId="0">
      <selection activeCell="C3" sqref="C3"/>
    </sheetView>
  </sheetViews>
  <sheetFormatPr defaultColWidth="13.28515625" defaultRowHeight="15" zeroHeight="1" x14ac:dyDescent="0.2"/>
  <cols>
    <col min="1" max="1" width="68" style="196" customWidth="1"/>
    <col min="2" max="2" width="61.85546875" style="198" customWidth="1"/>
    <col min="3" max="3" width="63.85546875" style="188" customWidth="1"/>
    <col min="4" max="4" width="29.7109375" style="188" customWidth="1"/>
    <col min="5" max="7" width="9.140625" style="188" customWidth="1"/>
    <col min="8" max="8" width="62.5703125" style="188" customWidth="1"/>
    <col min="9" max="13" width="9.140625" style="188" customWidth="1"/>
    <col min="14" max="14" width="70.7109375" style="188" customWidth="1"/>
    <col min="15" max="16" width="9.140625" style="188" customWidth="1"/>
    <col min="17" max="17" width="59.7109375" style="188" customWidth="1"/>
    <col min="18" max="18" width="49.85546875" style="188" customWidth="1"/>
    <col min="19" max="16383" width="13.28515625" style="188"/>
    <col min="16384" max="16384" width="13.28515625" style="188" customWidth="1"/>
  </cols>
  <sheetData>
    <row r="1" spans="1:4" x14ac:dyDescent="0.2">
      <c r="A1" s="3" t="str">
        <f>CONCATENATE(B65," olish uchun ariza")</f>
        <v>mikroqarz olish uchun ariza</v>
      </c>
      <c r="B1" s="49" t="s">
        <v>431</v>
      </c>
    </row>
    <row r="2" spans="1:4" x14ac:dyDescent="0.2">
      <c r="A2" s="3" t="str">
        <f>CONCATENATE(B65," olish uchun ariza sanasi QO’L BILAN KIRITILADI")</f>
        <v>mikroqarz olish uchun ariza sanasi QO’L BILAN KIRITILADI</v>
      </c>
      <c r="B2" s="57" t="s">
        <v>406</v>
      </c>
      <c r="D2" s="188">
        <f>180+B2</f>
        <v>45902</v>
      </c>
    </row>
    <row r="3" spans="1:4" ht="46.5" x14ac:dyDescent="0.2">
      <c r="A3" s="3"/>
      <c r="B3" s="201" t="s">
        <v>392</v>
      </c>
      <c r="C3" s="200">
        <f>SUM('График дифференц'!E8:E19)</f>
        <v>19901369.779999997</v>
      </c>
    </row>
    <row r="4" spans="1:4" x14ac:dyDescent="0.2">
      <c r="A4" s="246" t="s">
        <v>53</v>
      </c>
      <c r="B4" s="246"/>
    </row>
    <row r="5" spans="1:4" x14ac:dyDescent="0.2">
      <c r="A5" s="3" t="s">
        <v>54</v>
      </c>
      <c r="B5" s="49" t="s">
        <v>408</v>
      </c>
      <c r="C5" s="188" t="s">
        <v>400</v>
      </c>
    </row>
    <row r="6" spans="1:4" ht="30" x14ac:dyDescent="0.2">
      <c r="A6" s="3" t="s">
        <v>55</v>
      </c>
      <c r="B6" s="49" t="s">
        <v>134</v>
      </c>
      <c r="C6" s="188" t="s">
        <v>259</v>
      </c>
      <c r="D6" s="188" t="s">
        <v>134</v>
      </c>
    </row>
    <row r="7" spans="1:4" x14ac:dyDescent="0.2">
      <c r="A7" s="3" t="s">
        <v>56</v>
      </c>
      <c r="B7" s="185" t="s">
        <v>409</v>
      </c>
    </row>
    <row r="8" spans="1:4" hidden="1" x14ac:dyDescent="0.2">
      <c r="A8" s="3" t="s">
        <v>57</v>
      </c>
      <c r="B8" s="76" t="str">
        <f>B5</f>
        <v>SHUKUROV OTABEK SHOKIROVICH</v>
      </c>
    </row>
    <row r="9" spans="1:4" hidden="1" x14ac:dyDescent="0.2">
      <c r="A9" s="3" t="s">
        <v>58</v>
      </c>
      <c r="B9" s="76" t="str">
        <f>B7</f>
        <v>SHUKUROV O.SH</v>
      </c>
    </row>
    <row r="10" spans="1:4" hidden="1" x14ac:dyDescent="0.2">
      <c r="A10" s="3" t="s">
        <v>59</v>
      </c>
      <c r="B10" s="76" t="str">
        <f>B8</f>
        <v>SHUKUROV OTABEK SHOKIROVICH</v>
      </c>
    </row>
    <row r="11" spans="1:4" hidden="1" x14ac:dyDescent="0.2">
      <c r="A11" s="3" t="s">
        <v>60</v>
      </c>
      <c r="B11" s="76" t="str">
        <f>B9</f>
        <v>SHUKUROV O.SH</v>
      </c>
    </row>
    <row r="12" spans="1:4" hidden="1" x14ac:dyDescent="0.2">
      <c r="A12" s="3" t="s">
        <v>61</v>
      </c>
      <c r="B12" s="76" t="str">
        <f>B10</f>
        <v>SHUKUROV OTABEK SHOKIROVICH</v>
      </c>
    </row>
    <row r="13" spans="1:4" hidden="1" x14ac:dyDescent="0.2">
      <c r="A13" s="3" t="s">
        <v>62</v>
      </c>
      <c r="B13" s="76" t="str">
        <f>B11</f>
        <v>SHUKUROV O.SH</v>
      </c>
    </row>
    <row r="14" spans="1:4" hidden="1" x14ac:dyDescent="0.2">
      <c r="A14" s="3" t="s">
        <v>63</v>
      </c>
      <c r="B14" s="76" t="s">
        <v>66</v>
      </c>
    </row>
    <row r="15" spans="1:4" x14ac:dyDescent="0.2">
      <c r="A15" s="3" t="s">
        <v>64</v>
      </c>
      <c r="B15" s="136" t="s">
        <v>410</v>
      </c>
    </row>
    <row r="16" spans="1:4" x14ac:dyDescent="0.2">
      <c r="A16" s="3" t="s">
        <v>65</v>
      </c>
      <c r="B16" s="49" t="s">
        <v>411</v>
      </c>
    </row>
    <row r="17" spans="1:7" x14ac:dyDescent="0.2">
      <c r="A17" s="3"/>
      <c r="B17" s="49" t="s">
        <v>412</v>
      </c>
      <c r="D17" s="188" t="str">
        <f>TEXT(C17,"ДД.ММ.ГГГГ")</f>
        <v>00.01.1900</v>
      </c>
    </row>
    <row r="18" spans="1:7" x14ac:dyDescent="0.2">
      <c r="A18" s="3"/>
      <c r="B18" s="136">
        <v>45607</v>
      </c>
      <c r="C18" s="207" t="str">
        <f>TEXT(B18,"ДД.ММ.ГГГГ")</f>
        <v>11.11.2024</v>
      </c>
    </row>
    <row r="19" spans="1:7" x14ac:dyDescent="0.2">
      <c r="A19" s="3"/>
      <c r="B19" s="136">
        <f>DATE(YEAR(B18)+10,MONTH(B18),DAY(B18)-1)</f>
        <v>49258</v>
      </c>
      <c r="C19" s="207" t="str">
        <f>TEXT(B19,"ДД.ММ.ГГГГ")</f>
        <v>10.11.2034</v>
      </c>
    </row>
    <row r="20" spans="1:7" ht="45" x14ac:dyDescent="0.2">
      <c r="A20" s="3" t="s">
        <v>68</v>
      </c>
      <c r="B20" s="60" t="str">
        <f>""&amp;B17&amp;" tomonidan "&amp;C18&amp;" yilda berilgan"</f>
        <v>IIV 6230 tomonidan 11.11.2024 yilda berilgan</v>
      </c>
      <c r="C20" s="208" t="str">
        <f>""&amp;B17&amp;" tomonidan "&amp;C18&amp;" yilda berilgan"</f>
        <v>IIV 6230 tomonidan 11.11.2024 yilda berilgan</v>
      </c>
    </row>
    <row r="21" spans="1:7" ht="34.5" customHeight="1" x14ac:dyDescent="0.2">
      <c r="A21" s="3" t="s">
        <v>69</v>
      </c>
      <c r="B21" s="60" t="str">
        <f>""&amp;C19&amp;" y."</f>
        <v>10.11.2034 y.</v>
      </c>
      <c r="C21" s="207" t="str">
        <f>""&amp;C19&amp;" yilgacha"</f>
        <v>10.11.2034 yilgacha</v>
      </c>
    </row>
    <row r="22" spans="1:7" ht="36.75" customHeight="1" x14ac:dyDescent="0.2">
      <c r="A22" s="3" t="s">
        <v>70</v>
      </c>
      <c r="B22" s="49" t="s">
        <v>413</v>
      </c>
      <c r="C22" s="207" t="str">
        <f>TEXT(B19,"ДД.ММ.ГГГГ")</f>
        <v>10.11.2034</v>
      </c>
    </row>
    <row r="23" spans="1:7" ht="30" x14ac:dyDescent="0.2">
      <c r="A23" s="3" t="s">
        <v>71</v>
      </c>
      <c r="B23" s="49" t="s">
        <v>95</v>
      </c>
      <c r="C23" s="188" t="s">
        <v>95</v>
      </c>
      <c r="D23" s="188" t="s">
        <v>96</v>
      </c>
    </row>
    <row r="24" spans="1:7" ht="30" hidden="1" x14ac:dyDescent="0.2">
      <c r="A24" s="3" t="s">
        <v>72</v>
      </c>
      <c r="B24" s="76" t="s">
        <v>93</v>
      </c>
      <c r="C24" s="188" t="s">
        <v>93</v>
      </c>
      <c r="D24" s="188" t="s">
        <v>94</v>
      </c>
      <c r="E24" s="188" t="s">
        <v>0</v>
      </c>
      <c r="F24" s="188" t="s">
        <v>1</v>
      </c>
      <c r="G24" s="188" t="s">
        <v>3</v>
      </c>
    </row>
    <row r="25" spans="1:7" x14ac:dyDescent="0.2">
      <c r="A25" s="3" t="s">
        <v>73</v>
      </c>
      <c r="B25" s="49" t="s">
        <v>414</v>
      </c>
    </row>
    <row r="26" spans="1:7" ht="44.25" customHeight="1" x14ac:dyDescent="0.2">
      <c r="A26" s="3" t="s">
        <v>74</v>
      </c>
      <c r="B26" s="49" t="s">
        <v>415</v>
      </c>
      <c r="C26" s="188" t="s">
        <v>27</v>
      </c>
    </row>
    <row r="27" spans="1:7" ht="44.25" hidden="1" customHeight="1" x14ac:dyDescent="0.2">
      <c r="A27" s="3"/>
      <c r="B27" s="49" t="str">
        <f>IF(B23="mos keladi",B22,B28)</f>
        <v xml:space="preserve">BUXORO VILOYATI QORAKO'L TUMANI JIG'ACHI MFY </v>
      </c>
    </row>
    <row r="28" spans="1:7" ht="30" x14ac:dyDescent="0.2">
      <c r="A28" s="3" t="s">
        <v>75</v>
      </c>
      <c r="B28" s="49" t="s">
        <v>413</v>
      </c>
    </row>
    <row r="29" spans="1:7" x14ac:dyDescent="0.2">
      <c r="A29" s="3" t="s">
        <v>76</v>
      </c>
      <c r="B29" s="49" t="s">
        <v>93</v>
      </c>
      <c r="C29" s="188" t="s">
        <v>93</v>
      </c>
      <c r="D29" s="188" t="s">
        <v>94</v>
      </c>
      <c r="E29" s="188" t="s">
        <v>332</v>
      </c>
      <c r="F29" s="188" t="s">
        <v>333</v>
      </c>
      <c r="G29" s="188" t="s">
        <v>3</v>
      </c>
    </row>
    <row r="30" spans="1:7" ht="27" x14ac:dyDescent="0.2">
      <c r="A30" s="3" t="s">
        <v>77</v>
      </c>
      <c r="B30" s="178" t="s">
        <v>149</v>
      </c>
      <c r="C30" s="188" t="s">
        <v>149</v>
      </c>
      <c r="D30" s="188" t="s">
        <v>336</v>
      </c>
    </row>
    <row r="31" spans="1:7" x14ac:dyDescent="0.2">
      <c r="A31" s="3" t="s">
        <v>78</v>
      </c>
      <c r="B31" s="49" t="s">
        <v>404</v>
      </c>
    </row>
    <row r="32" spans="1:7" x14ac:dyDescent="0.2">
      <c r="A32" s="3" t="s">
        <v>63</v>
      </c>
      <c r="B32" s="49" t="s">
        <v>66</v>
      </c>
    </row>
    <row r="33" spans="1:4" x14ac:dyDescent="0.2">
      <c r="A33" s="3" t="s">
        <v>73</v>
      </c>
      <c r="B33" s="49" t="s">
        <v>416</v>
      </c>
    </row>
    <row r="34" spans="1:4" hidden="1" x14ac:dyDescent="0.2">
      <c r="A34" s="3"/>
      <c r="B34" s="49" t="str">
        <f>IF(B23="mos keladi",B26,B35)</f>
        <v>30-MAKTAB</v>
      </c>
    </row>
    <row r="35" spans="1:4" x14ac:dyDescent="0.2">
      <c r="A35" s="3" t="s">
        <v>74</v>
      </c>
      <c r="B35" s="49"/>
    </row>
    <row r="36" spans="1:4" x14ac:dyDescent="0.2">
      <c r="A36" s="3" t="s">
        <v>79</v>
      </c>
      <c r="B36" s="49"/>
    </row>
    <row r="37" spans="1:4" x14ac:dyDescent="0.2">
      <c r="A37" s="3" t="s">
        <v>80</v>
      </c>
      <c r="B37" s="49"/>
    </row>
    <row r="38" spans="1:4" x14ac:dyDescent="0.2">
      <c r="A38" s="3" t="s">
        <v>81</v>
      </c>
      <c r="B38" s="49"/>
    </row>
    <row r="39" spans="1:4" x14ac:dyDescent="0.2">
      <c r="A39" s="3" t="s">
        <v>82</v>
      </c>
      <c r="B39" s="49"/>
    </row>
    <row r="40" spans="1:4" ht="24.75" customHeight="1" x14ac:dyDescent="0.2">
      <c r="A40" s="3" t="s">
        <v>83</v>
      </c>
      <c r="B40" s="49" t="str">
        <f>B25</f>
        <v>94 125-49-00 O'ZI</v>
      </c>
    </row>
    <row r="41" spans="1:4" ht="24.75" customHeight="1" x14ac:dyDescent="0.2">
      <c r="A41" s="3" t="s">
        <v>84</v>
      </c>
      <c r="B41" s="49" t="str">
        <f>B33</f>
        <v>93 653-50-54 OTASI</v>
      </c>
    </row>
    <row r="42" spans="1:4" ht="24.75" customHeight="1" x14ac:dyDescent="0.2">
      <c r="A42" s="3" t="s">
        <v>83</v>
      </c>
      <c r="B42" s="49" t="s">
        <v>417</v>
      </c>
    </row>
    <row r="43" spans="1:4" x14ac:dyDescent="0.2">
      <c r="A43" s="3" t="s">
        <v>84</v>
      </c>
      <c r="B43" s="49"/>
    </row>
    <row r="44" spans="1:4" ht="23.25" x14ac:dyDescent="0.2">
      <c r="A44" s="180" t="s">
        <v>85</v>
      </c>
      <c r="B44" s="179" t="s">
        <v>349</v>
      </c>
      <c r="C44" s="188" t="s">
        <v>349</v>
      </c>
      <c r="D44" s="188" t="s">
        <v>357</v>
      </c>
    </row>
    <row r="45" spans="1:4" hidden="1" x14ac:dyDescent="0.2">
      <c r="A45" s="3"/>
      <c r="B45" s="177" t="str">
        <f>IF(B44=D44,CONCATENATE("MA'LUMOTNOMA ",B47,B46),C44)</f>
        <v>Yakka tartibdagi tadbirkor</v>
      </c>
    </row>
    <row r="46" spans="1:4" ht="46.5" x14ac:dyDescent="0.2">
      <c r="A46" s="180" t="s">
        <v>358</v>
      </c>
      <c r="B46" s="177" t="s">
        <v>27</v>
      </c>
    </row>
    <row r="47" spans="1:4" ht="23.25" hidden="1" x14ac:dyDescent="0.2">
      <c r="A47" s="180"/>
      <c r="B47" s="177" t="str">
        <f>CONCATENATE(C47," ",B46)</f>
        <v xml:space="preserve">№  </v>
      </c>
      <c r="C47" s="188" t="s">
        <v>15</v>
      </c>
    </row>
    <row r="48" spans="1:4" ht="69.75" x14ac:dyDescent="0.2">
      <c r="A48" s="180" t="s">
        <v>359</v>
      </c>
      <c r="B48" s="177" t="s">
        <v>27</v>
      </c>
    </row>
    <row r="49" spans="1:4" hidden="1" x14ac:dyDescent="0.2">
      <c r="A49" s="3" t="s">
        <v>86</v>
      </c>
      <c r="B49" s="49" t="str">
        <f>IF(B44=C44,C44,B48)</f>
        <v>Yakka tartibdagi tadbirkor</v>
      </c>
    </row>
    <row r="50" spans="1:4" ht="30" x14ac:dyDescent="0.2">
      <c r="A50" s="3" t="s">
        <v>87</v>
      </c>
      <c r="B50" s="49"/>
    </row>
    <row r="51" spans="1:4" x14ac:dyDescent="0.2">
      <c r="A51" s="3" t="s">
        <v>74</v>
      </c>
      <c r="B51" s="49"/>
    </row>
    <row r="52" spans="1:4" x14ac:dyDescent="0.2">
      <c r="A52" s="3" t="s">
        <v>88</v>
      </c>
      <c r="B52" s="49"/>
    </row>
    <row r="53" spans="1:4" x14ac:dyDescent="0.2">
      <c r="A53" s="3" t="s">
        <v>89</v>
      </c>
      <c r="B53" s="49"/>
    </row>
    <row r="54" spans="1:4" x14ac:dyDescent="0.2">
      <c r="A54" s="3" t="s">
        <v>90</v>
      </c>
      <c r="B54" s="49"/>
    </row>
    <row r="55" spans="1:4" x14ac:dyDescent="0.2">
      <c r="A55" s="3" t="s">
        <v>91</v>
      </c>
      <c r="B55" s="2"/>
    </row>
    <row r="56" spans="1:4" x14ac:dyDescent="0.2">
      <c r="A56" s="3" t="s">
        <v>92</v>
      </c>
      <c r="B56" s="2" t="s">
        <v>22</v>
      </c>
    </row>
    <row r="57" spans="1:4" ht="30" customHeight="1" x14ac:dyDescent="0.2">
      <c r="A57" s="247" t="s">
        <v>97</v>
      </c>
      <c r="B57" s="248"/>
    </row>
    <row r="58" spans="1:4" ht="20.25" hidden="1" customHeight="1" x14ac:dyDescent="0.2">
      <c r="A58" s="3" t="s">
        <v>98</v>
      </c>
      <c r="B58" s="49" t="str">
        <f>IF(B44=C44,C44,CONCATENATE(B44," ",B47))</f>
        <v>Yakka tartibdagi tadbirkor</v>
      </c>
    </row>
    <row r="59" spans="1:4" ht="31.5" hidden="1" customHeight="1" x14ac:dyDescent="0.2">
      <c r="A59" s="3" t="s">
        <v>86</v>
      </c>
      <c r="B59" s="49" t="str">
        <f>B49</f>
        <v>Yakka tartibdagi tadbirkor</v>
      </c>
    </row>
    <row r="60" spans="1:4" ht="23.25" x14ac:dyDescent="0.2">
      <c r="A60" s="180" t="s">
        <v>99</v>
      </c>
      <c r="B60" s="184">
        <v>13500000</v>
      </c>
      <c r="C60" s="204">
        <f>C63/B75</f>
        <v>0.49753424449999994</v>
      </c>
    </row>
    <row r="61" spans="1:4" x14ac:dyDescent="0.2">
      <c r="A61" s="3" t="s">
        <v>100</v>
      </c>
      <c r="B61" s="5">
        <v>3</v>
      </c>
      <c r="C61" s="205" t="s">
        <v>396</v>
      </c>
    </row>
    <row r="62" spans="1:4" hidden="1" x14ac:dyDescent="0.2">
      <c r="A62" s="3" t="s">
        <v>101</v>
      </c>
      <c r="B62" s="49">
        <f>B53</f>
        <v>0</v>
      </c>
      <c r="C62" s="203"/>
    </row>
    <row r="63" spans="1:4" x14ac:dyDescent="0.2">
      <c r="A63" s="3" t="s">
        <v>102</v>
      </c>
      <c r="B63" s="49"/>
      <c r="C63" s="206">
        <f>SUM(График!E9:E20)</f>
        <v>19901369.779999997</v>
      </c>
    </row>
    <row r="64" spans="1:4" x14ac:dyDescent="0.2">
      <c r="A64" s="246" t="s">
        <v>103</v>
      </c>
      <c r="B64" s="246"/>
      <c r="C64" s="188" t="str">
        <f>PROPER(B65)</f>
        <v>Mikroqarz</v>
      </c>
      <c r="D64" s="188" t="str">
        <f>UPPER(B65)</f>
        <v>MIKROQARZ</v>
      </c>
    </row>
    <row r="65" spans="1:14" ht="15.75" thickBot="1" x14ac:dyDescent="0.25">
      <c r="A65" s="3" t="s">
        <v>104</v>
      </c>
      <c r="B65" s="1" t="str">
        <f>IF(B75&gt;100000001,"mikrokredit",IF(B75&lt;100000001,"mikroqarz",0))</f>
        <v>mikroqarz</v>
      </c>
      <c r="C65" s="190">
        <f>DATE(YEAR(B67),MONTH(B67)+B81,DAY(B67))</f>
        <v>46636</v>
      </c>
    </row>
    <row r="66" spans="1:14" hidden="1" x14ac:dyDescent="0.2">
      <c r="A66" s="3" t="s">
        <v>105</v>
      </c>
      <c r="B66" s="49" t="str">
        <f>B1</f>
        <v>№544-QR</v>
      </c>
      <c r="C66" s="188">
        <f>MONTH(C65)</f>
        <v>9</v>
      </c>
      <c r="D66" s="188" t="str">
        <f>IF(C66=C68,C70,IF(C66=D68,D70,IF(C66=E68,E70,IF(C66=F68,F70,IF(C66=G68,G70,IF(C66=H68,H70,IF(C66=I68,I70,IF(C66=J68,J70,IF(C66=K68,K70,IF(C66=L68,L70,IF(C66=M68,M70,IF(C66=N68,N70,))))))))))))</f>
        <v>sentabr</v>
      </c>
      <c r="E66" s="188">
        <f>DAY(C65)</f>
        <v>6</v>
      </c>
      <c r="F66" s="188">
        <f>YEAR(C65)</f>
        <v>2027</v>
      </c>
      <c r="G66" s="188">
        <f>MONTH(C65)</f>
        <v>9</v>
      </c>
      <c r="H66" s="188" t="str">
        <f>IF(C66=C68,C71,IF(C66=D68,D71,IF(C66=E68,E71,IF(C66=F68,F71,IF(C66=G68,G71,IF(C66=H68,H71,IF(C66=I68,I71,IF(C66=J68,J71,IF(C66=K68,K71,IF(C66=L68,L71,IF(C66=M68,M71,IF(C66=N68,N71,))))))))))))</f>
        <v>sentabr</v>
      </c>
      <c r="I66" s="188">
        <f>YEAR(C65)</f>
        <v>2027</v>
      </c>
    </row>
    <row r="67" spans="1:14" hidden="1" x14ac:dyDescent="0.2">
      <c r="A67" s="3" t="s">
        <v>106</v>
      </c>
      <c r="B67" s="85" t="str">
        <f>B2</f>
        <v>06.03.2025</v>
      </c>
      <c r="C67" s="188">
        <f>MONTH(B67)</f>
        <v>3</v>
      </c>
      <c r="D67" s="188" t="str">
        <f>IF(C67=C68,C70,IF(C67=D68,D70,IF(C67=E68,E70,IF(C67=F68,F70,IF(C67=G68,G70,IF(C67=H68,H70,IF(C67=I68,I70,IF(C67=J68,J70,IF(C67=K68,K70,IF(C67=L68,L70,IF(C67=M68,M70,IF(C67=N68,N70,))))))))))))</f>
        <v>mart</v>
      </c>
      <c r="E67" s="188">
        <f>DAY(B67)</f>
        <v>6</v>
      </c>
      <c r="F67" s="188">
        <f>YEAR(B67)</f>
        <v>2025</v>
      </c>
      <c r="G67" s="188">
        <f>MONTH(B67)</f>
        <v>3</v>
      </c>
      <c r="H67" s="188" t="str">
        <f>IF(C67=C68,C71,IF(C67=D68,D71,IF(C67=E68,E71,IF(C67=F68,F71,IF(C67=G68,G71,IF(C67=H68,H71,IF(C67=I68,I71,IF(C67=J68,J71,IF(C67=K68,K71,IF(C67=L68,L71,IF(C67=M68,M71,IF(C67=N68,N71,))))))))))))</f>
        <v>mart</v>
      </c>
      <c r="I67" s="188">
        <f>YEAR(B67)</f>
        <v>2025</v>
      </c>
    </row>
    <row r="68" spans="1:14" hidden="1" x14ac:dyDescent="0.2">
      <c r="A68" s="3" t="s">
        <v>107</v>
      </c>
      <c r="B68" s="77" t="str">
        <f>""&amp;E67&amp;" "&amp;D67&amp;" "&amp;F67&amp;" y."</f>
        <v>6 mart 2025 y.</v>
      </c>
      <c r="C68" s="188">
        <v>1</v>
      </c>
      <c r="D68" s="188">
        <v>2</v>
      </c>
      <c r="E68" s="188">
        <v>3</v>
      </c>
      <c r="F68" s="188">
        <v>4</v>
      </c>
      <c r="G68" s="188">
        <v>5</v>
      </c>
      <c r="H68" s="188">
        <v>6</v>
      </c>
      <c r="I68" s="188">
        <v>7</v>
      </c>
      <c r="J68" s="188">
        <v>8</v>
      </c>
      <c r="K68" s="188">
        <v>9</v>
      </c>
      <c r="L68" s="188">
        <v>10</v>
      </c>
      <c r="M68" s="188">
        <v>11</v>
      </c>
      <c r="N68" s="188">
        <v>12</v>
      </c>
    </row>
    <row r="69" spans="1:14" hidden="1" x14ac:dyDescent="0.2">
      <c r="A69" s="3"/>
      <c r="B69" s="77" t="str">
        <f>""&amp;E67&amp;" "&amp;H67&amp;" "&amp;F67&amp;" y."</f>
        <v>6 mart 2025 y.</v>
      </c>
    </row>
    <row r="70" spans="1:14" hidden="1" x14ac:dyDescent="0.2">
      <c r="A70" s="3"/>
      <c r="B70" s="59" t="str">
        <f>B68</f>
        <v>6 mart 2025 y.</v>
      </c>
      <c r="C70" s="188" t="s">
        <v>119</v>
      </c>
      <c r="D70" s="188" t="s">
        <v>120</v>
      </c>
      <c r="E70" s="188" t="s">
        <v>109</v>
      </c>
      <c r="F70" s="188" t="s">
        <v>110</v>
      </c>
      <c r="G70" s="188" t="s">
        <v>111</v>
      </c>
      <c r="H70" s="188" t="s">
        <v>112</v>
      </c>
      <c r="I70" s="188" t="s">
        <v>113</v>
      </c>
      <c r="J70" s="188" t="s">
        <v>114</v>
      </c>
      <c r="K70" s="188" t="s">
        <v>115</v>
      </c>
      <c r="L70" s="188" t="s">
        <v>116</v>
      </c>
      <c r="M70" s="188" t="s">
        <v>117</v>
      </c>
      <c r="N70" s="188" t="s">
        <v>118</v>
      </c>
    </row>
    <row r="71" spans="1:14" hidden="1" x14ac:dyDescent="0.2">
      <c r="A71" s="3"/>
      <c r="B71" s="59" t="str">
        <f>B69</f>
        <v>6 mart 2025 y.</v>
      </c>
      <c r="C71" s="188" t="s">
        <v>119</v>
      </c>
      <c r="D71" s="188" t="s">
        <v>120</v>
      </c>
      <c r="E71" s="188" t="s">
        <v>109</v>
      </c>
      <c r="F71" s="188" t="s">
        <v>110</v>
      </c>
      <c r="G71" s="188" t="s">
        <v>111</v>
      </c>
      <c r="H71" s="188" t="s">
        <v>112</v>
      </c>
      <c r="I71" s="188" t="s">
        <v>113</v>
      </c>
      <c r="J71" s="188" t="s">
        <v>114</v>
      </c>
      <c r="K71" s="188" t="s">
        <v>115</v>
      </c>
      <c r="L71" s="188" t="s">
        <v>116</v>
      </c>
      <c r="M71" s="188" t="s">
        <v>117</v>
      </c>
      <c r="N71" s="188" t="s">
        <v>118</v>
      </c>
    </row>
    <row r="72" spans="1:14" hidden="1" x14ac:dyDescent="0.2">
      <c r="A72" s="3" t="s">
        <v>108</v>
      </c>
      <c r="B72" s="58" t="str">
        <f>""&amp;E66&amp;" "&amp;D66&amp;" "&amp;F66&amp;" y."</f>
        <v>6 sentabr 2027 y.</v>
      </c>
    </row>
    <row r="73" spans="1:14" hidden="1" x14ac:dyDescent="0.2">
      <c r="A73" s="3"/>
      <c r="B73" s="58" t="str">
        <f>""&amp;E66&amp;" "&amp;H66&amp;" "&amp;F66&amp;" y."</f>
        <v>6 sentabr 2027 y.</v>
      </c>
    </row>
    <row r="74" spans="1:14" ht="15.75" hidden="1" thickBot="1" x14ac:dyDescent="0.25">
      <c r="A74" s="3" t="s">
        <v>121</v>
      </c>
      <c r="B74" s="1" t="str">
        <f>""&amp;B68&amp;"dan "&amp;B66&amp;""</f>
        <v>6 mart 2025 y.dan №544-QR</v>
      </c>
    </row>
    <row r="75" spans="1:14" x14ac:dyDescent="0.2">
      <c r="A75" s="3" t="str">
        <f>CONCATENATE(B65," miqdori (summasi)")</f>
        <v>mikroqarz miqdori (summasi)</v>
      </c>
      <c r="B75" s="68">
        <v>40000000</v>
      </c>
      <c r="C75" s="191" t="s">
        <v>127</v>
      </c>
    </row>
    <row r="76" spans="1:14" x14ac:dyDescent="0.2">
      <c r="A76" s="152"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so'm</v>
      </c>
      <c r="C76" s="189"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Qirq million so'm</v>
      </c>
    </row>
    <row r="77" spans="1:14" x14ac:dyDescent="0.2">
      <c r="A77" s="3" t="s">
        <v>123</v>
      </c>
      <c r="B77" s="49" t="s">
        <v>129</v>
      </c>
      <c r="C77" s="188" t="s">
        <v>129</v>
      </c>
      <c r="D77" s="188" t="s">
        <v>128</v>
      </c>
    </row>
    <row r="78" spans="1:14" x14ac:dyDescent="0.2">
      <c r="A78" s="3" t="str">
        <f>CONCATENATE(B65,"ni to'lash sanasi (14.10.2011)")</f>
        <v>mikroqarzni to'lash sanasi (14.10.2011)</v>
      </c>
      <c r="B78" s="49">
        <v>10</v>
      </c>
      <c r="C78" s="190">
        <f>DATE(YEAR(B67),MONTH(B67)+1,DAY(B78))</f>
        <v>45757</v>
      </c>
      <c r="D78" s="188" t="s">
        <v>29</v>
      </c>
      <c r="E78" s="188" t="s">
        <v>30</v>
      </c>
      <c r="F78" s="188" t="s">
        <v>31</v>
      </c>
      <c r="G78" s="188" t="s">
        <v>32</v>
      </c>
      <c r="H78" s="188" t="s">
        <v>33</v>
      </c>
      <c r="I78" s="188" t="s">
        <v>34</v>
      </c>
      <c r="J78" s="188" t="s">
        <v>35</v>
      </c>
    </row>
    <row r="79" spans="1:14" hidden="1" x14ac:dyDescent="0.25">
      <c r="A79" s="3" t="str">
        <f>CONCATENATE(B65,"ni to'lash sanasi (14.10.2011 y.) QO’L BILAN KIRITILADI")</f>
        <v>mikroqarzni to'lash sanasi (14.10.2011 y.) QO’L BILAN KIRITILADI</v>
      </c>
      <c r="B79" s="78">
        <f>DATE(YEAR(B67),MONTH(B67)+1,DAY(B78+C80))</f>
        <v>45757</v>
      </c>
      <c r="C79" s="192" t="str">
        <f>TEXT(C78,"ддд")</f>
        <v>Чт</v>
      </c>
      <c r="D79" s="188" t="s">
        <v>29</v>
      </c>
      <c r="E79" s="188" t="s">
        <v>30</v>
      </c>
      <c r="F79" s="188" t="s">
        <v>31</v>
      </c>
      <c r="G79" s="188" t="s">
        <v>32</v>
      </c>
      <c r="H79" s="188" t="s">
        <v>33</v>
      </c>
      <c r="I79" s="188" t="s">
        <v>34</v>
      </c>
      <c r="J79" s="188" t="s">
        <v>35</v>
      </c>
    </row>
    <row r="80" spans="1:14" hidden="1" x14ac:dyDescent="0.2">
      <c r="A80" s="3" t="s">
        <v>124</v>
      </c>
      <c r="B80" s="79">
        <f>B79</f>
        <v>45757</v>
      </c>
      <c r="C80" s="188">
        <f>IF(C79=I79,2,IF(C79=J79,1,0))</f>
        <v>0</v>
      </c>
    </row>
    <row r="81" spans="1:63" x14ac:dyDescent="0.2">
      <c r="A81" s="3" t="str">
        <f>CONCATENATE(B65," muddati")</f>
        <v>mikroqarz muddati</v>
      </c>
      <c r="B81" s="49">
        <v>30</v>
      </c>
      <c r="C81" s="188">
        <v>6</v>
      </c>
      <c r="D81" s="188">
        <v>12</v>
      </c>
      <c r="E81" s="188">
        <v>18</v>
      </c>
      <c r="F81" s="188">
        <v>24</v>
      </c>
      <c r="G81" s="188">
        <v>36</v>
      </c>
      <c r="H81" s="188">
        <v>30</v>
      </c>
    </row>
    <row r="82" spans="1:63" x14ac:dyDescent="0.2">
      <c r="A82" s="3" t="str">
        <f>CONCATENATE(B65," muddati QO’L BILAN KIRITILADI")</f>
        <v>mikroqarz muddati QO’L BILAN KIRITILADI</v>
      </c>
      <c r="B82" s="148" t="str">
        <f>IF(B81=C81,"olti",IF(B81=D81,"o'n ikki",IF(B81=E81,"o'n sakkiz",IF(B81=F81,"yigirma to'rt",IF(B81=G81,"o'ttiz olti",IF(B81=H81,"o'ttiz ",0))))))</f>
        <v xml:space="preserve">o'ttiz </v>
      </c>
    </row>
    <row r="83" spans="1:63" ht="30" x14ac:dyDescent="0.2">
      <c r="A83" s="175" t="s">
        <v>354</v>
      </c>
      <c r="B83" s="148">
        <v>0</v>
      </c>
      <c r="BJ83" s="188">
        <v>1</v>
      </c>
      <c r="BK83" s="188">
        <v>0</v>
      </c>
    </row>
    <row r="84" spans="1:63" x14ac:dyDescent="0.2">
      <c r="A84" s="3" t="str">
        <f>CONCATENATE(B65," stavkasi")</f>
        <v>mikroqarz stavkasi</v>
      </c>
      <c r="B84" s="81">
        <v>0.6</v>
      </c>
    </row>
    <row r="85" spans="1:63" x14ac:dyDescent="0.2">
      <c r="A85" s="3" t="str">
        <f>CONCATENATE(B65," stavkasi")</f>
        <v>mikroqarz stavkasi</v>
      </c>
      <c r="B85" s="82" t="s">
        <v>397</v>
      </c>
    </row>
    <row r="86" spans="1:63" x14ac:dyDescent="0.2">
      <c r="A86" s="3" t="str">
        <f>CONCATENATE(B65," stavkasi (so’z bilan)")</f>
        <v>mikroqarz stavkasi (so’z bilan)</v>
      </c>
      <c r="B86" s="80" t="s">
        <v>398</v>
      </c>
      <c r="C86" s="188" t="s">
        <v>398</v>
      </c>
    </row>
    <row r="87" spans="1:63" x14ac:dyDescent="0.2">
      <c r="A87" s="3" t="str">
        <f>CONCATENATE("Muddati o'tgan ",B65," bo’yicha stavka")</f>
        <v>Muddati o'tgan mikroqarz bo’yicha stavka</v>
      </c>
      <c r="B87" s="81">
        <v>1</v>
      </c>
    </row>
    <row r="88" spans="1:63" x14ac:dyDescent="0.2">
      <c r="A88" s="152" t="s">
        <v>122</v>
      </c>
      <c r="B88" s="82" t="s">
        <v>402</v>
      </c>
    </row>
    <row r="89" spans="1:63" x14ac:dyDescent="0.2">
      <c r="A89" s="3" t="str">
        <f>CONCATENATE("Muddati o'tgan ",B65," bo’yicha stavka")</f>
        <v>Muddati o'tgan mikroqarz bo’yicha stavka</v>
      </c>
      <c r="B89" s="80" t="s">
        <v>403</v>
      </c>
      <c r="C89" s="188" t="s">
        <v>403</v>
      </c>
    </row>
    <row r="90" spans="1:63" x14ac:dyDescent="0.2">
      <c r="A90" s="3" t="s">
        <v>125</v>
      </c>
      <c r="B90" s="83">
        <f>IF(B77=C77,LARGE(График!F9:F26,1),ROUND(PMT(B84/12,B81,-B75,0),-3))</f>
        <v>3634703.03</v>
      </c>
    </row>
    <row r="91" spans="1:63" x14ac:dyDescent="0.2">
      <c r="A91" s="246" t="s">
        <v>126</v>
      </c>
      <c r="B91" s="246"/>
    </row>
    <row r="92" spans="1:63" ht="18" x14ac:dyDescent="0.2">
      <c r="A92" s="84"/>
      <c r="B92" s="141" t="s">
        <v>131</v>
      </c>
      <c r="C92" s="193" t="s">
        <v>131</v>
      </c>
      <c r="D92" s="188" t="s">
        <v>132</v>
      </c>
    </row>
    <row r="93" spans="1:63" ht="18" x14ac:dyDescent="0.2">
      <c r="A93" s="8" t="s">
        <v>137</v>
      </c>
      <c r="B93" s="141" t="s">
        <v>134</v>
      </c>
      <c r="C93" s="194" t="s">
        <v>133</v>
      </c>
      <c r="D93" s="188" t="s">
        <v>134</v>
      </c>
    </row>
    <row r="94" spans="1:63" ht="36" x14ac:dyDescent="0.2">
      <c r="A94" s="8" t="s">
        <v>138</v>
      </c>
      <c r="B94" s="141" t="s">
        <v>135</v>
      </c>
      <c r="C94" s="188" t="s">
        <v>135</v>
      </c>
      <c r="D94" s="188" t="s">
        <v>136</v>
      </c>
    </row>
    <row r="95" spans="1:63" ht="36" x14ac:dyDescent="0.2">
      <c r="A95" s="8" t="s">
        <v>139</v>
      </c>
      <c r="B95" s="141"/>
    </row>
    <row r="96" spans="1:63" ht="36" x14ac:dyDescent="0.2">
      <c r="A96" s="8" t="s">
        <v>140</v>
      </c>
      <c r="B96" s="141"/>
    </row>
    <row r="97" spans="1:4" x14ac:dyDescent="0.2">
      <c r="A97" s="246" t="s">
        <v>141</v>
      </c>
      <c r="B97" s="246"/>
    </row>
    <row r="98" spans="1:4" ht="36" x14ac:dyDescent="0.2">
      <c r="A98" s="8" t="s">
        <v>142</v>
      </c>
      <c r="B98" s="141"/>
    </row>
    <row r="99" spans="1:4" ht="36" x14ac:dyDescent="0.2">
      <c r="A99" s="8" t="s">
        <v>143</v>
      </c>
      <c r="B99" s="141"/>
    </row>
    <row r="100" spans="1:4" ht="18" x14ac:dyDescent="0.2">
      <c r="A100" s="8" t="s">
        <v>144</v>
      </c>
      <c r="B100" s="149"/>
    </row>
    <row r="101" spans="1:4" ht="18" x14ac:dyDescent="0.2">
      <c r="A101" s="8" t="s">
        <v>145</v>
      </c>
      <c r="B101" s="147"/>
    </row>
    <row r="102" spans="1:4" ht="18" hidden="1" x14ac:dyDescent="0.2">
      <c r="A102" s="8"/>
      <c r="B102" s="141" t="str">
        <f>TEXT(B101,"ДД.ММ.ГГГГ")</f>
        <v>00.01.1900</v>
      </c>
    </row>
    <row r="103" spans="1:4" ht="18" x14ac:dyDescent="0.2">
      <c r="A103" s="8"/>
      <c r="B103" s="9" t="s">
        <v>146</v>
      </c>
      <c r="C103" s="188" t="s">
        <v>146</v>
      </c>
      <c r="D103" s="188" t="s">
        <v>147</v>
      </c>
    </row>
    <row r="104" spans="1:4" ht="60" x14ac:dyDescent="0.2">
      <c r="A104" s="183" t="s">
        <v>356</v>
      </c>
      <c r="B104" s="182" t="s">
        <v>355</v>
      </c>
      <c r="C104" s="209" t="s">
        <v>147</v>
      </c>
    </row>
    <row r="105" spans="1:4" ht="30" x14ac:dyDescent="0.2">
      <c r="A105" s="174" t="s">
        <v>377</v>
      </c>
      <c r="B105" s="9" t="s">
        <v>418</v>
      </c>
      <c r="C105" s="209"/>
    </row>
    <row r="106" spans="1:4" ht="30" x14ac:dyDescent="0.2">
      <c r="A106" s="174" t="s">
        <v>378</v>
      </c>
      <c r="B106" s="9" t="s">
        <v>419</v>
      </c>
      <c r="C106" s="209"/>
    </row>
    <row r="107" spans="1:4" ht="60" x14ac:dyDescent="0.2">
      <c r="A107" s="174" t="str">
        <f>A113</f>
        <v>Tug’ilgan sanasi (01.10.2011 y.)</v>
      </c>
      <c r="B107" s="199" t="s">
        <v>420</v>
      </c>
      <c r="C107" s="209"/>
    </row>
    <row r="108" spans="1:4" ht="60" x14ac:dyDescent="0.2">
      <c r="A108" s="174" t="str">
        <f>A114</f>
        <v>Pasport seriyasi (СА №1234567)</v>
      </c>
      <c r="B108" s="9" t="s">
        <v>421</v>
      </c>
      <c r="C108" s="209"/>
    </row>
    <row r="109" spans="1:4" ht="150" x14ac:dyDescent="0.2">
      <c r="A109" s="174" t="str">
        <f>A115</f>
        <v xml:space="preserve">Kim va qachon berilgan
(Toshkent shahri Chilonzor IIB tomonidan 2011 yil __.____)
</v>
      </c>
      <c r="B109" s="9" t="s">
        <v>422</v>
      </c>
      <c r="C109" s="209"/>
    </row>
    <row r="110" spans="1:4" ht="150" x14ac:dyDescent="0.2">
      <c r="A110" s="174" t="str">
        <f>A116</f>
        <v xml:space="preserve">doimiy ro’yhatdan o’tgan joyi
(Toshkent sh., Mirobod tumani, Nukus ko’chasi, 1 uy, 1 honadon)
</v>
      </c>
      <c r="B110" s="9" t="s">
        <v>423</v>
      </c>
      <c r="C110" s="209"/>
    </row>
    <row r="111" spans="1:4" hidden="1" x14ac:dyDescent="0.2">
      <c r="A111" s="138" t="s">
        <v>159</v>
      </c>
      <c r="B111" s="129" t="str">
        <f>IF(B93="HA",B5,B105)</f>
        <v>SHUKUROV SHOKIR ABDIKARIMOVICH</v>
      </c>
      <c r="C111" s="210">
        <f>IF(B93="HA",B5,C105)</f>
        <v>0</v>
      </c>
    </row>
    <row r="112" spans="1:4" hidden="1" x14ac:dyDescent="0.2">
      <c r="A112" s="138"/>
      <c r="B112" s="129" t="str">
        <f>IF(B93="HA",B7,B106)</f>
        <v>SHUKUROV SH.A</v>
      </c>
      <c r="C112" s="210">
        <f>IF(B93="HA",B7,C106)</f>
        <v>0</v>
      </c>
    </row>
    <row r="113" spans="1:18" hidden="1" x14ac:dyDescent="0.2">
      <c r="A113" s="139" t="s">
        <v>160</v>
      </c>
      <c r="B113" s="173" t="str">
        <f>IF(B93="HA",B15,B107)</f>
        <v>25.09.1962y</v>
      </c>
      <c r="C113" s="210">
        <f>IF(B93="HA",B15,C107)</f>
        <v>0</v>
      </c>
    </row>
    <row r="114" spans="1:18" hidden="1" x14ac:dyDescent="0.2">
      <c r="A114" s="139" t="s">
        <v>65</v>
      </c>
      <c r="B114" s="173" t="str">
        <f>IF(B93="HA",B16,B108)</f>
        <v>AE1296123</v>
      </c>
      <c r="C114" s="210">
        <f>IF(B93="HA",B16,C108)</f>
        <v>0</v>
      </c>
    </row>
    <row r="115" spans="1:18" ht="30" hidden="1" customHeight="1" x14ac:dyDescent="0.2">
      <c r="A115" s="139" t="s">
        <v>68</v>
      </c>
      <c r="B115" s="129" t="str">
        <f>IF(B93="HA",B20,B109)</f>
        <v>IIV 6230 21.01.2025Y</v>
      </c>
      <c r="C115" s="210">
        <f>IF(B93="HA",B20,C109)</f>
        <v>0</v>
      </c>
      <c r="D115" s="188">
        <v>493193762</v>
      </c>
    </row>
    <row r="116" spans="1:18" ht="53.25" hidden="1" customHeight="1" x14ac:dyDescent="0.2">
      <c r="A116" s="139" t="s">
        <v>70</v>
      </c>
      <c r="B116" s="129" t="str">
        <f>IF(B93="HA",B22,B110)</f>
        <v xml:space="preserve">QORAKO'L TUMANI JIG'ACHI MFY </v>
      </c>
      <c r="C116" s="211">
        <f>IF(B93="HA",B22,C110)</f>
        <v>0</v>
      </c>
    </row>
    <row r="117" spans="1:18" hidden="1" x14ac:dyDescent="0.2">
      <c r="A117" s="139" t="s">
        <v>161</v>
      </c>
      <c r="B117" s="1" t="str">
        <f>IF(B93="ha",B5,B111)</f>
        <v>SHUKUROV SHOKIR ABDIKARIMOVICH</v>
      </c>
      <c r="C117" s="212">
        <f>IF(B93="ha",B5,C111)</f>
        <v>0</v>
      </c>
    </row>
    <row r="118" spans="1:18" hidden="1" x14ac:dyDescent="0.2">
      <c r="A118" s="139"/>
      <c r="B118" s="1" t="str">
        <f>IF(B93="ha",B7,B112)</f>
        <v>SHUKUROV SH.A</v>
      </c>
      <c r="C118" s="212">
        <f>IF(B93="ha",B7,C112)</f>
        <v>0</v>
      </c>
    </row>
    <row r="119" spans="1:18" hidden="1" x14ac:dyDescent="0.2">
      <c r="A119" s="3" t="s">
        <v>160</v>
      </c>
      <c r="B119" s="1" t="str">
        <f>IF(B93="ha",B15,B113)</f>
        <v>25.09.1962y</v>
      </c>
      <c r="C119" s="212">
        <f>IF(B93="ha",B15,C113)</f>
        <v>0</v>
      </c>
    </row>
    <row r="120" spans="1:18" hidden="1" x14ac:dyDescent="0.2">
      <c r="A120" s="3" t="s">
        <v>65</v>
      </c>
      <c r="B120" s="1" t="str">
        <f>IF(B93="ha",B16,B114)</f>
        <v>AE1296123</v>
      </c>
      <c r="C120" s="212">
        <f>IF(B93="ha",B16,C114)</f>
        <v>0</v>
      </c>
    </row>
    <row r="121" spans="1:18" ht="45" hidden="1" x14ac:dyDescent="0.2">
      <c r="A121" s="3" t="s">
        <v>68</v>
      </c>
      <c r="B121" s="1" t="str">
        <f>IF(B93="ha",B20,B115)</f>
        <v>IIV 6230 21.01.2025Y</v>
      </c>
      <c r="C121" s="212">
        <f>IF(B93="ha",B20,C115)</f>
        <v>0</v>
      </c>
    </row>
    <row r="122" spans="1:18" ht="45" hidden="1" x14ac:dyDescent="0.2">
      <c r="A122" s="3" t="s">
        <v>70</v>
      </c>
      <c r="B122" s="170" t="str">
        <f>IF(B93="ha",B22,B116)</f>
        <v xml:space="preserve">QORAKO'L TUMANI JIG'ACHI MFY </v>
      </c>
      <c r="C122" s="213">
        <f>IF(B93="ha",B22,C116)</f>
        <v>0</v>
      </c>
    </row>
    <row r="123" spans="1:18" ht="42.75" x14ac:dyDescent="0.2">
      <c r="A123" s="3" t="s">
        <v>162</v>
      </c>
      <c r="B123" s="49" t="s">
        <v>407</v>
      </c>
      <c r="C123" s="214" t="s">
        <v>48</v>
      </c>
      <c r="N123" s="188" t="str">
        <f>IF(B103=C103,B117,IF(B103=D103,C117,0))</f>
        <v>SHUKUROV SHOKIR ABDIKARIMOVICH</v>
      </c>
    </row>
    <row r="124" spans="1:18" ht="45" x14ac:dyDescent="0.2">
      <c r="A124" s="3" t="s">
        <v>163</v>
      </c>
      <c r="B124" s="49" t="s">
        <v>424</v>
      </c>
      <c r="C124" s="212" t="s">
        <v>387</v>
      </c>
      <c r="D124" s="215" t="s">
        <v>152</v>
      </c>
      <c r="Q124" s="188" t="str">
        <f>""&amp;B95&amp;" (по генеральному доверенестью №"&amp;B100&amp;" от "&amp;B102&amp;")"</f>
        <v xml:space="preserve"> (по генеральному доверенестью № от 00.01.1900)</v>
      </c>
      <c r="R124" s="188" t="str">
        <f>""&amp;B95&amp;" ("&amp;B102&amp;"y. sanasidagi reestr raqami №"&amp;B100&amp;" bo'lgan Ishonchnomaga asosan)"</f>
        <v xml:space="preserve"> (00.01.1900y. sanasidagi reestr raqami № bo'lgan Ishonchnomaga asosan)</v>
      </c>
    </row>
    <row r="125" spans="1:18" ht="30" x14ac:dyDescent="0.2">
      <c r="A125" s="3" t="s">
        <v>164</v>
      </c>
      <c r="B125" s="49" t="s">
        <v>425</v>
      </c>
      <c r="C125" s="213" t="str">
        <f>""&amp;D126&amp;" "&amp;IF(C129=D129,"- xonali yakka tartibdagi uy-joy", IF(C129=E129,"-  xonali ko'p qavatli uydagi xonadon",0))&amp;""</f>
        <v>3 - xonali yakka tartibdagi uy-joy</v>
      </c>
      <c r="D125" s="216" t="s">
        <v>150</v>
      </c>
      <c r="E125" s="188" t="str">
        <f>IF($C$129=$D$129,I125,IF($C$129=$E$129,H125,0))</f>
        <v>3 - xonali yakka tartibdagi uy-joy</v>
      </c>
      <c r="F125" s="188" t="str">
        <f>IF($C$129=$D$129,I125,IF($C$129=$E$129,H125,0))</f>
        <v>3 - xonali yakka tartibdagi uy-joy</v>
      </c>
      <c r="H125" s="188" t="str">
        <f>"Ko'p qavatli uydagi "&amp;D126&amp;" - xonali xonadon"</f>
        <v>Ko'p qavatli uydagi 3 - xonali xonadon</v>
      </c>
      <c r="I125" s="188" t="str">
        <f>""&amp;D126&amp;" - xonali yakka tartibdagi uy-joy"</f>
        <v>3 - xonali yakka tartibdagi uy-joy</v>
      </c>
      <c r="N125" s="188" t="str">
        <f>IF(B93=C93,Q126,IF(B93=D93,Q125,0))</f>
        <v>Микрофинансовой организацией, Заемщиком и SHUKUROV SHOKIR ABDIKARIMOVICH</v>
      </c>
      <c r="Q125" s="188" t="str">
        <f>"Микрофинансовой организацией, Заемщиком и "&amp;IF(B94=D94,Q124,IF(B94=C94,B111,0))&amp;""</f>
        <v>Микрофинансовой организацией, Заемщиком и SHUKUROV SHOKIR ABDIKARIMOVICH</v>
      </c>
      <c r="R125" s="188" t="str">
        <f>"Mikromoliya tashkiloti, Qarz oluvchi va "&amp;IF(B94=D94,R124,IF(B94=C94,B111))&amp;""</f>
        <v>Mikromoliya tashkiloti, Qarz oluvchi va SHUKUROV SHOKIR ABDIKARIMOVICH</v>
      </c>
    </row>
    <row r="126" spans="1:18" x14ac:dyDescent="0.2">
      <c r="A126" s="3" t="s">
        <v>165</v>
      </c>
      <c r="B126" s="140" t="s">
        <v>426</v>
      </c>
      <c r="C126" s="213" t="str">
        <f>C125</f>
        <v>3 - xonali yakka tartibdagi uy-joy</v>
      </c>
      <c r="D126" s="217">
        <v>3</v>
      </c>
      <c r="E126" s="188" t="str">
        <f>IF($C$129=$D$129,I126,IF($C$129=$E$129,H126,0))</f>
        <v>yer uchastkasi maydoni - , umumiy maydoni - 72,13, yashash maydoni - 37,39</v>
      </c>
      <c r="F126" s="188" t="str">
        <f>IF($C$129=$D$129,I126,IF($C$129=$E$129,H126,0))</f>
        <v>yer uchastkasi maydoni - , umumiy maydoni - 72,13, yashash maydoni - 37,39</v>
      </c>
      <c r="H126" s="188" t="str">
        <f>"umumiy maydoni - "&amp;C130&amp;", yashash maydoni - "&amp;C133&amp;""</f>
        <v>umumiy maydoni - 72,13, yashash maydoni - 37,39</v>
      </c>
      <c r="I126" s="188" t="str">
        <f>"yer uchastkasi maydoni - "&amp;C131&amp;", umumiy maydoni - "&amp;C130&amp;", yashash maydoni - "&amp;C133&amp;""</f>
        <v>yer uchastkasi maydoni - , umumiy maydoni - 72,13, yashash maydoni - 37,39</v>
      </c>
      <c r="N126" s="188" t="str">
        <f>IF(B93=C93,R126,IF(B93=D93,R125,0))</f>
        <v>Mikromoliya tashkiloti, Qarz oluvchi va SHUKUROV SHOKIR ABDIKARIMOVICH</v>
      </c>
      <c r="Q126" s="188" t="s">
        <v>52</v>
      </c>
      <c r="R126" s="188" t="s">
        <v>151</v>
      </c>
    </row>
    <row r="127" spans="1:18" ht="27" customHeight="1" x14ac:dyDescent="0.2">
      <c r="A127" s="3" t="s">
        <v>166</v>
      </c>
      <c r="B127" s="76" t="str">
        <f>"kuzov turi - "&amp;B128&amp;", kuzov raqami "&amp;B129&amp;""</f>
        <v>kuzov turi - YENGIL SEDAN, kuzov raqami XWBJF69VEGA010899</v>
      </c>
      <c r="C127" s="212" t="s">
        <v>386</v>
      </c>
      <c r="D127" s="215" t="s">
        <v>388</v>
      </c>
    </row>
    <row r="128" spans="1:18" x14ac:dyDescent="0.2">
      <c r="A128" s="69" t="s">
        <v>167</v>
      </c>
      <c r="B128" s="49" t="s">
        <v>427</v>
      </c>
      <c r="C128" s="218"/>
    </row>
    <row r="129" spans="1:6" x14ac:dyDescent="0.2">
      <c r="A129" s="69" t="s">
        <v>168</v>
      </c>
      <c r="B129" s="202" t="s">
        <v>429</v>
      </c>
      <c r="C129" s="207" t="s">
        <v>153</v>
      </c>
      <c r="D129" s="188" t="s">
        <v>153</v>
      </c>
      <c r="E129" s="188" t="s">
        <v>154</v>
      </c>
    </row>
    <row r="130" spans="1:6" ht="27" customHeight="1" x14ac:dyDescent="0.25">
      <c r="A130" s="3" t="s">
        <v>169</v>
      </c>
      <c r="B130" s="76" t="str">
        <f>"dvigatel raqami "&amp;B131&amp;", shassi raqami - "&amp;B132&amp;""</f>
        <v>dvigatel raqami B15D211163492DJX0086, shassi raqami - RAKAMSIZ</v>
      </c>
      <c r="C130" s="207">
        <v>72.13</v>
      </c>
      <c r="D130" s="219" t="s">
        <v>155</v>
      </c>
      <c r="E130" s="188" t="str">
        <f>CONCATENATE(C130," ","kv.m")</f>
        <v>72,13 kv.m</v>
      </c>
      <c r="F130" s="197">
        <f>C130-C133</f>
        <v>34.739999999999995</v>
      </c>
    </row>
    <row r="131" spans="1:6" x14ac:dyDescent="0.25">
      <c r="A131" s="69" t="s">
        <v>170</v>
      </c>
      <c r="B131" s="49" t="s">
        <v>428</v>
      </c>
      <c r="C131" s="207"/>
      <c r="D131" s="219" t="s">
        <v>156</v>
      </c>
    </row>
    <row r="132" spans="1:6" x14ac:dyDescent="0.2">
      <c r="A132" s="69" t="s">
        <v>171</v>
      </c>
      <c r="B132" s="49" t="s">
        <v>433</v>
      </c>
      <c r="C132" s="207"/>
    </row>
    <row r="133" spans="1:6" ht="25.5" customHeight="1" x14ac:dyDescent="0.25">
      <c r="A133" s="3" t="s">
        <v>172</v>
      </c>
      <c r="B133" s="76" t="str">
        <f>"rangi -  "&amp;B134&amp;", ishlab chiqarilgan yili - "&amp;B135&amp;""</f>
        <v>rangi -  OQ OLIMPIYSKAYA BELAYA, ishlab chiqarilgan yili - 2016</v>
      </c>
      <c r="C133" s="220" t="s">
        <v>385</v>
      </c>
      <c r="D133" s="219" t="s">
        <v>255</v>
      </c>
      <c r="E133" s="188" t="str">
        <f>CONCATENATE(C133," ","kv.m")</f>
        <v>37,39 kv.m</v>
      </c>
    </row>
    <row r="134" spans="1:6" x14ac:dyDescent="0.2">
      <c r="A134" s="69" t="s">
        <v>173</v>
      </c>
      <c r="B134" s="49" t="s">
        <v>432</v>
      </c>
      <c r="C134" s="207"/>
    </row>
    <row r="135" spans="1:6" ht="30" x14ac:dyDescent="0.25">
      <c r="A135" s="69" t="s">
        <v>174</v>
      </c>
      <c r="B135" s="57" t="s">
        <v>430</v>
      </c>
      <c r="C135" s="218">
        <v>44181</v>
      </c>
      <c r="D135" s="221" t="s">
        <v>389</v>
      </c>
    </row>
    <row r="136" spans="1:6" hidden="1" x14ac:dyDescent="0.25">
      <c r="A136" s="3" t="s">
        <v>175</v>
      </c>
      <c r="B136" s="21">
        <f>B75*1.5</f>
        <v>60000000</v>
      </c>
      <c r="C136" s="222">
        <f>B136</f>
        <v>60000000</v>
      </c>
      <c r="D136" s="219" t="s">
        <v>175</v>
      </c>
    </row>
    <row r="137" spans="1:6" ht="27.75" hidden="1" customHeight="1" x14ac:dyDescent="0.2">
      <c r="A137" s="180"/>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oltmish million so'm</v>
      </c>
      <c r="C137" s="222" t="str">
        <f>B137</f>
        <v>oltmish million so'm</v>
      </c>
    </row>
    <row r="138" spans="1:6" ht="27.75" hidden="1" customHeight="1" x14ac:dyDescent="0.2">
      <c r="A138" s="3"/>
      <c r="B138" s="150" t="str">
        <f>B137</f>
        <v>oltmish million so'm</v>
      </c>
      <c r="C138" s="223"/>
    </row>
    <row r="139" spans="1:6" ht="20.25" x14ac:dyDescent="0.2">
      <c r="A139" s="3" t="s">
        <v>350</v>
      </c>
      <c r="B139" s="52">
        <v>80000</v>
      </c>
    </row>
    <row r="140" spans="1:6" x14ac:dyDescent="0.2">
      <c r="A140" s="3" t="s">
        <v>379</v>
      </c>
      <c r="B140" s="49">
        <v>2</v>
      </c>
    </row>
    <row r="141" spans="1:6" x14ac:dyDescent="0.2">
      <c r="A141" s="3" t="s">
        <v>157</v>
      </c>
      <c r="B141" s="2" t="s">
        <v>148</v>
      </c>
      <c r="C141" s="188">
        <v>1</v>
      </c>
    </row>
    <row r="142" spans="1:6" hidden="1" x14ac:dyDescent="0.2">
      <c r="A142" s="3" t="s">
        <v>158</v>
      </c>
      <c r="B142" s="4" t="str">
        <f>B70</f>
        <v>6 mart 2025 y.</v>
      </c>
      <c r="C142" s="188" t="str">
        <f>B70</f>
        <v>6 mart 2025 y.</v>
      </c>
    </row>
    <row r="143" spans="1:6" hidden="1" x14ac:dyDescent="0.2">
      <c r="A143" s="3"/>
      <c r="B143" s="1">
        <f>YEAR(B67)</f>
        <v>2025</v>
      </c>
    </row>
    <row r="144" spans="1:6" hidden="1" x14ac:dyDescent="0.2">
      <c r="A144" s="3"/>
      <c r="B144" s="153" t="str">
        <f>D67</f>
        <v>mart</v>
      </c>
    </row>
    <row r="145" spans="1:2" hidden="1" x14ac:dyDescent="0.2">
      <c r="A145" s="3"/>
      <c r="B145" s="1">
        <f>DAY(B67)</f>
        <v>6</v>
      </c>
    </row>
    <row r="146" spans="1:2" x14ac:dyDescent="0.2">
      <c r="A146" s="246" t="s">
        <v>360</v>
      </c>
      <c r="B146" s="246"/>
    </row>
    <row r="147" spans="1:2" x14ac:dyDescent="0.2">
      <c r="A147" s="3" t="s">
        <v>176</v>
      </c>
      <c r="B147" s="1" t="s">
        <v>384</v>
      </c>
    </row>
    <row r="148" spans="1:2" x14ac:dyDescent="0.2">
      <c r="A148" s="3"/>
      <c r="B148" s="1" t="s">
        <v>384</v>
      </c>
    </row>
    <row r="149" spans="1:2" x14ac:dyDescent="0.2">
      <c r="A149" s="3"/>
      <c r="B149" s="1" t="s">
        <v>384</v>
      </c>
    </row>
    <row r="150" spans="1:2" x14ac:dyDescent="0.2">
      <c r="A150" s="3" t="s">
        <v>399</v>
      </c>
      <c r="B150" s="1" t="s">
        <v>390</v>
      </c>
    </row>
    <row r="151" spans="1:2" x14ac:dyDescent="0.2">
      <c r="A151" s="3"/>
      <c r="B151" s="1" t="s">
        <v>391</v>
      </c>
    </row>
    <row r="152" spans="1:2" hidden="1" x14ac:dyDescent="0.2">
      <c r="A152" s="3" t="s">
        <v>180</v>
      </c>
      <c r="B152" s="1" t="s">
        <v>177</v>
      </c>
    </row>
    <row r="153" spans="1:2" ht="28.5" hidden="1" x14ac:dyDescent="0.2">
      <c r="A153" s="3" t="s">
        <v>181</v>
      </c>
      <c r="B153" s="1" t="s">
        <v>178</v>
      </c>
    </row>
    <row r="154" spans="1:2" hidden="1" x14ac:dyDescent="0.2">
      <c r="A154" s="3" t="s">
        <v>182</v>
      </c>
      <c r="B154" s="1" t="s">
        <v>25</v>
      </c>
    </row>
    <row r="155" spans="1:2" hidden="1" x14ac:dyDescent="0.2">
      <c r="A155" s="3" t="s">
        <v>183</v>
      </c>
      <c r="B155" s="1" t="s">
        <v>23</v>
      </c>
    </row>
    <row r="156" spans="1:2" hidden="1" x14ac:dyDescent="0.2">
      <c r="A156" s="3" t="s">
        <v>184</v>
      </c>
      <c r="B156" s="1" t="s">
        <v>179</v>
      </c>
    </row>
    <row r="157" spans="1:2" hidden="1" x14ac:dyDescent="0.2">
      <c r="A157" s="3" t="s">
        <v>185</v>
      </c>
      <c r="B157" s="2" t="s">
        <v>26</v>
      </c>
    </row>
    <row r="158" spans="1:2" hidden="1" x14ac:dyDescent="0.2">
      <c r="A158" s="3" t="s">
        <v>186</v>
      </c>
      <c r="B158" s="1" t="s">
        <v>338</v>
      </c>
    </row>
    <row r="159" spans="1:2" x14ac:dyDescent="0.2">
      <c r="A159" s="3" t="s">
        <v>187</v>
      </c>
      <c r="B159" s="1" t="s">
        <v>405</v>
      </c>
    </row>
    <row r="160" spans="1:2" x14ac:dyDescent="0.2">
      <c r="A160" s="3" t="s">
        <v>382</v>
      </c>
      <c r="B160" s="1" t="s">
        <v>401</v>
      </c>
    </row>
    <row r="161" spans="1:2" x14ac:dyDescent="0.2">
      <c r="A161" s="3" t="s">
        <v>399</v>
      </c>
      <c r="B161" s="1" t="s">
        <v>390</v>
      </c>
    </row>
    <row r="162" spans="1:2" x14ac:dyDescent="0.2">
      <c r="A162" s="3" t="s">
        <v>188</v>
      </c>
      <c r="B162" s="2" t="s">
        <v>351</v>
      </c>
    </row>
    <row r="163" spans="1:2" x14ac:dyDescent="0.2">
      <c r="A163" s="3" t="s">
        <v>189</v>
      </c>
      <c r="B163" s="2" t="s">
        <v>352</v>
      </c>
    </row>
    <row r="164" spans="1:2" x14ac:dyDescent="0.2">
      <c r="A164" s="3" t="s">
        <v>190</v>
      </c>
      <c r="B164" s="1" t="str">
        <f>B1</f>
        <v>№544-QR</v>
      </c>
    </row>
    <row r="165" spans="1:2" x14ac:dyDescent="0.2">
      <c r="A165" s="3" t="s">
        <v>191</v>
      </c>
      <c r="B165" s="4" t="str">
        <f>B70</f>
        <v>6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ignoredErrors>
    <ignoredError sqref="B14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26" zoomScaleSheetLayoutView="100" workbookViewId="0">
      <selection activeCell="D25" sqref="D25"/>
    </sheetView>
  </sheetViews>
  <sheetFormatPr defaultColWidth="9.140625" defaultRowHeight="15" outlineLevelCol="1" x14ac:dyDescent="0.25"/>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x14ac:dyDescent="0.25">
      <c r="A1" s="37"/>
      <c r="B1" s="37"/>
      <c r="C1" s="37"/>
      <c r="D1" s="37"/>
      <c r="E1" s="257" t="s">
        <v>16</v>
      </c>
      <c r="F1" s="257"/>
    </row>
    <row r="2" spans="1:8" x14ac:dyDescent="0.25">
      <c r="A2" s="37"/>
      <c r="B2" s="37"/>
      <c r="C2" s="37"/>
      <c r="D2" s="37"/>
      <c r="E2" s="37"/>
      <c r="F2" s="38" t="str">
        <f>"к договору микрозайма "&amp;'Общие данные'!B74&amp;""</f>
        <v>к договору микрозайма 6 mart 2025 y.dan №544-QR</v>
      </c>
    </row>
    <row r="3" spans="1:8" ht="6.75" customHeight="1" x14ac:dyDescent="0.25">
      <c r="A3" s="37"/>
      <c r="B3" s="37"/>
      <c r="C3" s="37"/>
      <c r="D3" s="37"/>
      <c r="E3" s="37"/>
      <c r="F3" s="37"/>
    </row>
    <row r="4" spans="1:8" x14ac:dyDescent="0.25">
      <c r="A4" s="258" t="s">
        <v>17</v>
      </c>
      <c r="B4" s="258"/>
      <c r="C4" s="258"/>
      <c r="D4" s="258"/>
      <c r="E4" s="258"/>
      <c r="F4" s="258"/>
    </row>
    <row r="5" spans="1:8" ht="7.5" customHeight="1" x14ac:dyDescent="0.25"/>
    <row r="6" spans="1:8" x14ac:dyDescent="0.25">
      <c r="A6" s="259" t="s">
        <v>15</v>
      </c>
      <c r="B6" s="260" t="s">
        <v>9</v>
      </c>
      <c r="C6" s="260" t="s">
        <v>10</v>
      </c>
      <c r="D6" s="261" t="s">
        <v>11</v>
      </c>
      <c r="E6" s="261"/>
      <c r="F6" s="261"/>
    </row>
    <row r="7" spans="1:8" s="16" customFormat="1" x14ac:dyDescent="0.25">
      <c r="A7" s="259"/>
      <c r="B7" s="260"/>
      <c r="C7" s="260"/>
      <c r="D7" s="17" t="s">
        <v>12</v>
      </c>
      <c r="E7" s="17" t="s">
        <v>13</v>
      </c>
      <c r="F7" s="17" t="s">
        <v>14</v>
      </c>
    </row>
    <row r="8" spans="1:8" x14ac:dyDescent="0.25">
      <c r="A8" s="18">
        <v>1</v>
      </c>
      <c r="B8" s="33">
        <f>'График дифференц'!B8</f>
        <v>45757</v>
      </c>
      <c r="C8" s="34">
        <f>'Общие данные'!B75</f>
        <v>40000000</v>
      </c>
      <c r="D8" s="34">
        <f>IF(A8&lt;'Общие данные'!$B$81,'График аннуитет.'!F8-'График аннуитет.'!E8,'График аннуитет.'!C8)</f>
        <v>1333333.33</v>
      </c>
      <c r="E8" s="34">
        <f>ROUND(C8*'Общие данные'!$B$84/H8,2)*'График аннуитет.'!G8</f>
        <v>2301369.6999999997</v>
      </c>
      <c r="F8" s="34">
        <f>'Общие данные'!B90</f>
        <v>3634703.03</v>
      </c>
      <c r="G8" s="15">
        <f>B8-'Общие данные'!B67</f>
        <v>35</v>
      </c>
      <c r="H8" s="15">
        <f>DATE(YEAR(B8),12,31)-DATE(YEAR(B8),1,1)+1</f>
        <v>365</v>
      </c>
    </row>
    <row r="9" spans="1:8" x14ac:dyDescent="0.25">
      <c r="A9" s="18">
        <v>2</v>
      </c>
      <c r="B9" s="33">
        <f>'График дифференц'!B9</f>
        <v>45789</v>
      </c>
      <c r="C9" s="34">
        <f t="shared" ref="C9:C30" si="0">C8-D8</f>
        <v>38666666.670000002</v>
      </c>
      <c r="D9" s="34">
        <f>IF(A9&lt;'Общие данные'!$B$81,'График аннуитет.'!F9-'График аннуитет.'!E9,'График аннуитет.'!C9)</f>
        <v>1600730.5499999998</v>
      </c>
      <c r="E9" s="34">
        <f>ROUND(C9*'Общие данные'!$B$84/H9,2)*'График аннуитет.'!G9</f>
        <v>2033972.48</v>
      </c>
      <c r="F9" s="34">
        <f>IF(A9&lt;'Общие данные'!$B$81,'График аннуитет.'!F8,'График аннуитет.'!D9+'График аннуитет.'!E9)</f>
        <v>3634703.03</v>
      </c>
      <c r="G9" s="15">
        <f>B9-B8</f>
        <v>32</v>
      </c>
      <c r="H9" s="15">
        <f t="shared" ref="H9:H31" si="1">DATE(YEAR(B9),12,31)-DATE(YEAR(B9),1,1)+1</f>
        <v>365</v>
      </c>
    </row>
    <row r="10" spans="1:8" x14ac:dyDescent="0.25">
      <c r="A10" s="18">
        <v>3</v>
      </c>
      <c r="B10" s="33">
        <f>'График дифференц'!B10</f>
        <v>45818</v>
      </c>
      <c r="C10" s="34">
        <f t="shared" si="0"/>
        <v>37065936.120000005</v>
      </c>
      <c r="D10" s="34">
        <f>IF(A10&lt;'Общие данные'!$B$81,'График аннуитет.'!F10-'График аннуитет.'!E10,'График аннуитет.'!C10)</f>
        <v>1867724.0399999998</v>
      </c>
      <c r="E10" s="34">
        <f>ROUND(C10*'Общие данные'!$B$84/H10,2)*'График аннуитет.'!G10</f>
        <v>1766978.99</v>
      </c>
      <c r="F10" s="34">
        <f>IF(A10&lt;'Общие данные'!$B$81,'График аннуитет.'!F9,'График аннуитет.'!D10+'График аннуитет.'!E10)</f>
        <v>3634703.03</v>
      </c>
      <c r="G10" s="15">
        <f t="shared" ref="G10:G24" si="2">B10-B9</f>
        <v>29</v>
      </c>
      <c r="H10" s="15">
        <f t="shared" si="1"/>
        <v>365</v>
      </c>
    </row>
    <row r="11" spans="1:8" x14ac:dyDescent="0.25">
      <c r="A11" s="18">
        <v>4</v>
      </c>
      <c r="B11" s="33">
        <f>'График дифференц'!B11</f>
        <v>45848</v>
      </c>
      <c r="C11" s="34">
        <f t="shared" si="0"/>
        <v>35198212.080000006</v>
      </c>
      <c r="D11" s="34">
        <f>IF(A11&lt;'Общие данные'!$B$81,'График аннуитет.'!F11-'График аннуитет.'!E11,'График аннуитет.'!C11)</f>
        <v>1898900.9299999997</v>
      </c>
      <c r="E11" s="34">
        <f>ROUND(C11*'Общие данные'!$B$84/H11,2)*'График аннуитет.'!G11</f>
        <v>1735802.1</v>
      </c>
      <c r="F11" s="34">
        <f>IF(A11&lt;'Общие данные'!$B$81,'График аннуитет.'!F10,'График аннуитет.'!D11+'График аннуитет.'!E11)</f>
        <v>3634703.03</v>
      </c>
      <c r="G11" s="15">
        <f t="shared" si="2"/>
        <v>30</v>
      </c>
      <c r="H11" s="15">
        <f t="shared" si="1"/>
        <v>365</v>
      </c>
    </row>
    <row r="12" spans="1:8" x14ac:dyDescent="0.25">
      <c r="A12" s="18">
        <v>5</v>
      </c>
      <c r="B12" s="33">
        <f>'График дифференц'!B12</f>
        <v>45880</v>
      </c>
      <c r="C12" s="34">
        <f t="shared" si="0"/>
        <v>33299311.150000006</v>
      </c>
      <c r="D12" s="34">
        <f>IF(A12&lt;'Общие данные'!$B$81,'График аннуитет.'!F12-'График аннуитет.'!E12,'График аннуитет.'!C12)</f>
        <v>1883068.15</v>
      </c>
      <c r="E12" s="34">
        <f>ROUND(C12*'Общие данные'!$B$84/H12,2)*'График аннуитет.'!G12</f>
        <v>1751634.88</v>
      </c>
      <c r="F12" s="34">
        <f>IF(A12&lt;'Общие данные'!$B$81,'График аннуитет.'!F11,'График аннуитет.'!D12+'График аннуитет.'!E12)</f>
        <v>3634703.03</v>
      </c>
      <c r="G12" s="15">
        <f t="shared" si="2"/>
        <v>32</v>
      </c>
      <c r="H12" s="15">
        <f t="shared" si="1"/>
        <v>365</v>
      </c>
    </row>
    <row r="13" spans="1:8" x14ac:dyDescent="0.25">
      <c r="A13" s="18">
        <v>6</v>
      </c>
      <c r="B13" s="33">
        <f>'График дифференц'!B13</f>
        <v>45910</v>
      </c>
      <c r="C13" s="34">
        <f t="shared" si="0"/>
        <v>31416243.000000007</v>
      </c>
      <c r="D13" s="34">
        <f>IF(A13&lt;'Общие данные'!$B$81,'График аннуитет.'!F13-'График аннуитет.'!E13,'График аннуитет.'!C13)</f>
        <v>2085408.8299999998</v>
      </c>
      <c r="E13" s="34">
        <f>ROUND(C13*'Общие данные'!$B$84/H13,2)*'График аннуитет.'!G13</f>
        <v>1549294.2</v>
      </c>
      <c r="F13" s="34">
        <f>IF(A13&lt;'Общие данные'!$B$81,'График аннуитет.'!F12,'График аннуитет.'!D13+'График аннуитет.'!E13)</f>
        <v>3634703.03</v>
      </c>
      <c r="G13" s="15">
        <f t="shared" si="2"/>
        <v>30</v>
      </c>
      <c r="H13" s="15">
        <f t="shared" si="1"/>
        <v>365</v>
      </c>
    </row>
    <row r="14" spans="1:8" x14ac:dyDescent="0.25">
      <c r="A14" s="18">
        <v>7</v>
      </c>
      <c r="B14" s="33">
        <f>'График дифференц'!B14</f>
        <v>45940</v>
      </c>
      <c r="C14" s="34">
        <f t="shared" si="0"/>
        <v>29330834.170000009</v>
      </c>
      <c r="D14" s="34">
        <f>IF(A14&lt;'Общие данные'!$B$81,'График аннуитет.'!F14-'График аннуитет.'!E14,'График аннуитет.'!C14)</f>
        <v>2188250.9299999997</v>
      </c>
      <c r="E14" s="34">
        <f>ROUND(C14*'Общие данные'!$B$84/H14,2)*'График аннуитет.'!G14</f>
        <v>1446452.1</v>
      </c>
      <c r="F14" s="34">
        <f>IF(A14&lt;'Общие данные'!$B$81,'График аннуитет.'!F13,'График аннуитет.'!D14+'График аннуитет.'!E14)</f>
        <v>3634703.03</v>
      </c>
      <c r="G14" s="15">
        <f t="shared" si="2"/>
        <v>30</v>
      </c>
      <c r="H14" s="15">
        <f t="shared" si="1"/>
        <v>365</v>
      </c>
    </row>
    <row r="15" spans="1:8" x14ac:dyDescent="0.25">
      <c r="A15" s="18">
        <v>8</v>
      </c>
      <c r="B15" s="33">
        <f>'График дифференц'!B15</f>
        <v>45971</v>
      </c>
      <c r="C15" s="34">
        <f t="shared" si="0"/>
        <v>27142583.24000001</v>
      </c>
      <c r="D15" s="34">
        <f>IF(A15&lt;'Общие данные'!$B$81,'График аннуитет.'!F15-'График аннуитет.'!E15,'График аннуитет.'!C15)</f>
        <v>2251546.58</v>
      </c>
      <c r="E15" s="34">
        <f>ROUND(C15*'Общие данные'!$B$84/H15,2)*'График аннуитет.'!G15</f>
        <v>1383156.45</v>
      </c>
      <c r="F15" s="34">
        <f>IF(A15&lt;'Общие данные'!$B$81,'График аннуитет.'!F14,'График аннуитет.'!D15+'График аннуитет.'!E15)</f>
        <v>3634703.03</v>
      </c>
      <c r="G15" s="15">
        <f t="shared" si="2"/>
        <v>31</v>
      </c>
      <c r="H15" s="15">
        <f t="shared" si="1"/>
        <v>365</v>
      </c>
    </row>
    <row r="16" spans="1:8" x14ac:dyDescent="0.25">
      <c r="A16" s="18">
        <v>9</v>
      </c>
      <c r="B16" s="33">
        <f>'График дифференц'!B16</f>
        <v>46001</v>
      </c>
      <c r="C16" s="34">
        <f t="shared" si="0"/>
        <v>24891036.660000011</v>
      </c>
      <c r="D16" s="34">
        <f>IF(A16&lt;'Общие данные'!$B$81,'График аннуитет.'!F16-'График аннуитет.'!E16,'График аннуитет.'!C16)</f>
        <v>2407199.9299999997</v>
      </c>
      <c r="E16" s="34">
        <f>ROUND(C16*'Общие данные'!$B$84/H16,2)*'График аннуитет.'!G16</f>
        <v>1227503.0999999999</v>
      </c>
      <c r="F16" s="34">
        <f>IF(A16&lt;'Общие данные'!$B$81,'График аннуитет.'!F15,'График аннуитет.'!D16+'График аннуитет.'!E16)</f>
        <v>3634703.03</v>
      </c>
      <c r="G16" s="15">
        <f t="shared" si="2"/>
        <v>30</v>
      </c>
      <c r="H16" s="15">
        <f t="shared" si="1"/>
        <v>365</v>
      </c>
    </row>
    <row r="17" spans="1:8" x14ac:dyDescent="0.25">
      <c r="A17" s="18">
        <v>10</v>
      </c>
      <c r="B17" s="33">
        <f>'График дифференц'!B17</f>
        <v>46034</v>
      </c>
      <c r="C17" s="34">
        <f t="shared" si="0"/>
        <v>22483836.730000012</v>
      </c>
      <c r="D17" s="34">
        <f>IF(A17&lt;'Общие данные'!$B$81,'График аннуитет.'!F17-'График аннуитет.'!E17,'График аннуитет.'!C17)</f>
        <v>2415031.9399999995</v>
      </c>
      <c r="E17" s="34">
        <f>ROUND(C17*'Общие данные'!$B$84/H17,2)*'График аннуитет.'!G17</f>
        <v>1219671.0900000001</v>
      </c>
      <c r="F17" s="34">
        <f>IF(A17&lt;'Общие данные'!$B$81,'График аннуитет.'!F16,'График аннуитет.'!D17+'График аннуитет.'!E17)</f>
        <v>3634703.03</v>
      </c>
      <c r="G17" s="15">
        <f t="shared" si="2"/>
        <v>33</v>
      </c>
      <c r="H17" s="15">
        <f t="shared" si="1"/>
        <v>365</v>
      </c>
    </row>
    <row r="18" spans="1:8" x14ac:dyDescent="0.25">
      <c r="A18" s="18">
        <v>11</v>
      </c>
      <c r="B18" s="33">
        <f>'График дифференц'!B18</f>
        <v>46063</v>
      </c>
      <c r="C18" s="34">
        <f t="shared" si="0"/>
        <v>20068804.790000014</v>
      </c>
      <c r="D18" s="34">
        <f>IF(A18&lt;'Общие данные'!$B$81,'График аннуитет.'!F18-'График аннуитет.'!E18,'График аннуитет.'!C18)</f>
        <v>2677998.25</v>
      </c>
      <c r="E18" s="34">
        <f>ROUND(C18*'Общие данные'!$B$84/H18,2)*'График аннуитет.'!G18</f>
        <v>956704.78</v>
      </c>
      <c r="F18" s="34">
        <f>IF(A18&lt;'Общие данные'!$B$81,'График аннуитет.'!F17,'График аннуитет.'!D18+'График аннуитет.'!E18)</f>
        <v>3634703.03</v>
      </c>
      <c r="G18" s="15">
        <f t="shared" si="2"/>
        <v>29</v>
      </c>
      <c r="H18" s="15">
        <f t="shared" si="1"/>
        <v>365</v>
      </c>
    </row>
    <row r="19" spans="1:8" x14ac:dyDescent="0.25">
      <c r="A19" s="18">
        <v>12</v>
      </c>
      <c r="B19" s="33">
        <f>'График дифференц'!B19</f>
        <v>46091</v>
      </c>
      <c r="C19" s="34">
        <f t="shared" si="0"/>
        <v>17390806.540000014</v>
      </c>
      <c r="D19" s="34">
        <f>IF(A19&lt;'Общие данные'!$B$81,'График аннуитет.'!F19-'График аннуитет.'!E19,'График аннуитет.'!C19)</f>
        <v>2834249.3899999997</v>
      </c>
      <c r="E19" s="34">
        <f>ROUND(C19*'Общие данные'!$B$84/H19,2)*'График аннуитет.'!G19</f>
        <v>800453.64</v>
      </c>
      <c r="F19" s="34">
        <f>IF(A19&lt;'Общие данные'!$B$81,'График аннуитет.'!F18,'График аннуитет.'!D19+'График аннуитет.'!E19)</f>
        <v>3634703.03</v>
      </c>
      <c r="G19" s="15">
        <f>B19-B18</f>
        <v>28</v>
      </c>
      <c r="H19" s="15">
        <f t="shared" si="1"/>
        <v>365</v>
      </c>
    </row>
    <row r="20" spans="1:8" x14ac:dyDescent="0.25">
      <c r="A20" s="18">
        <v>13</v>
      </c>
      <c r="B20" s="33">
        <f>'График дифференц'!B20</f>
        <v>46122</v>
      </c>
      <c r="C20" s="34">
        <f t="shared" si="0"/>
        <v>14556557.150000013</v>
      </c>
      <c r="D20" s="34">
        <f>IF(A20&lt;'Общие данные'!$B$81,'График аннуитет.'!F20-'График аннуитет.'!E20,'График аннуитет.'!C20)</f>
        <v>2892916.7399999998</v>
      </c>
      <c r="E20" s="34">
        <f>ROUND(C20*'Общие данные'!$B$84/H20,2)*'График аннуитет.'!G20</f>
        <v>741786.29</v>
      </c>
      <c r="F20" s="34">
        <f>IF(A20&lt;'Общие данные'!$B$81,'График аннуитет.'!F19,'График аннуитет.'!D20+'График аннуитет.'!E20)</f>
        <v>3634703.03</v>
      </c>
      <c r="G20" s="15">
        <f t="shared" si="2"/>
        <v>31</v>
      </c>
      <c r="H20" s="15">
        <f t="shared" si="1"/>
        <v>365</v>
      </c>
    </row>
    <row r="21" spans="1:8" x14ac:dyDescent="0.25">
      <c r="A21" s="18">
        <v>14</v>
      </c>
      <c r="B21" s="33">
        <f>'График дифференц'!B21</f>
        <v>46153</v>
      </c>
      <c r="C21" s="34">
        <f t="shared" si="0"/>
        <v>11663640.410000013</v>
      </c>
      <c r="D21" s="34">
        <f>IF(A21&lt;'Общие данные'!$B$81,'График аннуитет.'!F21-'График аннуитет.'!E21,'График аннуитет.'!C21)</f>
        <v>3040336.6199999996</v>
      </c>
      <c r="E21" s="34">
        <f>ROUND(C21*'Общие данные'!$B$84/H21,2)*'График аннуитет.'!G21</f>
        <v>594366.41</v>
      </c>
      <c r="F21" s="34">
        <f>IF(A21&lt;'Общие данные'!$B$81,'График аннуитет.'!F20,'График аннуитет.'!D21+'График аннуитет.'!E21)</f>
        <v>3634703.03</v>
      </c>
      <c r="G21" s="15">
        <f t="shared" si="2"/>
        <v>31</v>
      </c>
      <c r="H21" s="15">
        <f t="shared" si="1"/>
        <v>365</v>
      </c>
    </row>
    <row r="22" spans="1:8" x14ac:dyDescent="0.25">
      <c r="A22" s="18">
        <v>15</v>
      </c>
      <c r="B22" s="33">
        <f>'График дифференц'!B22</f>
        <v>46183</v>
      </c>
      <c r="C22" s="34">
        <f t="shared" si="0"/>
        <v>8623303.790000014</v>
      </c>
      <c r="D22" s="34">
        <f>IF(A22&lt;'Общие данные'!$B$81,'График аннуитет.'!F22-'График аннуитет.'!E22,'График аннуитет.'!C22)</f>
        <v>3209444.3299999996</v>
      </c>
      <c r="E22" s="34">
        <f>ROUND(C22*'Общие данные'!$B$84/H22,2)*'График аннуитет.'!G22</f>
        <v>425258.7</v>
      </c>
      <c r="F22" s="34">
        <f>IF(A22&lt;'Общие данные'!$B$81,'График аннуитет.'!F21,'График аннуитет.'!D22+'График аннуитет.'!E22)</f>
        <v>3634703.03</v>
      </c>
      <c r="G22" s="15">
        <f t="shared" si="2"/>
        <v>30</v>
      </c>
      <c r="H22" s="15">
        <f t="shared" si="1"/>
        <v>365</v>
      </c>
    </row>
    <row r="23" spans="1:8" x14ac:dyDescent="0.25">
      <c r="A23" s="18">
        <v>16</v>
      </c>
      <c r="B23" s="33">
        <f>'График дифференц'!B23</f>
        <v>46213</v>
      </c>
      <c r="C23" s="34">
        <f t="shared" si="0"/>
        <v>5413859.4600000139</v>
      </c>
      <c r="D23" s="34">
        <f>IF(A23&lt;'Общие данные'!$B$81,'График аннуитет.'!F23-'График аннуитет.'!E23,'График аннуитет.'!C23)</f>
        <v>3367718.03</v>
      </c>
      <c r="E23" s="34">
        <f>ROUND(C23*'Общие данные'!$B$84/H23,2)*'График аннуитет.'!G23</f>
        <v>266985</v>
      </c>
      <c r="F23" s="34">
        <f>IF(A23&lt;'Общие данные'!$B$81,'График аннуитет.'!F22,'График аннуитет.'!D23+'График аннуитет.'!E23)</f>
        <v>3634703.03</v>
      </c>
      <c r="G23" s="15">
        <f t="shared" si="2"/>
        <v>30</v>
      </c>
      <c r="H23" s="15">
        <f t="shared" si="1"/>
        <v>365</v>
      </c>
    </row>
    <row r="24" spans="1:8" x14ac:dyDescent="0.25">
      <c r="A24" s="18">
        <v>17</v>
      </c>
      <c r="B24" s="33">
        <f>'График дифференц'!B24</f>
        <v>46244</v>
      </c>
      <c r="C24" s="34">
        <f t="shared" si="0"/>
        <v>2046141.4300000141</v>
      </c>
      <c r="D24" s="34">
        <f>IF(A24&lt;'Общие данные'!$B$81,'График аннуитет.'!F24-'График аннуитет.'!E24,'График аннуитет.'!C24)</f>
        <v>3530433.9099999997</v>
      </c>
      <c r="E24" s="34">
        <f>ROUND(C24*'Общие данные'!$B$84/H24,2)*'График аннуитет.'!G24</f>
        <v>104269.12</v>
      </c>
      <c r="F24" s="34">
        <f>IF(A24&lt;'Общие данные'!$B$81,'График аннуитет.'!F23,'График аннуитет.'!D24+'График аннуитет.'!E24)</f>
        <v>3634703.03</v>
      </c>
      <c r="G24" s="15">
        <f t="shared" si="2"/>
        <v>31</v>
      </c>
      <c r="H24" s="15">
        <f t="shared" si="1"/>
        <v>365</v>
      </c>
    </row>
    <row r="25" spans="1:8" x14ac:dyDescent="0.25">
      <c r="A25" s="18">
        <v>18</v>
      </c>
      <c r="B25" s="33">
        <f>'График дифференц'!B25</f>
        <v>46275</v>
      </c>
      <c r="C25" s="34">
        <f t="shared" si="0"/>
        <v>-1484292.4799999855</v>
      </c>
      <c r="D25" s="34">
        <f>IF(A25&lt;'Общие данные'!$B$81,'График аннуитет.'!F25-'График аннуитет.'!E25,'График аннуитет.'!C25)</f>
        <v>3710340.86</v>
      </c>
      <c r="E25" s="34">
        <f>ROUND(C25*'Общие данные'!$B$84/H25,2)*'График аннуитет.'!G25</f>
        <v>-75637.83</v>
      </c>
      <c r="F25" s="34">
        <f>IF(A25&lt;'Общие данные'!$B$81,'График аннуитет.'!F24,'График аннуитет.'!D25+'График аннуитет.'!E25)</f>
        <v>3634703.03</v>
      </c>
      <c r="G25" s="15">
        <f>B25-B24</f>
        <v>31</v>
      </c>
      <c r="H25" s="15">
        <f t="shared" si="1"/>
        <v>365</v>
      </c>
    </row>
    <row r="26" spans="1:8" x14ac:dyDescent="0.25">
      <c r="A26" s="18">
        <v>19</v>
      </c>
      <c r="B26" s="33">
        <f>'График дифференц'!B26</f>
        <v>46307</v>
      </c>
      <c r="C26" s="34">
        <f t="shared" si="0"/>
        <v>-5194633.3399999849</v>
      </c>
      <c r="D26" s="34">
        <f>IF(A26&lt;'Общие данные'!$B$81,'График аннуитет.'!F26-'График аннуитет.'!E26,'График аннуитет.'!C26)</f>
        <v>3907954.8699999996</v>
      </c>
      <c r="E26" s="34">
        <f>ROUND(C26*'Общие данные'!$B$84/H26,2)*'График аннуитет.'!G26</f>
        <v>-273251.84000000003</v>
      </c>
      <c r="F26" s="34">
        <f>IF(A26&lt;'Общие данные'!$B$81,'График аннуитет.'!F25,'График аннуитет.'!D26+'График аннуитет.'!E26)</f>
        <v>3634703.03</v>
      </c>
      <c r="G26" s="15">
        <f t="shared" ref="G26:G30" si="3">B26-B25</f>
        <v>32</v>
      </c>
      <c r="H26" s="15">
        <f t="shared" si="1"/>
        <v>365</v>
      </c>
    </row>
    <row r="27" spans="1:8" x14ac:dyDescent="0.25">
      <c r="A27" s="18">
        <v>20</v>
      </c>
      <c r="B27" s="33">
        <f>'График дифференц'!B27</f>
        <v>46336</v>
      </c>
      <c r="C27" s="34">
        <f t="shared" si="0"/>
        <v>-9102588.2099999841</v>
      </c>
      <c r="D27" s="34">
        <f>IF(A27&lt;'Общие данные'!$B$81,'График аннуитет.'!F27-'График аннуитет.'!E27,'График аннуитет.'!C27)</f>
        <v>4068634.67</v>
      </c>
      <c r="E27" s="34">
        <f>ROUND(C27*'Общие данные'!$B$84/H27,2)*'График аннуитет.'!G27</f>
        <v>-433931.64</v>
      </c>
      <c r="F27" s="34">
        <f>IF(A27&lt;'Общие данные'!$B$81,'График аннуитет.'!F26,'График аннуитет.'!D27+'График аннуитет.'!E27)</f>
        <v>3634703.03</v>
      </c>
      <c r="G27" s="15">
        <f t="shared" si="3"/>
        <v>29</v>
      </c>
      <c r="H27" s="15">
        <f t="shared" si="1"/>
        <v>365</v>
      </c>
    </row>
    <row r="28" spans="1:8" x14ac:dyDescent="0.25">
      <c r="A28" s="18">
        <v>21</v>
      </c>
      <c r="B28" s="33">
        <f>'График дифференц'!B28</f>
        <v>46366</v>
      </c>
      <c r="C28" s="34">
        <f t="shared" si="0"/>
        <v>-13171222.879999984</v>
      </c>
      <c r="D28" s="34">
        <f>IF(A28&lt;'Общие данные'!$B$81,'График аннуитет.'!F28-'График аннуитет.'!E28,'График аннуитет.'!C28)</f>
        <v>4284242.93</v>
      </c>
      <c r="E28" s="34">
        <f>ROUND(C28*'Общие данные'!$B$84/H28,2)*'График аннуитет.'!G28</f>
        <v>-649539.9</v>
      </c>
      <c r="F28" s="34">
        <f>IF(A28&lt;'Общие данные'!$B$81,'График аннуитет.'!F27,'График аннуитет.'!D28+'График аннуитет.'!E28)</f>
        <v>3634703.03</v>
      </c>
      <c r="G28" s="15">
        <f t="shared" si="3"/>
        <v>30</v>
      </c>
      <c r="H28" s="15">
        <f t="shared" si="1"/>
        <v>365</v>
      </c>
    </row>
    <row r="29" spans="1:8" x14ac:dyDescent="0.25">
      <c r="A29" s="18">
        <v>22</v>
      </c>
      <c r="B29" s="33">
        <f>'График дифференц'!B29</f>
        <v>46398</v>
      </c>
      <c r="C29" s="34">
        <f t="shared" si="0"/>
        <v>-17455465.809999984</v>
      </c>
      <c r="D29" s="34">
        <f>IF(A29&lt;'Общие данные'!$B$81,'График аннуитет.'!F29-'График аннуитет.'!E29,'График аннуитет.'!C29)</f>
        <v>4552908.47</v>
      </c>
      <c r="E29" s="34">
        <f>ROUND(C29*'Общие данные'!$B$84/H29,2)*'График аннуитет.'!G29</f>
        <v>-918205.43999999994</v>
      </c>
      <c r="F29" s="34">
        <f>IF(A29&lt;'Общие данные'!$B$81,'График аннуитет.'!F28,'График аннуитет.'!D29+'График аннуитет.'!E29)</f>
        <v>3634703.03</v>
      </c>
      <c r="G29" s="15">
        <f t="shared" si="3"/>
        <v>32</v>
      </c>
      <c r="H29" s="15">
        <f t="shared" si="1"/>
        <v>365</v>
      </c>
    </row>
    <row r="30" spans="1:8" x14ac:dyDescent="0.25">
      <c r="A30" s="18">
        <v>23</v>
      </c>
      <c r="B30" s="33">
        <f>'График дифференц'!B30</f>
        <v>46428</v>
      </c>
      <c r="C30" s="34">
        <f t="shared" si="0"/>
        <v>-22008374.279999983</v>
      </c>
      <c r="D30" s="34">
        <f>IF(A30&lt;'Общие данные'!$B$81,'График аннуитет.'!F30-'График аннуитет.'!E30,'График аннуитет.'!C30)</f>
        <v>4720047.5299999993</v>
      </c>
      <c r="E30" s="34">
        <f>ROUND(C30*'Общие данные'!$B$84/H30,2)*'График аннуитет.'!G30</f>
        <v>-1085344.5</v>
      </c>
      <c r="F30" s="34">
        <f>IF(A30&lt;'Общие данные'!$B$81,'График аннуитет.'!F29,'График аннуитет.'!D30+'График аннуитет.'!E30)</f>
        <v>3634703.03</v>
      </c>
      <c r="G30" s="15">
        <f t="shared" si="3"/>
        <v>30</v>
      </c>
      <c r="H30" s="15">
        <f t="shared" si="1"/>
        <v>365</v>
      </c>
    </row>
    <row r="31" spans="1:8" x14ac:dyDescent="0.25">
      <c r="A31" s="18">
        <v>24</v>
      </c>
      <c r="B31" s="33">
        <f>'График дифференц'!B31</f>
        <v>46456</v>
      </c>
      <c r="C31" s="34">
        <f t="shared" ref="C31" si="4">C30-D30</f>
        <v>-26728421.80999998</v>
      </c>
      <c r="D31" s="34">
        <f>IF(A31&lt;'Общие данные'!$B$81,'График аннуитет.'!F31-'График аннуитет.'!E31,'График аннуитет.'!C31)</f>
        <v>4864942.67</v>
      </c>
      <c r="E31" s="34">
        <f>ROUND(C31*'Общие данные'!$B$84/H31,2)*'График аннуитет.'!G31</f>
        <v>-1230239.6399999999</v>
      </c>
      <c r="F31" s="34">
        <f>IF(A31&lt;'Общие данные'!$B$81,'График аннуитет.'!F30,'График аннуитет.'!D31+'График аннуитет.'!E31)</f>
        <v>3634703.03</v>
      </c>
      <c r="G31" s="15">
        <f>B31-B30</f>
        <v>28</v>
      </c>
      <c r="H31" s="15">
        <f t="shared" si="1"/>
        <v>365</v>
      </c>
    </row>
    <row r="32" spans="1:8" x14ac:dyDescent="0.25">
      <c r="A32" s="18">
        <f>1+A31</f>
        <v>25</v>
      </c>
      <c r="B32" s="33">
        <f>'График дифференц'!B32</f>
        <v>46489</v>
      </c>
      <c r="C32" s="34">
        <f t="shared" ref="C32:C43" si="5">C31-D31</f>
        <v>-31593364.479999982</v>
      </c>
      <c r="D32" s="34">
        <f>IF(A32&lt;'Общие данные'!$B$81,'График аннуитет.'!F32-'График аннуитет.'!E32,'График аннуитет.'!C32)</f>
        <v>5348534.93</v>
      </c>
      <c r="E32" s="34">
        <f>ROUND(C32*'Общие данные'!$B$84/H32,2)*'График аннуитет.'!G32</f>
        <v>-1713831.9000000001</v>
      </c>
      <c r="F32" s="34">
        <f>IF(A32&lt;'Общие данные'!$B$81,'График аннуитет.'!F31,'График аннуитет.'!D32+'График аннуитет.'!E32)</f>
        <v>3634703.03</v>
      </c>
      <c r="G32" s="15">
        <f t="shared" ref="G32:G43" si="6">B32-B31</f>
        <v>33</v>
      </c>
      <c r="H32" s="15">
        <f t="shared" ref="H32:H43" si="7">DATE(YEAR(B32),12,31)-DATE(YEAR(B32),1,1)+1</f>
        <v>365</v>
      </c>
    </row>
    <row r="33" spans="1:8" x14ac:dyDescent="0.25">
      <c r="A33" s="18">
        <f t="shared" ref="A33:A43" si="8">1+A32</f>
        <v>26</v>
      </c>
      <c r="B33" s="33">
        <f>'График дифференц'!B33</f>
        <v>46517</v>
      </c>
      <c r="C33" s="34">
        <f t="shared" si="5"/>
        <v>-36941899.409999982</v>
      </c>
      <c r="D33" s="34">
        <f>IF(A33&lt;'Общие данные'!$B$81,'График аннуитет.'!F33-'График аннуитет.'!E33,'График аннуитет.'!C33)</f>
        <v>5335042.51</v>
      </c>
      <c r="E33" s="34">
        <f>ROUND(C33*'Общие данные'!$B$84/H33,2)*'График аннуитет.'!G33</f>
        <v>-1700339.48</v>
      </c>
      <c r="F33" s="34">
        <f>IF(A33&lt;'Общие данные'!$B$81,'График аннуитет.'!F32,'График аннуитет.'!D33+'График аннуитет.'!E33)</f>
        <v>3634703.03</v>
      </c>
      <c r="G33" s="15">
        <f t="shared" si="6"/>
        <v>28</v>
      </c>
      <c r="H33" s="15">
        <f t="shared" si="7"/>
        <v>365</v>
      </c>
    </row>
    <row r="34" spans="1:8" x14ac:dyDescent="0.25">
      <c r="A34" s="18">
        <f t="shared" si="8"/>
        <v>27</v>
      </c>
      <c r="B34" s="33">
        <f>'График дифференц'!B34</f>
        <v>46548</v>
      </c>
      <c r="C34" s="34">
        <f t="shared" si="5"/>
        <v>-42276941.919999979</v>
      </c>
      <c r="D34" s="34">
        <f>IF(A34&lt;'Общие данные'!$B$81,'График аннуитет.'!F34-'График аннуитет.'!E34,'График аннуитет.'!C34)</f>
        <v>5789089.5700000003</v>
      </c>
      <c r="E34" s="34">
        <f>ROUND(C34*'Общие данные'!$B$84/H34,2)*'График аннуитет.'!G34</f>
        <v>-2154386.54</v>
      </c>
      <c r="F34" s="34">
        <f>IF(A34&lt;'Общие данные'!$B$81,'График аннуитет.'!F33,'График аннуитет.'!D34+'График аннуитет.'!E34)</f>
        <v>3634703.03</v>
      </c>
      <c r="G34" s="15">
        <f t="shared" si="6"/>
        <v>31</v>
      </c>
      <c r="H34" s="15">
        <f t="shared" si="7"/>
        <v>365</v>
      </c>
    </row>
    <row r="35" spans="1:8" x14ac:dyDescent="0.25">
      <c r="A35" s="18">
        <f t="shared" si="8"/>
        <v>28</v>
      </c>
      <c r="B35" s="33">
        <f>'График дифференц'!B35</f>
        <v>46580</v>
      </c>
      <c r="C35" s="34">
        <f t="shared" si="5"/>
        <v>-48066031.48999998</v>
      </c>
      <c r="D35" s="34">
        <f>IF(A35&lt;'Общие данные'!$B$81,'График аннуитет.'!F35-'График аннуитет.'!E35,'График аннуитет.'!C35)</f>
        <v>6163107.8300000001</v>
      </c>
      <c r="E35" s="34">
        <f>ROUND(C35*'Общие данные'!$B$84/H35,2)*'График аннуитет.'!G35</f>
        <v>-2528404.7999999998</v>
      </c>
      <c r="F35" s="34">
        <f>IF(A35&lt;'Общие данные'!$B$81,'График аннуитет.'!F34,'График аннуитет.'!D35+'График аннуитет.'!E35)</f>
        <v>3634703.03</v>
      </c>
      <c r="G35" s="15">
        <f t="shared" si="6"/>
        <v>32</v>
      </c>
      <c r="H35" s="15">
        <f t="shared" si="7"/>
        <v>365</v>
      </c>
    </row>
    <row r="36" spans="1:8" x14ac:dyDescent="0.25">
      <c r="A36" s="18">
        <f t="shared" si="8"/>
        <v>29</v>
      </c>
      <c r="B36" s="33">
        <f>'График дифференц'!B36</f>
        <v>46609</v>
      </c>
      <c r="C36" s="34">
        <f t="shared" si="5"/>
        <v>-54229139.319999978</v>
      </c>
      <c r="D36" s="34">
        <f>IF(A36&lt;'Общие данные'!$B$81,'График аннуитет.'!F36-'График аннуитет.'!E36,'График аннуитет.'!C36)</f>
        <v>6219872.9399999995</v>
      </c>
      <c r="E36" s="34">
        <f>ROUND(C36*'Общие данные'!$B$84/H36,2)*'График аннуитет.'!G36</f>
        <v>-2585169.9099999997</v>
      </c>
      <c r="F36" s="34">
        <f>IF(A36&lt;'Общие данные'!$B$81,'График аннуитет.'!F35,'График аннуитет.'!D36+'График аннуитет.'!E36)</f>
        <v>3634703.03</v>
      </c>
      <c r="G36" s="15">
        <f t="shared" si="6"/>
        <v>29</v>
      </c>
      <c r="H36" s="15">
        <f t="shared" si="7"/>
        <v>365</v>
      </c>
    </row>
    <row r="37" spans="1:8" x14ac:dyDescent="0.25">
      <c r="A37" s="18">
        <f t="shared" si="8"/>
        <v>30</v>
      </c>
      <c r="B37" s="33">
        <f>'График дифференц'!B37</f>
        <v>46636</v>
      </c>
      <c r="C37" s="34">
        <f t="shared" si="5"/>
        <v>-60449012.259999976</v>
      </c>
      <c r="D37" s="34">
        <f>IF(A37&lt;'Общие данные'!$B$81,'График аннуитет.'!F37-'График аннуитет.'!E37,'График аннуитет.'!C37)</f>
        <v>-60449012.259999976</v>
      </c>
      <c r="E37" s="34">
        <f>ROUND(C37*'Общие данные'!$B$84/H37,2)*'График аннуитет.'!G37</f>
        <v>-2682942.48</v>
      </c>
      <c r="F37" s="34">
        <f>IF(A37&lt;'Общие данные'!$B$81,'График аннуитет.'!F36,'График аннуитет.'!D37+'График аннуитет.'!E37)</f>
        <v>-63131954.739999972</v>
      </c>
      <c r="G37" s="15">
        <f t="shared" si="6"/>
        <v>27</v>
      </c>
      <c r="H37" s="15">
        <f t="shared" si="7"/>
        <v>365</v>
      </c>
    </row>
    <row r="38" spans="1:8" x14ac:dyDescent="0.25">
      <c r="A38" s="18">
        <f t="shared" si="8"/>
        <v>31</v>
      </c>
      <c r="B38" s="33" t="b">
        <f>'График дифференц'!B38</f>
        <v>0</v>
      </c>
      <c r="C38" s="34">
        <f t="shared" si="5"/>
        <v>0</v>
      </c>
      <c r="D38" s="34">
        <f>IF(A38&lt;'Общие данные'!$B$81,'График аннуитет.'!F38-'График аннуитет.'!E38,'График аннуитет.'!C38)</f>
        <v>0</v>
      </c>
      <c r="E38" s="34">
        <f>ROUND(C38*'Общие данные'!$B$84/H38,2)*'График аннуитет.'!G38</f>
        <v>0</v>
      </c>
      <c r="F38" s="34">
        <f>IF(A38&lt;'Общие данные'!$B$81,'График аннуитет.'!F37,'График аннуитет.'!D38+'График аннуитет.'!E38)</f>
        <v>0</v>
      </c>
      <c r="G38" s="15">
        <f t="shared" si="6"/>
        <v>-46636</v>
      </c>
      <c r="H38" s="15">
        <f t="shared" si="7"/>
        <v>366</v>
      </c>
    </row>
    <row r="39" spans="1:8" x14ac:dyDescent="0.25">
      <c r="A39" s="18">
        <f t="shared" si="8"/>
        <v>32</v>
      </c>
      <c r="B39" s="33" t="b">
        <f>'График дифференц'!B39</f>
        <v>0</v>
      </c>
      <c r="C39" s="34">
        <f t="shared" si="5"/>
        <v>0</v>
      </c>
      <c r="D39" s="34">
        <f>IF(A39&lt;'Общие данные'!$B$81,'График аннуитет.'!F39-'График аннуитет.'!E39,'График аннуитет.'!C39)</f>
        <v>0</v>
      </c>
      <c r="E39" s="34">
        <f>ROUND(C39*'Общие данные'!$B$84/H39,2)*'График аннуитет.'!G39</f>
        <v>0</v>
      </c>
      <c r="F39" s="34">
        <f>IF(A39&lt;'Общие данные'!$B$81,'График аннуитет.'!F38,'График аннуитет.'!D39+'График аннуитет.'!E39)</f>
        <v>0</v>
      </c>
      <c r="G39" s="15">
        <f t="shared" si="6"/>
        <v>0</v>
      </c>
      <c r="H39" s="15">
        <f t="shared" si="7"/>
        <v>366</v>
      </c>
    </row>
    <row r="40" spans="1:8" x14ac:dyDescent="0.25">
      <c r="A40" s="18">
        <f t="shared" si="8"/>
        <v>33</v>
      </c>
      <c r="B40" s="33" t="b">
        <f>'График дифференц'!B40</f>
        <v>0</v>
      </c>
      <c r="C40" s="34">
        <f t="shared" si="5"/>
        <v>0</v>
      </c>
      <c r="D40" s="34">
        <f>IF(A40&lt;'Общие данные'!$B$81,'График аннуитет.'!F40-'График аннуитет.'!E40,'График аннуитет.'!C40)</f>
        <v>0</v>
      </c>
      <c r="E40" s="34">
        <f>ROUND(C40*'Общие данные'!$B$84/H40,2)*'График аннуитет.'!G40</f>
        <v>0</v>
      </c>
      <c r="F40" s="34">
        <f>IF(A40&lt;'Общие данные'!$B$81,'График аннуитет.'!F39,'График аннуитет.'!D40+'График аннуитет.'!E40)</f>
        <v>0</v>
      </c>
      <c r="G40" s="15">
        <f t="shared" si="6"/>
        <v>0</v>
      </c>
      <c r="H40" s="15">
        <f t="shared" si="7"/>
        <v>366</v>
      </c>
    </row>
    <row r="41" spans="1:8" x14ac:dyDescent="0.25">
      <c r="A41" s="18">
        <f t="shared" si="8"/>
        <v>34</v>
      </c>
      <c r="B41" s="33" t="b">
        <f>'График дифференц'!B41</f>
        <v>0</v>
      </c>
      <c r="C41" s="34">
        <f t="shared" si="5"/>
        <v>0</v>
      </c>
      <c r="D41" s="34">
        <f>IF(A41&lt;'Общие данные'!$B$81,'График аннуитет.'!F41-'График аннуитет.'!E41,'График аннуитет.'!C41)</f>
        <v>0</v>
      </c>
      <c r="E41" s="34">
        <f>ROUND(C41*'Общие данные'!$B$84/H41,2)*'График аннуитет.'!G41</f>
        <v>0</v>
      </c>
      <c r="F41" s="34">
        <f>IF(A41&lt;'Общие данные'!$B$81,'График аннуитет.'!F40,'График аннуитет.'!D41+'График аннуитет.'!E41)</f>
        <v>0</v>
      </c>
      <c r="G41" s="15">
        <f t="shared" si="6"/>
        <v>0</v>
      </c>
      <c r="H41" s="15">
        <f t="shared" si="7"/>
        <v>366</v>
      </c>
    </row>
    <row r="42" spans="1:8" x14ac:dyDescent="0.25">
      <c r="A42" s="18">
        <f t="shared" si="8"/>
        <v>35</v>
      </c>
      <c r="B42" s="33" t="b">
        <f>'График дифференц'!B42</f>
        <v>0</v>
      </c>
      <c r="C42" s="34">
        <f t="shared" si="5"/>
        <v>0</v>
      </c>
      <c r="D42" s="34">
        <f>IF(A42&lt;'Общие данные'!$B$81,'График аннуитет.'!F42-'График аннуитет.'!E42,'График аннуитет.'!C42)</f>
        <v>0</v>
      </c>
      <c r="E42" s="34">
        <f>ROUND(C42*'Общие данные'!$B$84/H42,2)*'График аннуитет.'!G42</f>
        <v>0</v>
      </c>
      <c r="F42" s="34">
        <f>IF(A42&lt;'Общие данные'!$B$81,'График аннуитет.'!F41,'График аннуитет.'!D42+'График аннуитет.'!E42)</f>
        <v>0</v>
      </c>
      <c r="G42" s="15">
        <f t="shared" si="6"/>
        <v>0</v>
      </c>
      <c r="H42" s="15">
        <f t="shared" si="7"/>
        <v>366</v>
      </c>
    </row>
    <row r="43" spans="1:8" x14ac:dyDescent="0.25">
      <c r="A43" s="18">
        <f t="shared" si="8"/>
        <v>36</v>
      </c>
      <c r="B43" s="33" t="b">
        <f>'График дифференц'!B43</f>
        <v>0</v>
      </c>
      <c r="C43" s="34">
        <f t="shared" si="5"/>
        <v>0</v>
      </c>
      <c r="D43" s="34">
        <f>IF(A43&lt;'Общие данные'!$B$81,'График аннуитет.'!F43-'График аннуитет.'!E43,'График аннуитет.'!C43)</f>
        <v>0</v>
      </c>
      <c r="E43" s="34">
        <f>ROUND(C43*'Общие данные'!$B$84/H43,2)*'График аннуитет.'!G43</f>
        <v>0</v>
      </c>
      <c r="F43" s="34">
        <f>IF(A43&lt;'Общие данные'!$B$81,'График аннуитет.'!F42,'График аннуитет.'!D43+'График аннуитет.'!E43)</f>
        <v>0</v>
      </c>
      <c r="G43" s="15">
        <f t="shared" si="6"/>
        <v>0</v>
      </c>
      <c r="H43" s="15">
        <f t="shared" si="7"/>
        <v>366</v>
      </c>
    </row>
    <row r="44" spans="1:8" x14ac:dyDescent="0.25">
      <c r="A44" s="46"/>
      <c r="B44" s="47" t="s">
        <v>7</v>
      </c>
      <c r="C44" s="48"/>
      <c r="D44" s="48">
        <f>SUM(D8:D43)</f>
        <v>40000000.00000003</v>
      </c>
      <c r="E44" s="48">
        <f t="shared" ref="E44:F44" si="9">SUM(E8:E43)</f>
        <v>2274433.1299999976</v>
      </c>
      <c r="F44" s="48">
        <f t="shared" si="9"/>
        <v>42274433.130000047</v>
      </c>
    </row>
    <row r="45" spans="1:8" ht="9" customHeight="1" x14ac:dyDescent="0.25">
      <c r="B45" s="35"/>
      <c r="C45" s="36"/>
      <c r="D45" s="36"/>
      <c r="E45" s="36"/>
      <c r="F45" s="36"/>
    </row>
    <row r="46" spans="1:8" ht="47.25" customHeight="1" x14ac:dyDescent="0.25">
      <c r="A46" s="227" t="s">
        <v>18</v>
      </c>
      <c r="B46" s="227"/>
      <c r="C46" s="227"/>
      <c r="D46" s="227"/>
      <c r="E46" s="227"/>
      <c r="F46" s="227"/>
    </row>
    <row r="47" spans="1:8" ht="7.5" customHeight="1" x14ac:dyDescent="0.25"/>
    <row r="48" spans="1:8" x14ac:dyDescent="0.25">
      <c r="A48" s="255" t="e">
        <f>#REF!</f>
        <v>#REF!</v>
      </c>
      <c r="B48" s="255"/>
      <c r="C48" s="255"/>
      <c r="D48" s="255" t="e">
        <f>#REF!</f>
        <v>#REF!</v>
      </c>
      <c r="E48" s="255"/>
      <c r="F48" s="255"/>
    </row>
    <row r="49" spans="1:6" ht="11.25" customHeight="1" x14ac:dyDescent="0.25">
      <c r="A49" s="256"/>
      <c r="B49" s="256"/>
      <c r="C49" s="256"/>
      <c r="D49" s="256"/>
      <c r="E49" s="256"/>
      <c r="F49" s="256"/>
    </row>
    <row r="50" spans="1:6" ht="30" customHeight="1" x14ac:dyDescent="0.25">
      <c r="A50" s="254" t="e">
        <f>#REF!</f>
        <v>#REF!</v>
      </c>
      <c r="B50" s="254"/>
      <c r="C50" s="254"/>
      <c r="D50" s="254" t="e">
        <f>#REF!</f>
        <v>#REF!</v>
      </c>
      <c r="E50" s="254"/>
      <c r="F50" s="254"/>
    </row>
    <row r="51" spans="1:6" ht="32.25" customHeight="1" x14ac:dyDescent="0.25">
      <c r="A51" s="250" t="e">
        <f>#REF!</f>
        <v>#REF!</v>
      </c>
      <c r="B51" s="250"/>
      <c r="C51" s="250"/>
      <c r="D51" s="250" t="e">
        <f>#REF!</f>
        <v>#REF!</v>
      </c>
      <c r="E51" s="250"/>
      <c r="F51" s="250"/>
    </row>
    <row r="52" spans="1:6" x14ac:dyDescent="0.25">
      <c r="A52" s="250" t="e">
        <f>#REF!</f>
        <v>#REF!</v>
      </c>
      <c r="B52" s="250"/>
      <c r="C52" s="250"/>
      <c r="D52" s="250" t="str">
        <f>"паспорт серии "&amp;'Общие данные'!B16&amp;", "&amp;'Общие данные'!B20&amp;""</f>
        <v>паспорт серии AD9358147, IIV 6230 tomonidan 11.11.2024 yilda berilgan</v>
      </c>
      <c r="E52" s="250"/>
      <c r="F52" s="250"/>
    </row>
    <row r="53" spans="1:6" ht="32.25" customHeight="1" x14ac:dyDescent="0.25">
      <c r="A53" s="250" t="e">
        <f>#REF!</f>
        <v>#REF!</v>
      </c>
      <c r="B53" s="250"/>
      <c r="C53" s="250"/>
      <c r="D53" s="250"/>
      <c r="E53" s="250"/>
      <c r="F53" s="250"/>
    </row>
    <row r="54" spans="1:6" x14ac:dyDescent="0.25">
      <c r="A54" s="250" t="e">
        <f>#REF!</f>
        <v>#REF!</v>
      </c>
      <c r="B54" s="250"/>
      <c r="C54" s="250"/>
      <c r="D54" s="250" t="e">
        <f>#REF!</f>
        <v>#REF!</v>
      </c>
      <c r="E54" s="250"/>
      <c r="F54" s="250"/>
    </row>
    <row r="55" spans="1:6" x14ac:dyDescent="0.25">
      <c r="A55" s="250" t="e">
        <f>#REF!</f>
        <v>#REF!</v>
      </c>
      <c r="B55" s="250"/>
      <c r="C55" s="250"/>
      <c r="D55" s="250" t="e">
        <f>#REF!</f>
        <v>#REF!</v>
      </c>
      <c r="E55" s="250"/>
      <c r="F55" s="250"/>
    </row>
    <row r="56" spans="1:6" x14ac:dyDescent="0.25">
      <c r="A56" s="250" t="e">
        <f>#REF!</f>
        <v>#REF!</v>
      </c>
      <c r="B56" s="250"/>
      <c r="C56" s="250"/>
      <c r="D56" s="250" t="e">
        <f>#REF!</f>
        <v>#REF!</v>
      </c>
      <c r="E56" s="250"/>
      <c r="F56" s="250"/>
    </row>
    <row r="57" spans="1:6" ht="8.25" customHeight="1" x14ac:dyDescent="0.25">
      <c r="A57" s="250"/>
      <c r="B57" s="250"/>
      <c r="C57" s="250"/>
      <c r="D57" s="250"/>
      <c r="E57" s="250"/>
      <c r="F57" s="250"/>
    </row>
    <row r="58" spans="1:6" x14ac:dyDescent="0.25">
      <c r="A58" s="254" t="e">
        <f>#REF!</f>
        <v>#REF!</v>
      </c>
      <c r="B58" s="254"/>
      <c r="C58" s="254"/>
      <c r="D58" s="254" t="e">
        <f>#REF!</f>
        <v>#REF!</v>
      </c>
      <c r="E58" s="254"/>
      <c r="F58" s="254"/>
    </row>
    <row r="59" spans="1:6" ht="7.5" customHeight="1" x14ac:dyDescent="0.25">
      <c r="A59" s="254"/>
      <c r="B59" s="254"/>
      <c r="C59" s="254"/>
      <c r="D59" s="254"/>
      <c r="E59" s="254"/>
      <c r="F59" s="254"/>
    </row>
    <row r="60" spans="1:6" x14ac:dyDescent="0.25">
      <c r="A60" s="254" t="e">
        <f>#REF!</f>
        <v>#REF!</v>
      </c>
      <c r="B60" s="254"/>
      <c r="C60" s="254"/>
      <c r="D60" s="254" t="e">
        <f>#REF!</f>
        <v>#REF!</v>
      </c>
      <c r="E60" s="254"/>
      <c r="F60" s="254"/>
    </row>
    <row r="61" spans="1:6" ht="8.25" customHeight="1" x14ac:dyDescent="0.25">
      <c r="A61" s="250"/>
      <c r="B61" s="250"/>
      <c r="C61" s="250"/>
      <c r="D61" s="250"/>
      <c r="E61" s="250"/>
      <c r="F61" s="250"/>
    </row>
    <row r="62" spans="1:6" ht="30" customHeight="1" x14ac:dyDescent="0.25">
      <c r="A62" s="251"/>
      <c r="B62" s="251"/>
      <c r="C62" s="251"/>
      <c r="D62" s="252"/>
      <c r="E62" s="252"/>
      <c r="F62" s="252"/>
    </row>
    <row r="63" spans="1:6" x14ac:dyDescent="0.25">
      <c r="A63" s="253"/>
      <c r="B63" s="253"/>
      <c r="C63" s="253"/>
      <c r="D63" s="253"/>
      <c r="E63" s="253"/>
      <c r="F63" s="253"/>
    </row>
    <row r="64" spans="1:6" x14ac:dyDescent="0.25">
      <c r="A64" s="249"/>
      <c r="B64" s="249"/>
      <c r="C64" s="249"/>
      <c r="D64" s="249"/>
      <c r="E64" s="249"/>
      <c r="F64" s="249"/>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zoomScaleSheetLayoutView="100" workbookViewId="0">
      <selection activeCell="F26" sqref="F26"/>
    </sheetView>
  </sheetViews>
  <sheetFormatPr defaultColWidth="9.140625" defaultRowHeight="12.75" x14ac:dyDescent="0.2"/>
  <cols>
    <col min="1" max="6" width="14.28515625" style="24" customWidth="1"/>
    <col min="7" max="16384" width="9.140625" style="24"/>
  </cols>
  <sheetData>
    <row r="1" spans="1:6" x14ac:dyDescent="0.2">
      <c r="A1" s="263" t="s">
        <v>220</v>
      </c>
      <c r="B1" s="263"/>
      <c r="C1" s="263"/>
      <c r="D1" s="263"/>
      <c r="E1" s="263"/>
      <c r="F1" s="263"/>
    </row>
    <row r="2" spans="1:6" ht="35.25" customHeight="1" x14ac:dyDescent="0.2">
      <c r="A2" s="264" t="s">
        <v>330</v>
      </c>
      <c r="B2" s="264"/>
      <c r="C2" s="264"/>
      <c r="D2" s="264"/>
      <c r="E2" s="264"/>
      <c r="F2" s="264"/>
    </row>
    <row r="3" spans="1:6" x14ac:dyDescent="0.2">
      <c r="A3" s="263" t="s">
        <v>221</v>
      </c>
      <c r="B3" s="263"/>
      <c r="C3" s="263"/>
      <c r="D3" s="263"/>
      <c r="E3" s="263"/>
      <c r="F3" s="263"/>
    </row>
    <row r="4" spans="1:6" x14ac:dyDescent="0.2">
      <c r="A4" s="262" t="str">
        <f>'Заключение КК'!A4:E4</f>
        <v>Mijozning to'liq ismi sharifi: SHUKUROV OTABEK SHOKIROVICH</v>
      </c>
      <c r="B4" s="262"/>
      <c r="C4" s="262"/>
      <c r="D4" s="262"/>
      <c r="E4" s="262"/>
      <c r="F4" s="262"/>
    </row>
    <row r="5" spans="1:6" x14ac:dyDescent="0.2">
      <c r="A5" s="262" t="str">
        <f>'Заключение КК'!A5:E5</f>
        <v>Tug'ilgan sanasi: 04.09.1986y</v>
      </c>
      <c r="B5" s="262"/>
      <c r="C5" s="262"/>
      <c r="D5" s="262"/>
      <c r="E5" s="262"/>
      <c r="F5" s="262"/>
    </row>
    <row r="6" spans="1:6" ht="32.25" customHeight="1" x14ac:dyDescent="0.2">
      <c r="A6" s="262" t="str">
        <f>'Заключение КК'!A6:E6</f>
        <v>Pasport seriyasi AD9358147 IIV 6230 tomonidan 11.11.2024 yilda berilgan, amal qilish muddati - 10.11.2034 y.</v>
      </c>
      <c r="B6" s="262"/>
      <c r="C6" s="262"/>
      <c r="D6" s="262"/>
      <c r="E6" s="262"/>
      <c r="F6" s="262"/>
    </row>
    <row r="7" spans="1:6" x14ac:dyDescent="0.2">
      <c r="A7" s="262" t="str">
        <f>"Fuqaroligi: "&amp;'Общие данные'!B32&amp;""</f>
        <v>Fuqaroligi: O’zbekiston Respublikasi</v>
      </c>
      <c r="B7" s="262"/>
      <c r="C7" s="262"/>
      <c r="D7" s="262"/>
      <c r="E7" s="262"/>
      <c r="F7" s="262"/>
    </row>
    <row r="8" spans="1:6" ht="26.25" customHeight="1" x14ac:dyDescent="0.2">
      <c r="A8" s="262" t="str">
        <f>'Заключение КК'!A7:E7</f>
        <v>Ro‘yxatdan o‘tgan manzili: BUXORO VILOYATI QORAKO'L TUMANI JIG'ACHI MFY , mo'ljal: 30-MAKTAB</v>
      </c>
      <c r="B8" s="262"/>
      <c r="C8" s="262"/>
      <c r="D8" s="262"/>
      <c r="E8" s="262"/>
      <c r="F8" s="262"/>
    </row>
    <row r="9" spans="1:6" x14ac:dyDescent="0.2">
      <c r="A9" s="262" t="str">
        <f>IF('Общие данные'!B23="mos keladi"," ",'Анкета Клиента'!A10:F10)</f>
        <v xml:space="preserve"> </v>
      </c>
      <c r="B9" s="262"/>
      <c r="C9" s="262"/>
      <c r="D9" s="262"/>
      <c r="E9" s="262"/>
      <c r="F9" s="262"/>
    </row>
    <row r="10" spans="1:6" ht="31.5" hidden="1" customHeight="1" x14ac:dyDescent="0.2">
      <c r="A10" s="262" t="str">
        <f>"Haqiqatdan yashash joy manzili: "&amp;'Общие данные'!B28&amp;""</f>
        <v xml:space="preserve">Haqiqatdan yashash joy manzili: BUXORO VILOYATI QORAKO'L TUMANI JIG'ACHI MFY </v>
      </c>
      <c r="B10" s="262"/>
      <c r="C10" s="262"/>
      <c r="D10" s="262"/>
      <c r="E10" s="262"/>
      <c r="F10" s="262"/>
    </row>
    <row r="11" spans="1:6" ht="16.5" hidden="1" customHeight="1" x14ac:dyDescent="0.2">
      <c r="A11" s="262" t="str">
        <f>'Заключение КК'!A8:E8</f>
        <v>Ish joyi:  lavozimi Yakka tartibdagi tadbirkorda Yakka tartibdagi tadbirkor</v>
      </c>
      <c r="B11" s="262"/>
      <c r="C11" s="262"/>
      <c r="D11" s="262"/>
      <c r="E11" s="262"/>
      <c r="F11" s="262"/>
    </row>
    <row r="12" spans="1:6" x14ac:dyDescent="0.2">
      <c r="A12" s="263" t="s">
        <v>222</v>
      </c>
      <c r="B12" s="263"/>
      <c r="C12" s="263"/>
      <c r="D12" s="263"/>
      <c r="E12" s="263"/>
      <c r="F12" s="263"/>
    </row>
    <row r="13" spans="1:6" x14ac:dyDescent="0.2">
      <c r="A13" s="262" t="str">
        <f>"Uy telefoni raqami: "&amp;'Общие данные'!B40&amp;""</f>
        <v>Uy telefoni raqami: 94 125-49-00 O'ZI</v>
      </c>
      <c r="B13" s="262"/>
      <c r="C13" s="262"/>
      <c r="D13" s="262"/>
      <c r="E13" s="262"/>
      <c r="F13" s="262"/>
    </row>
    <row r="14" spans="1:6" x14ac:dyDescent="0.2">
      <c r="A14" s="262" t="str">
        <f>"Uyali telefon raqami: "&amp;'Общие данные'!B41&amp;""</f>
        <v>Uyali telefon raqami: 93 653-50-54 OTASI</v>
      </c>
      <c r="B14" s="262"/>
      <c r="C14" s="262"/>
      <c r="D14" s="262"/>
      <c r="E14" s="262"/>
      <c r="F14" s="262"/>
    </row>
    <row r="15" spans="1:6" x14ac:dyDescent="0.2">
      <c r="A15" s="262" t="str">
        <f>"Uyali telefon raqami: "&amp;'Общие данные'!B42&amp;""</f>
        <v>Uyali telefon raqami: 93 264-50-54  ONASI</v>
      </c>
      <c r="B15" s="262"/>
      <c r="C15" s="262"/>
      <c r="D15" s="262"/>
      <c r="E15" s="262"/>
      <c r="F15" s="262"/>
    </row>
    <row r="16" spans="1:6" hidden="1" x14ac:dyDescent="0.2">
      <c r="A16" s="262" t="str">
        <f>"Uyali telefon raqami: "&amp;'Общие данные'!B42&amp;""</f>
        <v>Uyali telefon raqami: 93 264-50-54  ONASI</v>
      </c>
      <c r="B16" s="262"/>
      <c r="C16" s="262"/>
      <c r="D16" s="262"/>
      <c r="E16" s="262"/>
      <c r="F16" s="262"/>
    </row>
    <row r="17" spans="1:6" x14ac:dyDescent="0.2">
      <c r="A17" s="262" t="str">
        <f>"Ish telefoni raqami: "&amp;'Общие данные'!B43&amp;""</f>
        <v xml:space="preserve">Ish telefoni raqami: </v>
      </c>
      <c r="B17" s="262"/>
      <c r="C17" s="262"/>
      <c r="D17" s="262"/>
      <c r="E17" s="262"/>
      <c r="F17" s="262"/>
    </row>
    <row r="18" spans="1:6" x14ac:dyDescent="0.2">
      <c r="A18" s="263" t="s">
        <v>223</v>
      </c>
      <c r="B18" s="263"/>
      <c r="C18" s="263"/>
      <c r="D18" s="263"/>
      <c r="E18" s="263"/>
      <c r="F18" s="263"/>
    </row>
    <row r="19" spans="1:6" x14ac:dyDescent="0.2">
      <c r="A19" s="262" t="str">
        <f>"Muassasa nomlanishi:"&amp;'Общие данные'!B58&amp;""</f>
        <v>Muassasa nomlanishi:Yakka tartibdagi tadbirkor</v>
      </c>
      <c r="B19" s="262"/>
      <c r="C19" s="262"/>
      <c r="D19" s="262"/>
      <c r="E19" s="262"/>
      <c r="F19" s="262"/>
    </row>
    <row r="20" spans="1:6" x14ac:dyDescent="0.2">
      <c r="A20" s="262" t="str">
        <f>"Ro‘yxatdan o‘tish manzili:"&amp;'Общие данные'!B50&amp;""</f>
        <v>Ro‘yxatdan o‘tish manzili:</v>
      </c>
      <c r="B20" s="262"/>
      <c r="C20" s="262"/>
      <c r="D20" s="262"/>
      <c r="E20" s="262"/>
      <c r="F20" s="262"/>
    </row>
    <row r="21" spans="1:6" x14ac:dyDescent="0.2">
      <c r="A21" s="262" t="str">
        <f>"Lavozimi: "&amp;'Общие данные'!B59&amp;""</f>
        <v>Lavozimi: Yakka tartibdagi tadbirkor</v>
      </c>
      <c r="B21" s="262"/>
      <c r="C21" s="262"/>
      <c r="D21" s="262"/>
      <c r="E21" s="262"/>
      <c r="F21" s="262"/>
    </row>
    <row r="22" spans="1:6" x14ac:dyDescent="0.2">
      <c r="A22" s="263" t="s">
        <v>224</v>
      </c>
      <c r="B22" s="265"/>
      <c r="C22" s="265"/>
      <c r="D22" s="265"/>
      <c r="E22" s="265"/>
      <c r="F22" s="265"/>
    </row>
    <row r="23" spans="1:6" s="26" customFormat="1" ht="25.5" x14ac:dyDescent="0.25">
      <c r="A23" s="25" t="s">
        <v>225</v>
      </c>
      <c r="B23" s="25" t="s">
        <v>226</v>
      </c>
      <c r="C23" s="25" t="s">
        <v>227</v>
      </c>
      <c r="D23" s="25" t="s">
        <v>228</v>
      </c>
      <c r="E23" s="25" t="s">
        <v>229</v>
      </c>
      <c r="F23" s="25" t="s">
        <v>230</v>
      </c>
    </row>
    <row r="24" spans="1:6" ht="51" x14ac:dyDescent="0.2">
      <c r="A24" s="27" t="s">
        <v>231</v>
      </c>
      <c r="B24" s="28">
        <f>'Общие данные'!B60</f>
        <v>13500000</v>
      </c>
      <c r="C24" s="28">
        <v>0</v>
      </c>
      <c r="D24" s="28">
        <v>0</v>
      </c>
      <c r="E24" s="27" t="s">
        <v>234</v>
      </c>
      <c r="F24" s="28">
        <v>700000</v>
      </c>
    </row>
    <row r="25" spans="1:6" ht="25.5" x14ac:dyDescent="0.2">
      <c r="A25" s="27" t="s">
        <v>232</v>
      </c>
      <c r="B25" s="28">
        <v>0</v>
      </c>
      <c r="C25" s="28">
        <v>0</v>
      </c>
      <c r="D25" s="28">
        <v>0</v>
      </c>
      <c r="E25" s="27" t="s">
        <v>235</v>
      </c>
      <c r="F25" s="28">
        <v>450000</v>
      </c>
    </row>
    <row r="26" spans="1:6" ht="28.5" customHeight="1" x14ac:dyDescent="0.2">
      <c r="A26" s="27" t="s">
        <v>233</v>
      </c>
      <c r="B26" s="28">
        <f>'Общие данные'!B61</f>
        <v>3</v>
      </c>
      <c r="C26" s="28">
        <v>0</v>
      </c>
      <c r="D26" s="28">
        <v>0</v>
      </c>
      <c r="E26" s="27" t="s">
        <v>236</v>
      </c>
      <c r="F26" s="28">
        <v>500000</v>
      </c>
    </row>
    <row r="27" spans="1:6" s="31" customFormat="1" x14ac:dyDescent="0.2">
      <c r="A27" s="29" t="s">
        <v>212</v>
      </c>
      <c r="B27" s="30">
        <f>B24+B25+B26</f>
        <v>13500003</v>
      </c>
      <c r="C27" s="30">
        <f t="shared" ref="C27:F27" si="0">SUM(C24:C26)</f>
        <v>0</v>
      </c>
      <c r="D27" s="30">
        <f t="shared" si="0"/>
        <v>0</v>
      </c>
      <c r="E27" s="29"/>
      <c r="F27" s="30">
        <f t="shared" si="0"/>
        <v>1650000</v>
      </c>
    </row>
    <row r="28" spans="1:6" ht="31.5" customHeight="1" x14ac:dyDescent="0.2">
      <c r="A28" s="262" t="str">
        <f>"Men, "&amp;'Общие данные'!B5&amp;", ushbu anketada ko‘rsatilgan barcha ma'lumotlar anketa to'ldirilgan sanada  to'g'ri va aniq ekanligini tasdiqlayman."</f>
        <v>Men, SHUKUROV OTABEK SHOKIROVICH, ushbu anketada ko‘rsatilgan barcha ma'lumotlar anketa to'ldirilgan sanada  to'g'ri va aniq ekanligini tasdiqlayman.</v>
      </c>
      <c r="B28" s="262"/>
      <c r="C28" s="262"/>
      <c r="D28" s="262"/>
      <c r="E28" s="262"/>
      <c r="F28" s="262"/>
    </row>
    <row r="29" spans="1:6" x14ac:dyDescent="0.2">
      <c r="A29" s="262" t="str">
        <f>"Men,  "&amp;'Общие данные'!B5&amp;", quyidagilarni tan olaman va roziman::"</f>
        <v>Men,  SHUKUROV OTABEK SHOKIROVICH, quyidagilarni tan olaman va roziman::</v>
      </c>
      <c r="B29" s="262"/>
      <c r="C29" s="262"/>
      <c r="D29" s="262"/>
      <c r="E29" s="262"/>
      <c r="F29" s="262"/>
    </row>
    <row r="30" spans="1:6" ht="45.75" customHeight="1" x14ac:dyDescent="0.2">
      <c r="A30" s="262"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2"/>
      <c r="C30" s="262"/>
      <c r="D30" s="262"/>
      <c r="E30" s="262"/>
      <c r="F30" s="262"/>
    </row>
    <row r="31" spans="1:6" ht="42.75" customHeight="1" x14ac:dyDescent="0.2">
      <c r="A31" s="262"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2"/>
      <c r="C31" s="262"/>
      <c r="D31" s="262"/>
      <c r="E31" s="262"/>
      <c r="F31" s="262"/>
    </row>
    <row r="32" spans="1:6" ht="71.25" customHeight="1" x14ac:dyDescent="0.2">
      <c r="A32" s="262" t="s">
        <v>237</v>
      </c>
      <c r="B32" s="262"/>
      <c r="C32" s="262"/>
      <c r="D32" s="262"/>
      <c r="E32" s="262"/>
      <c r="F32" s="262"/>
    </row>
    <row r="33" spans="1:6" x14ac:dyDescent="0.2">
      <c r="A33" s="262"/>
      <c r="B33" s="262"/>
      <c r="C33" s="262"/>
      <c r="D33" s="262"/>
      <c r="E33" s="262"/>
      <c r="F33" s="262"/>
    </row>
    <row r="34" spans="1:6" ht="12.75" customHeight="1" x14ac:dyDescent="0.2">
      <c r="A34" s="265" t="s">
        <v>238</v>
      </c>
      <c r="B34" s="265"/>
      <c r="C34" s="265"/>
      <c r="D34" s="151" t="s">
        <v>158</v>
      </c>
      <c r="E34" s="265" t="s">
        <v>239</v>
      </c>
      <c r="F34" s="265"/>
    </row>
    <row r="35" spans="1:6" ht="25.5" customHeight="1" x14ac:dyDescent="0.2">
      <c r="A35" s="266"/>
      <c r="B35" s="266"/>
      <c r="C35" s="266"/>
      <c r="D35" s="267" t="str">
        <f>'Общие данные'!B2</f>
        <v>06.03.2025</v>
      </c>
      <c r="E35" s="266"/>
      <c r="F35" s="266"/>
    </row>
    <row r="36" spans="1:6" ht="25.5" customHeight="1" x14ac:dyDescent="0.2">
      <c r="A36" s="266"/>
      <c r="B36" s="266"/>
      <c r="C36" s="266"/>
      <c r="D36" s="267"/>
      <c r="E36" s="266"/>
      <c r="F36" s="266"/>
    </row>
    <row r="37" spans="1:6" x14ac:dyDescent="0.2">
      <c r="A37" s="262"/>
      <c r="B37" s="262"/>
      <c r="C37" s="262"/>
      <c r="D37" s="262"/>
      <c r="E37" s="262"/>
      <c r="F37" s="262"/>
    </row>
    <row r="38" spans="1:6" x14ac:dyDescent="0.2">
      <c r="A38" s="262"/>
      <c r="B38" s="262"/>
      <c r="C38" s="262"/>
      <c r="D38" s="262"/>
      <c r="E38" s="262"/>
      <c r="F38" s="262"/>
    </row>
    <row r="39" spans="1:6" x14ac:dyDescent="0.2">
      <c r="A39" s="262"/>
      <c r="B39" s="262"/>
      <c r="C39" s="262"/>
      <c r="D39" s="262"/>
      <c r="E39" s="262"/>
      <c r="F39" s="262"/>
    </row>
    <row r="40" spans="1:6" x14ac:dyDescent="0.2">
      <c r="A40" s="262"/>
      <c r="B40" s="262"/>
      <c r="C40" s="262"/>
      <c r="D40" s="262"/>
      <c r="E40" s="262"/>
      <c r="F40" s="262"/>
    </row>
    <row r="41" spans="1:6" x14ac:dyDescent="0.2">
      <c r="A41" s="262"/>
      <c r="B41" s="262"/>
      <c r="C41" s="262"/>
      <c r="D41" s="262"/>
      <c r="E41" s="262"/>
      <c r="F41" s="262"/>
    </row>
    <row r="42" spans="1:6" x14ac:dyDescent="0.2">
      <c r="A42" s="262"/>
      <c r="B42" s="262"/>
      <c r="C42" s="262"/>
      <c r="D42" s="262"/>
      <c r="E42" s="262"/>
      <c r="F42" s="262"/>
    </row>
    <row r="43" spans="1:6" x14ac:dyDescent="0.2">
      <c r="A43" s="262"/>
      <c r="B43" s="262"/>
      <c r="C43" s="262"/>
      <c r="D43" s="262"/>
      <c r="E43" s="262"/>
      <c r="F43" s="262"/>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1" zoomScaleNormal="100" zoomScaleSheetLayoutView="100" workbookViewId="0">
      <selection activeCell="A29" sqref="A29"/>
    </sheetView>
  </sheetViews>
  <sheetFormatPr defaultColWidth="9.140625" defaultRowHeight="15.75" x14ac:dyDescent="0.2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x14ac:dyDescent="0.25">
      <c r="A2" s="272" t="s">
        <v>240</v>
      </c>
      <c r="B2" s="272"/>
      <c r="C2" s="272"/>
      <c r="D2" s="272"/>
      <c r="E2" s="272"/>
    </row>
    <row r="3" spans="1:5" x14ac:dyDescent="0.25">
      <c r="E3" s="121" t="str">
        <f>'Общие данные'!B68</f>
        <v>6 mart 2025 y.</v>
      </c>
    </row>
    <row r="5" spans="1:5" s="123" customFormat="1" ht="27" customHeight="1" x14ac:dyDescent="0.25">
      <c r="A5" s="276" t="s">
        <v>241</v>
      </c>
      <c r="B5" s="277"/>
      <c r="C5" s="273" t="str">
        <f>'Общие данные'!B8</f>
        <v>SHUKUROV OTABEK SHOKIROVICH</v>
      </c>
      <c r="D5" s="274"/>
      <c r="E5" s="275"/>
    </row>
    <row r="7" spans="1:5" ht="15.75" customHeight="1" x14ac:dyDescent="0.25">
      <c r="A7" s="278" t="s">
        <v>361</v>
      </c>
      <c r="B7" s="279"/>
      <c r="C7" s="280"/>
      <c r="D7" s="124" t="s">
        <v>133</v>
      </c>
      <c r="E7" s="124"/>
    </row>
    <row r="8" spans="1:5" x14ac:dyDescent="0.25">
      <c r="A8" s="281"/>
      <c r="B8" s="282"/>
      <c r="C8" s="283"/>
      <c r="D8" s="124" t="s">
        <v>245</v>
      </c>
      <c r="E8" s="124"/>
    </row>
    <row r="9" spans="1:5" ht="15.75" customHeight="1" x14ac:dyDescent="0.25">
      <c r="A9" s="269" t="s">
        <v>242</v>
      </c>
      <c r="B9" s="269"/>
      <c r="C9" s="269"/>
      <c r="D9" s="124" t="s">
        <v>133</v>
      </c>
      <c r="E9" s="124"/>
    </row>
    <row r="10" spans="1:5" x14ac:dyDescent="0.25">
      <c r="A10" s="269"/>
      <c r="B10" s="269"/>
      <c r="C10" s="269"/>
      <c r="D10" s="124" t="s">
        <v>245</v>
      </c>
      <c r="E10" s="124"/>
    </row>
    <row r="11" spans="1:5" ht="15.75" customHeight="1" x14ac:dyDescent="0.25">
      <c r="A11" s="269" t="s">
        <v>243</v>
      </c>
      <c r="B11" s="269"/>
      <c r="C11" s="269"/>
      <c r="D11" s="124" t="s">
        <v>133</v>
      </c>
      <c r="E11" s="124"/>
    </row>
    <row r="12" spans="1:5" x14ac:dyDescent="0.25">
      <c r="A12" s="269"/>
      <c r="B12" s="269"/>
      <c r="C12" s="269"/>
      <c r="D12" s="124" t="s">
        <v>245</v>
      </c>
      <c r="E12" s="124"/>
    </row>
    <row r="13" spans="1:5" ht="34.5" customHeight="1" x14ac:dyDescent="0.25">
      <c r="A13" s="270" t="s">
        <v>244</v>
      </c>
      <c r="B13" s="270"/>
      <c r="C13" s="270"/>
      <c r="D13" s="270"/>
      <c r="E13" s="270"/>
    </row>
    <row r="14" spans="1:5" ht="16.5" thickBot="1" x14ac:dyDescent="0.3">
      <c r="A14" s="271"/>
      <c r="B14" s="271"/>
      <c r="C14" s="271"/>
      <c r="D14" s="271"/>
      <c r="E14" s="271"/>
    </row>
    <row r="15" spans="1:5" ht="16.5" thickBot="1" x14ac:dyDescent="0.3">
      <c r="A15" s="271"/>
      <c r="B15" s="271"/>
      <c r="C15" s="271"/>
      <c r="D15" s="271"/>
      <c r="E15" s="271"/>
    </row>
    <row r="16" spans="1:5" ht="16.5" thickBot="1" x14ac:dyDescent="0.3">
      <c r="A16" s="271"/>
      <c r="B16" s="271"/>
      <c r="C16" s="271"/>
      <c r="D16" s="271"/>
      <c r="E16" s="271"/>
    </row>
    <row r="18" spans="1:8" ht="18.75" customHeight="1" x14ac:dyDescent="0.25">
      <c r="A18" s="269" t="s">
        <v>246</v>
      </c>
      <c r="B18" s="269"/>
      <c r="C18" s="269"/>
      <c r="D18" s="124" t="s">
        <v>133</v>
      </c>
      <c r="E18" s="124"/>
    </row>
    <row r="19" spans="1:8" ht="18.75" customHeight="1" x14ac:dyDescent="0.25">
      <c r="A19" s="269"/>
      <c r="B19" s="269"/>
      <c r="C19" s="269"/>
      <c r="D19" s="124" t="s">
        <v>245</v>
      </c>
      <c r="E19" s="124"/>
    </row>
    <row r="20" spans="1:8" ht="29.25" customHeight="1" x14ac:dyDescent="0.25">
      <c r="A20" s="269" t="s">
        <v>247</v>
      </c>
      <c r="B20" s="269"/>
      <c r="C20" s="269"/>
      <c r="D20" s="124" t="s">
        <v>133</v>
      </c>
      <c r="E20" s="124"/>
    </row>
    <row r="21" spans="1:8" ht="29.25" customHeight="1" x14ac:dyDescent="0.25">
      <c r="A21" s="269"/>
      <c r="B21" s="269"/>
      <c r="C21" s="269"/>
      <c r="D21" s="124" t="s">
        <v>245</v>
      </c>
      <c r="E21" s="124"/>
    </row>
    <row r="23" spans="1:8" ht="15.75" customHeight="1" x14ac:dyDescent="0.25">
      <c r="A23" s="270" t="s">
        <v>248</v>
      </c>
      <c r="B23" s="270"/>
      <c r="C23" s="270"/>
      <c r="D23" s="270"/>
      <c r="E23" s="270"/>
    </row>
    <row r="24" spans="1:8" ht="16.5" thickBot="1" x14ac:dyDescent="0.3">
      <c r="A24" s="271"/>
      <c r="B24" s="271"/>
      <c r="C24" s="271"/>
      <c r="D24" s="271"/>
      <c r="E24" s="271"/>
    </row>
    <row r="25" spans="1:8" ht="16.5" thickBot="1" x14ac:dyDescent="0.3">
      <c r="A25" s="271"/>
      <c r="B25" s="271"/>
      <c r="C25" s="271"/>
      <c r="D25" s="271"/>
      <c r="E25" s="271"/>
    </row>
    <row r="26" spans="1:8" ht="16.5" thickBot="1" x14ac:dyDescent="0.3">
      <c r="A26" s="271"/>
      <c r="B26" s="271"/>
      <c r="C26" s="271"/>
      <c r="D26" s="271"/>
      <c r="E26" s="271"/>
    </row>
    <row r="28" spans="1:8" ht="78.75" customHeight="1" x14ac:dyDescent="0.25">
      <c r="A28" s="268" t="s">
        <v>249</v>
      </c>
      <c r="B28" s="268"/>
      <c r="C28" s="268"/>
      <c r="D28" s="268"/>
      <c r="E28" s="268"/>
    </row>
    <row r="30" spans="1:8" ht="33" customHeight="1" x14ac:dyDescent="0.25">
      <c r="A30" s="268" t="s">
        <v>250</v>
      </c>
      <c r="B30" s="268"/>
      <c r="C30" s="268"/>
      <c r="D30" s="268"/>
      <c r="E30" s="268"/>
      <c r="F30" s="125"/>
      <c r="G30" s="125"/>
      <c r="H30" s="125"/>
    </row>
    <row r="33" spans="1:5" ht="16.5" thickBot="1" x14ac:dyDescent="0.3">
      <c r="A33" s="126" t="str">
        <f>C5</f>
        <v>SHUKUROV OTABEK SHOKIROVICH</v>
      </c>
      <c r="D33" s="127"/>
      <c r="E33" s="128"/>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3" zoomScaleSheetLayoutView="100" workbookViewId="0">
      <selection activeCell="A20" sqref="A20:XFD20"/>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x14ac:dyDescent="0.25">
      <c r="C1" s="285" t="str">
        <f>""&amp;'Общие данные'!B147&amp;"ning
"&amp;'Общие данные'!A150&amp;""</f>
        <v>«CLEVER MIKROMOLIYA TASHKILOTI» MChJning
Qorako'l filiali boshlig'i</v>
      </c>
      <c r="D1" s="285"/>
    </row>
    <row r="2" spans="1:4" x14ac:dyDescent="0.25">
      <c r="C2" s="13"/>
      <c r="D2" s="14" t="str">
        <f>""&amp;'Общие данные'!B150&amp;"ga"</f>
        <v>Egamberdiyeva D.I.ga</v>
      </c>
    </row>
    <row r="4" spans="1:4" x14ac:dyDescent="0.25">
      <c r="A4" s="284" t="str">
        <f>""&amp;'Общие данные'!C64&amp;" olish uchun Ariza"</f>
        <v>Mikroqarz olish uchun Ariza</v>
      </c>
      <c r="B4" s="284"/>
      <c r="C4" s="284"/>
      <c r="D4" s="284"/>
    </row>
    <row r="5" spans="1:4" ht="18.75" customHeight="1" x14ac:dyDescent="0.25">
      <c r="A5" s="284"/>
      <c r="B5" s="284"/>
      <c r="C5" s="284"/>
      <c r="D5" s="284"/>
    </row>
    <row r="6" spans="1:4" ht="33.75" customHeight="1" x14ac:dyDescent="0.25">
      <c r="A6" s="286" t="str">
        <f>""&amp;'Общие данные'!B28&amp;".-da yashovchi O‘zbekiston Respublikasi fuqarosi "&amp;'Общие данные'!B8&amp;"dan. "</f>
        <v xml:space="preserve">BUXORO VILOYATI QORAKO'L TUMANI JIG'ACHI MFY .-da yashovchi O‘zbekiston Respublikasi fuqarosi SHUKUROV OTABEK SHOKIROVICHdan. </v>
      </c>
      <c r="B6" s="286"/>
      <c r="C6" s="286"/>
      <c r="D6" s="286"/>
    </row>
    <row r="7" spans="1:4" ht="15.75" customHeight="1" x14ac:dyDescent="0.25">
      <c r="A7" s="286" t="str">
        <f>"Tug'ilgan kuni: "&amp;'Общие данные'!B15&amp;""</f>
        <v>Tug'ilgan kuni: 04.09.1986y</v>
      </c>
      <c r="B7" s="286"/>
      <c r="C7" s="286"/>
      <c r="D7" s="286"/>
    </row>
    <row r="8" spans="1:4" ht="33" customHeight="1" x14ac:dyDescent="0.25">
      <c r="A8" s="286" t="str">
        <f>"Pasport seriyasi: "&amp;'Общие данные'!B16&amp;" "&amp;'Общие данные'!B20&amp;""</f>
        <v>Pasport seriyasi: AD9358147 IIV 6230 tomonidan 11.11.2024 yilda berilgan</v>
      </c>
      <c r="B8" s="286"/>
      <c r="C8" s="286"/>
      <c r="D8" s="286"/>
    </row>
    <row r="9" spans="1:4" ht="16.5" customHeight="1" x14ac:dyDescent="0.25">
      <c r="A9" s="286" t="str">
        <f>"Asosiy ish joyi : "&amp;'Общие данные'!B58&amp;""</f>
        <v>Asosiy ish joyi : Yakka tartibdagi tadbirkor</v>
      </c>
      <c r="B9" s="286"/>
      <c r="C9" s="286"/>
      <c r="D9" s="286"/>
    </row>
    <row r="10" spans="1:4" ht="15.75" customHeight="1" x14ac:dyDescent="0.25">
      <c r="A10" s="286" t="str">
        <f>"Lavozimi: "&amp;'Общие данные'!B59&amp;""</f>
        <v>Lavozimi: Yakka tartibdagi tadbirkor</v>
      </c>
      <c r="B10" s="286"/>
      <c r="C10" s="286"/>
      <c r="D10" s="286"/>
    </row>
    <row r="11" spans="1:4" x14ac:dyDescent="0.25">
      <c r="A11" s="286" t="str">
        <f>"O’rtacha oylik daromadi: "&amp;FIXED('Общие данные'!B60,2)&amp;" so'm."</f>
        <v>O’rtacha oylik daromadi: 13 500 000,00 so'm.</v>
      </c>
      <c r="B11" s="286"/>
      <c r="C11" s="286"/>
      <c r="D11" s="286"/>
    </row>
    <row r="12" spans="1:4" x14ac:dyDescent="0.25">
      <c r="A12" s="286" t="str">
        <f>"Menga quyidagi shartlarda "&amp;'Общие данные'!B65&amp;" berishingizni so’rayman:"</f>
        <v>Menga quyidagi shartlarda mikroqarz berishingizni so’rayman:</v>
      </c>
      <c r="B12" s="286"/>
      <c r="C12" s="286"/>
      <c r="D12" s="286"/>
    </row>
    <row r="13" spans="1:4" x14ac:dyDescent="0.25">
      <c r="A13" s="286" t="str">
        <f>""&amp;'Общие данные'!C64&amp;" summasi: "&amp;FIXED('Общие данные'!B75,2)&amp;" ("&amp;'Общие данные'!B76&amp;") so'm."</f>
        <v>Mikroqarz summasi: 40 000 000,00 (qirq million so'm) so'm.</v>
      </c>
      <c r="B13" s="286"/>
      <c r="C13" s="286"/>
      <c r="D13" s="286"/>
    </row>
    <row r="14" spans="1:4" x14ac:dyDescent="0.25">
      <c r="A14" s="286" t="str">
        <f>""&amp;'Общие данные'!C64&amp;" muddati: "&amp;'Общие данные'!B81&amp;" ("&amp;'Общие данные'!B82&amp;") oy."</f>
        <v>Mikroqarz muddati: 30 (o'ttiz ) oy.</v>
      </c>
      <c r="B14" s="286"/>
      <c r="C14" s="286"/>
      <c r="D14" s="286"/>
    </row>
    <row r="15" spans="1:4" ht="17.25" customHeight="1" x14ac:dyDescent="0.25">
      <c r="A15" s="286" t="str">
        <f>""&amp;'Общие данные'!C64&amp;"dan foydalanganlik uchun foiz stavkasi: yillik  "&amp;'Общие данные'!B85&amp;"% ("&amp;'Общие данные'!B86&amp;") foiz"</f>
        <v>Mikroqarzdan foydalanganlik uchun foiz stavkasi: yillik  60% (Oltmish) foiz</v>
      </c>
      <c r="B15" s="286"/>
      <c r="C15" s="286"/>
      <c r="D15" s="286"/>
    </row>
    <row r="16" spans="1:4" x14ac:dyDescent="0.25">
      <c r="A16" s="286" t="str">
        <f>""&amp;'Общие данные'!C64&amp;" bo'yicha asosiy qarz va foizlarni to'lash:"</f>
        <v>Mikroqarz bo'yicha asosiy qarz va foizlarni to'lash:</v>
      </c>
      <c r="B16" s="286"/>
      <c r="C16" s="286"/>
      <c r="D16" s="286"/>
    </row>
    <row r="17" spans="1:5" ht="20.25" hidden="1" customHeight="1" x14ac:dyDescent="0.25">
      <c r="A17" s="287" t="str">
        <f>" - "&amp;'Общие данные'!B65&amp;" shartnomasi bo'yicha har oy differensial to'lovlari amalga oshiriladi"</f>
        <v xml:space="preserve"> - mikroqarz shartnomasi bo'yicha har oy differensial to'lovlari amalga oshiriladi</v>
      </c>
      <c r="B17" s="287"/>
      <c r="C17" s="287"/>
      <c r="D17" s="287"/>
    </row>
    <row r="18" spans="1:5" ht="33.75" hidden="1" customHeight="1" x14ac:dyDescent="0.25">
      <c r="A18" s="287" t="str">
        <f>" - "&amp;'Общие данные'!B65&amp;" shartnomasi bo'yicha har oy annuitet to'lovlari amalga oshiriladi"</f>
        <v xml:space="preserve"> - mikroqarz shartnomasi bo'yicha har oy annuitet to'lovlari amalga oshiriladi</v>
      </c>
      <c r="B18" s="287"/>
      <c r="C18" s="287"/>
      <c r="D18" s="287"/>
    </row>
    <row r="19" spans="1:5" ht="33.75" customHeight="1" x14ac:dyDescent="0.25">
      <c r="A19" s="287"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87"/>
      <c r="C19" s="287"/>
      <c r="D19" s="287"/>
    </row>
    <row r="20" spans="1:5" ht="33.75" hidden="1" customHeight="1" x14ac:dyDescent="0.25">
      <c r="A20" s="286" t="str">
        <f>IF(DAY('Общие данные'!E67)&lt;15,"   ","  Oxirgi yakuniy to'lov "&amp;'Общие данные'!B65&amp;" shartnomasi tuzilgan kundan boshlab oxirgi oyning oxirgi kunida amalga oshiriladi")</f>
        <v xml:space="preserve">   </v>
      </c>
      <c r="B20" s="286"/>
      <c r="C20" s="286"/>
      <c r="D20" s="286"/>
    </row>
    <row r="21" spans="1:5" x14ac:dyDescent="0.25">
      <c r="A21" s="286" t="str">
        <f>""&amp;'Общие данные'!C64&amp;" ta’minoti::"</f>
        <v>Mikroqarz ta’minoti::</v>
      </c>
      <c r="B21" s="286"/>
      <c r="C21" s="286"/>
      <c r="D21" s="286"/>
    </row>
    <row r="22" spans="1:5" ht="90" customHeight="1" x14ac:dyDescent="0.25">
      <c r="A22" s="287" t="str">
        <f>IF('Общие данные'!B103="Avtotransport",A26,A23)</f>
        <v xml:space="preserve">  Egalik huquqi SHUKUROV SHOKIR ABDIKARIMOVICHga tegishli bo'lgan garovga olingan avtomobil markasi   COBALT, rangi -  OQ OLIMPIYSKAYA BELAYA, ishlab chiqarilgan yili - 2016, davlat raqam belgisi 80J851UA, kuzov turi - YENGIL SEDAN, kuzov raqami XWBJF69VEGA010899, dvigatel raqami B15D211163492DJX0086, shassi raqami - RAKAMSIZ</v>
      </c>
      <c r="B22" s="287"/>
      <c r="C22" s="287"/>
      <c r="D22" s="287"/>
    </row>
    <row r="23" spans="1:5" ht="79.5" hidden="1" customHeight="1" x14ac:dyDescent="0.25">
      <c r="A23" s="287" t="str">
        <f>IF('Общие данные'!B92='Общие данные'!C92,A25,IF('Общие данные'!B92='Общие данные'!D92,A24,0))</f>
        <v xml:space="preserve"> Egalik huquqi 0ga tegishli bo'lgan umumiy maydoni - 72,13  va yashash maydoni - 37,39 3 - xonali yakka tartibdagi uy-joy, SAMARQAND VILOYATI TAYLOQ TUMANI CHAROG'BON MFY YANGI TAYLOQ QISHLOG'I 6 TURAR JOY 12 QAVAT 58 XONADON </v>
      </c>
      <c r="B23" s="287"/>
      <c r="C23" s="287"/>
      <c r="D23" s="287"/>
    </row>
    <row r="24" spans="1:5" ht="96.75" hidden="1" customHeight="1" x14ac:dyDescent="0.25">
      <c r="A24" s="287"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0ga 3 - xonali yakka tartibdagi uy-joy, umumiy maydoni - 72,13 va yashash maydoni - 37,39, manzili: SAMARQAND VILOYATI TAYLOQ TUMANI CHAROG'BON MFY YANGI TAYLOQ QISHLOG'I 6 TURAR JOY 12 QAVAT 58 XONADON.</v>
      </c>
      <c r="B24" s="287"/>
      <c r="C24" s="287"/>
      <c r="D24" s="287"/>
      <c r="E24" s="157"/>
    </row>
    <row r="25" spans="1:5" ht="92.25" hidden="1" customHeight="1" x14ac:dyDescent="0.25">
      <c r="A25" s="287"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0ga tegishli bo'lgan umumiy maydoni - 72,13  va yashash maydoni - 37,39 3 - xonali yakka tartibdagi uy-joy, SAMARQAND VILOYATI TAYLOQ TUMANI CHAROG'BON MFY YANGI TAYLOQ QISHLOG'I 6 TURAR JOY 12 QAVAT 58 XONADON </v>
      </c>
      <c r="B25" s="287"/>
      <c r="C25" s="287"/>
      <c r="D25" s="287"/>
    </row>
    <row r="26" spans="1:5" ht="78" hidden="1" customHeight="1" x14ac:dyDescent="0.25">
      <c r="A26" s="287" t="str">
        <f>IF('Общие данные'!B92='Общие данные'!C92,'Кредитная заявка'!A28:D28,IF('Общие данные'!B92='Общие данные'!D92,'Кредитная заявка'!A27:D27,0))</f>
        <v xml:space="preserve">  Egalik huquqi SHUKUROV SHOKIR ABDIKARIMOVICHga tegishli bo'lgan garovga olingan avtomobil markasi   COBALT, rangi -  OQ OLIMPIYSKAYA BELAYA, ishlab chiqarilgan yili - 2016, davlat raqam belgisi 80J851UA, kuzov turi - YENGIL SEDAN, kuzov raqami XWBJF69VEGA010899, dvigatel raqami B15D211163492DJX0086, shassi raqami - RAKAMSIZ</v>
      </c>
      <c r="B26" s="287"/>
      <c r="C26" s="287"/>
      <c r="D26" s="287"/>
    </row>
    <row r="27" spans="1:5" ht="93" hidden="1" customHeight="1" x14ac:dyDescent="0.25">
      <c r="A27" s="287"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SHUKUROV SHOKIR ABDIKARIMOVICHga tegishli bo'lgan COBALT, rangi -  OQ OLIMPIYSKAYA BELAYA, ishlab chiqarilgan yili - 2016, davlat raqam belgisi 80J851UA, kuzov turi - YENGIL SEDAN, kuzov raqami XWBJF69VEGA010899, dvigatel raqami B15D211163492DJX0086, shassi raqami - RAKAMSIZ avtotransport vositasi </v>
      </c>
      <c r="B27" s="287"/>
      <c r="C27" s="287"/>
      <c r="D27" s="287"/>
    </row>
    <row r="28" spans="1:5" ht="93.75" hidden="1" customHeight="1" x14ac:dyDescent="0.25">
      <c r="A28" s="287"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SHUKUROV SHOKIR ABDIKARIMOVICHga tegishli bo'lgan garovga olingan avtomobil markasi   COBALT, rangi -  OQ OLIMPIYSKAYA BELAYA, ishlab chiqarilgan yili - 2016, davlat raqam belgisi 80J851UA, kuzov turi - YENGIL SEDAN, kuzov raqami XWBJF69VEGA010899, dvigatel raqami B15D211163492DJX0086, shassi raqami - RAKAMSIZ</v>
      </c>
      <c r="B28" s="287"/>
      <c r="C28" s="287"/>
      <c r="D28" s="287"/>
    </row>
    <row r="29" spans="1:5" ht="10.5" customHeight="1" x14ac:dyDescent="0.25">
      <c r="A29" s="286"/>
      <c r="B29" s="286"/>
      <c r="C29" s="286"/>
      <c r="D29" s="286"/>
    </row>
    <row r="30" spans="1:5" ht="53.25" customHeight="1" x14ac:dyDescent="0.25">
      <c r="A30" s="287"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87"/>
      <c r="C30" s="287"/>
      <c r="D30" s="287"/>
    </row>
    <row r="31" spans="1:5" ht="15.75" customHeight="1" x14ac:dyDescent="0.25">
      <c r="A31" s="287" t="s">
        <v>251</v>
      </c>
      <c r="B31" s="287"/>
      <c r="C31" s="287"/>
      <c r="D31" s="287"/>
    </row>
    <row r="32" spans="1:5" x14ac:dyDescent="0.25">
      <c r="A32" s="287" t="s">
        <v>252</v>
      </c>
      <c r="B32" s="287"/>
      <c r="C32" s="287"/>
      <c r="D32" s="287"/>
    </row>
    <row r="33" spans="1:4" x14ac:dyDescent="0.25">
      <c r="A33" s="287" t="s">
        <v>253</v>
      </c>
      <c r="B33" s="287"/>
      <c r="C33" s="287"/>
      <c r="D33" s="287"/>
    </row>
    <row r="34" spans="1:4" x14ac:dyDescent="0.25">
      <c r="A34" s="286" t="str">
        <f>"Ariza berilgan sana: "&amp;TEXT('Общие данные'!B2,"ДД.ММ.ГГГГ")&amp;"y."</f>
        <v>Ariza berilgan sana: 06.03.2025y.</v>
      </c>
      <c r="B34" s="286"/>
      <c r="C34" s="286"/>
      <c r="D34" s="286"/>
    </row>
    <row r="35" spans="1:4" x14ac:dyDescent="0.25">
      <c r="A35" s="286"/>
      <c r="B35" s="286"/>
      <c r="C35" s="286"/>
      <c r="D35" s="286"/>
    </row>
    <row r="36" spans="1:4" x14ac:dyDescent="0.25">
      <c r="A36" s="286" t="s">
        <v>254</v>
      </c>
      <c r="B36" s="286"/>
      <c r="C36" s="286"/>
      <c r="D36" s="286"/>
    </row>
    <row r="37" spans="1:4" x14ac:dyDescent="0.25">
      <c r="A37" s="286"/>
      <c r="B37" s="286"/>
      <c r="C37" s="286"/>
      <c r="D37" s="286"/>
    </row>
    <row r="38" spans="1:4" x14ac:dyDescent="0.25">
      <c r="A38" s="286"/>
      <c r="B38" s="286"/>
      <c r="C38" s="286"/>
      <c r="D38" s="286"/>
    </row>
    <row r="39" spans="1:4" ht="15.75" customHeight="1" x14ac:dyDescent="0.25">
      <c r="A39" s="288" t="str">
        <f>'Общие данные'!B5</f>
        <v>SHUKUROV OTABEK SHOKIROVICH</v>
      </c>
      <c r="B39" s="288"/>
      <c r="C39" s="288"/>
      <c r="D39" s="11" t="s">
        <v>4</v>
      </c>
    </row>
    <row r="40" spans="1:4" x14ac:dyDescent="0.25">
      <c r="A40" s="10"/>
      <c r="B40" s="10"/>
      <c r="D40" s="12" t="s">
        <v>335</v>
      </c>
    </row>
    <row r="41" spans="1:4" x14ac:dyDescent="0.25">
      <c r="A41" s="286"/>
      <c r="B41" s="286"/>
      <c r="C41" s="286"/>
      <c r="D41" s="286"/>
    </row>
    <row r="42" spans="1:4" x14ac:dyDescent="0.25">
      <c r="A42" s="286"/>
      <c r="B42" s="286"/>
      <c r="C42" s="286"/>
      <c r="D42" s="286"/>
    </row>
    <row r="43" spans="1:4" x14ac:dyDescent="0.25">
      <c r="A43" s="286"/>
      <c r="B43" s="286"/>
      <c r="C43" s="286"/>
      <c r="D43" s="286"/>
    </row>
    <row r="44" spans="1:4" x14ac:dyDescent="0.25">
      <c r="A44" s="286"/>
      <c r="B44" s="286"/>
      <c r="C44" s="286"/>
      <c r="D44" s="286"/>
    </row>
    <row r="45" spans="1:4" x14ac:dyDescent="0.25">
      <c r="A45" s="286"/>
      <c r="B45" s="286"/>
      <c r="C45" s="286"/>
      <c r="D45" s="286"/>
    </row>
    <row r="46" spans="1:4" x14ac:dyDescent="0.25">
      <c r="A46" s="286"/>
      <c r="B46" s="286"/>
      <c r="C46" s="286"/>
      <c r="D46" s="286"/>
    </row>
    <row r="47" spans="1:4" x14ac:dyDescent="0.25">
      <c r="A47" s="286"/>
      <c r="B47" s="286"/>
      <c r="C47" s="286"/>
      <c r="D47" s="286"/>
    </row>
    <row r="48" spans="1:4" x14ac:dyDescent="0.25">
      <c r="A48" s="286"/>
      <c r="B48" s="286"/>
      <c r="C48" s="286"/>
      <c r="D48" s="286"/>
    </row>
    <row r="49" spans="1:4" x14ac:dyDescent="0.25">
      <c r="A49" s="286"/>
      <c r="B49" s="286"/>
      <c r="C49" s="286"/>
      <c r="D49" s="286"/>
    </row>
    <row r="50" spans="1:4" x14ac:dyDescent="0.25">
      <c r="A50" s="286"/>
      <c r="B50" s="286"/>
      <c r="C50" s="286"/>
      <c r="D50" s="286"/>
    </row>
    <row r="51" spans="1:4" x14ac:dyDescent="0.25">
      <c r="A51" s="286"/>
      <c r="B51" s="286"/>
      <c r="C51" s="286"/>
      <c r="D51" s="286"/>
    </row>
    <row r="52" spans="1:4" x14ac:dyDescent="0.25">
      <c r="A52" s="286"/>
      <c r="B52" s="286"/>
      <c r="C52" s="286"/>
      <c r="D52" s="286"/>
    </row>
    <row r="53" spans="1:4" x14ac:dyDescent="0.25">
      <c r="A53" s="286"/>
      <c r="B53" s="286"/>
      <c r="C53" s="286"/>
      <c r="D53" s="286"/>
    </row>
    <row r="54" spans="1:4" x14ac:dyDescent="0.25">
      <c r="A54" s="286"/>
      <c r="B54" s="286"/>
      <c r="C54" s="286"/>
      <c r="D54" s="286"/>
    </row>
    <row r="55" spans="1:4" x14ac:dyDescent="0.25">
      <c r="A55" s="286"/>
      <c r="B55" s="286"/>
      <c r="C55" s="286"/>
      <c r="D55" s="286"/>
    </row>
    <row r="56" spans="1:4" x14ac:dyDescent="0.25">
      <c r="A56" s="286"/>
      <c r="B56" s="286"/>
      <c r="C56" s="286"/>
      <c r="D56" s="286"/>
    </row>
    <row r="57" spans="1:4" x14ac:dyDescent="0.25">
      <c r="A57" s="286"/>
      <c r="B57" s="286"/>
      <c r="C57" s="286"/>
      <c r="D57" s="286"/>
    </row>
    <row r="58" spans="1:4" x14ac:dyDescent="0.25">
      <c r="A58" s="286"/>
      <c r="B58" s="286"/>
      <c r="C58" s="286"/>
      <c r="D58" s="286"/>
    </row>
    <row r="59" spans="1:4" x14ac:dyDescent="0.25">
      <c r="A59" s="286"/>
      <c r="B59" s="286"/>
      <c r="C59" s="286"/>
      <c r="D59" s="286"/>
    </row>
    <row r="60" spans="1:4" x14ac:dyDescent="0.25">
      <c r="A60" s="286"/>
      <c r="B60" s="286"/>
      <c r="C60" s="286"/>
      <c r="D60" s="286"/>
    </row>
    <row r="61" spans="1:4" x14ac:dyDescent="0.25">
      <c r="A61" s="286"/>
      <c r="B61" s="286"/>
      <c r="C61" s="286"/>
      <c r="D61" s="286"/>
    </row>
    <row r="62" spans="1:4" x14ac:dyDescent="0.25">
      <c r="A62" s="286"/>
      <c r="B62" s="286"/>
      <c r="C62" s="286"/>
      <c r="D62" s="286"/>
    </row>
    <row r="63" spans="1:4" x14ac:dyDescent="0.25">
      <c r="A63" s="286"/>
      <c r="B63" s="286"/>
      <c r="C63" s="286"/>
      <c r="D63" s="286"/>
    </row>
    <row r="64" spans="1:4" x14ac:dyDescent="0.25">
      <c r="A64" s="286"/>
      <c r="B64" s="286"/>
      <c r="C64" s="286"/>
      <c r="D64" s="286"/>
    </row>
    <row r="65" spans="1:4" x14ac:dyDescent="0.25">
      <c r="A65" s="286"/>
      <c r="B65" s="286"/>
      <c r="C65" s="286"/>
      <c r="D65" s="286"/>
    </row>
    <row r="66" spans="1:4" x14ac:dyDescent="0.25">
      <c r="A66" s="286"/>
      <c r="B66" s="286"/>
      <c r="C66" s="286"/>
      <c r="D66" s="286"/>
    </row>
    <row r="67" spans="1:4" x14ac:dyDescent="0.25">
      <c r="A67" s="286"/>
      <c r="B67" s="286"/>
      <c r="C67" s="286"/>
      <c r="D67" s="286"/>
    </row>
    <row r="68" spans="1:4" x14ac:dyDescent="0.25">
      <c r="A68" s="286"/>
      <c r="B68" s="286"/>
      <c r="C68" s="286"/>
      <c r="D68" s="286"/>
    </row>
    <row r="69" spans="1:4" x14ac:dyDescent="0.25">
      <c r="A69" s="286"/>
      <c r="B69" s="286"/>
      <c r="C69" s="286"/>
      <c r="D69" s="286"/>
    </row>
    <row r="70" spans="1:4" x14ac:dyDescent="0.25">
      <c r="A70" s="286"/>
      <c r="B70" s="286"/>
      <c r="C70" s="286"/>
      <c r="D70" s="286"/>
    </row>
    <row r="71" spans="1:4" x14ac:dyDescent="0.25">
      <c r="A71" s="286"/>
      <c r="B71" s="286"/>
      <c r="C71" s="286"/>
      <c r="D71" s="286"/>
    </row>
    <row r="72" spans="1:4" x14ac:dyDescent="0.25">
      <c r="A72" s="286"/>
      <c r="B72" s="286"/>
      <c r="C72" s="286"/>
      <c r="D72" s="286"/>
    </row>
    <row r="73" spans="1:4" x14ac:dyDescent="0.25">
      <c r="A73" s="286"/>
      <c r="B73" s="286"/>
      <c r="C73" s="286"/>
      <c r="D73" s="286"/>
    </row>
    <row r="74" spans="1:4" x14ac:dyDescent="0.25">
      <c r="A74" s="286"/>
      <c r="B74" s="286"/>
      <c r="C74" s="286"/>
      <c r="D74" s="286"/>
    </row>
    <row r="75" spans="1:4" x14ac:dyDescent="0.25">
      <c r="A75" s="286"/>
      <c r="B75" s="286"/>
      <c r="C75" s="286"/>
      <c r="D75" s="286"/>
    </row>
    <row r="76" spans="1:4" x14ac:dyDescent="0.25">
      <c r="A76" s="286"/>
      <c r="B76" s="286"/>
      <c r="C76" s="286"/>
      <c r="D76" s="286"/>
    </row>
    <row r="77" spans="1:4" x14ac:dyDescent="0.25">
      <c r="A77" s="286"/>
      <c r="B77" s="286"/>
      <c r="C77" s="286"/>
      <c r="D77" s="286"/>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9" sqref="A9"/>
    </sheetView>
  </sheetViews>
  <sheetFormatPr defaultRowHeight="15" x14ac:dyDescent="0.25"/>
  <cols>
    <col min="1" max="1" width="54.42578125" style="15" customWidth="1"/>
    <col min="2" max="2" width="32.28515625" style="15" customWidth="1"/>
  </cols>
  <sheetData>
    <row r="3" spans="1:2" ht="35.25" customHeight="1" x14ac:dyDescent="0.25">
      <c r="A3" s="289" t="s">
        <v>217</v>
      </c>
      <c r="B3" s="289"/>
    </row>
    <row r="4" spans="1:2" ht="92.25" customHeight="1" x14ac:dyDescent="0.25">
      <c r="A4" s="227"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SHUKUROV OTABEK SHOKIROVICH «CLEVER MIKROMOLIYA TASHKILOTI» MChJ bilan 6 mart 2025 y. sanasidagi №544-QR-sonli shartnomaning garov ta'minoti sifatida taqdim etilayotgan mulk COBALT rusumli avtotransport vositasini qonunga xilof ravishda o‘zlashtirmaslikka, yashirmaslikka, nobud qilmaslikka yoki unga shikast yetkazmaslik majburiyatini olaman.</v>
      </c>
      <c r="B4" s="227"/>
    </row>
    <row r="5" spans="1:2" ht="56.25" customHeight="1" x14ac:dyDescent="0.25">
      <c r="A5" s="290" t="s">
        <v>218</v>
      </c>
      <c r="B5" s="290"/>
    </row>
    <row r="6" spans="1:2" ht="42.75" customHeight="1" x14ac:dyDescent="0.25"/>
    <row r="7" spans="1:2" x14ac:dyDescent="0.25">
      <c r="A7" s="15" t="str">
        <f>'Общие данные'!B5</f>
        <v>SHUKUROV OTABEK SHOKIROVICH</v>
      </c>
      <c r="B7" s="137" t="s">
        <v>219</v>
      </c>
    </row>
    <row r="8" spans="1:2" ht="26.25" customHeight="1" x14ac:dyDescent="0.25"/>
    <row r="9" spans="1:2" ht="26.25" customHeight="1" x14ac:dyDescent="0.25"/>
    <row r="10" spans="1:2" ht="26.25" customHeight="1" x14ac:dyDescent="0.25"/>
    <row r="11" spans="1:2" x14ac:dyDescent="0.25">
      <c r="A11" s="15" t="str">
        <f>"sana:   "&amp;TEXT('Общие данные'!B2,"ДД.ММ.ГГГГ")&amp;" y."</f>
        <v>sana:   06.03.2025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view="pageBreakPreview" topLeftCell="A16" zoomScaleSheetLayoutView="100" workbookViewId="0">
      <selection activeCell="A25" sqref="A25:XFD25"/>
    </sheetView>
  </sheetViews>
  <sheetFormatPr defaultColWidth="9.140625" defaultRowHeight="15" outlineLevelRow="1" x14ac:dyDescent="0.25"/>
  <cols>
    <col min="1" max="1" width="23.7109375" style="15" customWidth="1"/>
    <col min="2" max="5" width="17" style="15" customWidth="1"/>
    <col min="6" max="16384" width="9.140625" style="15"/>
  </cols>
  <sheetData>
    <row r="1" spans="1:5" ht="36" customHeight="1" x14ac:dyDescent="0.25">
      <c r="A1" s="254" t="str">
        <f>""&amp;'Общие данные'!B147&amp;"
mikromoliya tashkilotining Xulosasi"</f>
        <v>«CLEVER MIKROMOLIYA TASHKILOTI» MChJ
mikromoliya tashkilotining Xulosasi</v>
      </c>
      <c r="B1" s="254"/>
      <c r="C1" s="254"/>
      <c r="D1" s="254"/>
      <c r="E1" s="254"/>
    </row>
    <row r="2" spans="1:5" x14ac:dyDescent="0.25">
      <c r="A2" s="227"/>
      <c r="B2" s="227"/>
      <c r="C2" s="227"/>
      <c r="D2" s="227"/>
      <c r="E2" s="227"/>
    </row>
    <row r="3" spans="1:5" x14ac:dyDescent="0.25">
      <c r="A3" s="254" t="s">
        <v>206</v>
      </c>
      <c r="B3" s="254"/>
      <c r="C3" s="254"/>
      <c r="D3" s="254"/>
      <c r="E3" s="254"/>
    </row>
    <row r="4" spans="1:5" x14ac:dyDescent="0.25">
      <c r="A4" s="227" t="str">
        <f>"Mijozning to'liq ismi sharifi: "&amp;'Общие данные'!B5&amp;""</f>
        <v>Mijozning to'liq ismi sharifi: SHUKUROV OTABEK SHOKIROVICH</v>
      </c>
      <c r="B4" s="227"/>
      <c r="C4" s="227"/>
      <c r="D4" s="227"/>
      <c r="E4" s="227"/>
    </row>
    <row r="5" spans="1:5" x14ac:dyDescent="0.25">
      <c r="A5" s="227" t="str">
        <f>"Tug'ilgan sanasi: "&amp;'Общие данные'!B15&amp;""</f>
        <v>Tug'ilgan sanasi: 04.09.1986y</v>
      </c>
      <c r="B5" s="227"/>
      <c r="C5" s="227"/>
      <c r="D5" s="227"/>
      <c r="E5" s="227"/>
    </row>
    <row r="6" spans="1:5" ht="31.5" customHeight="1" x14ac:dyDescent="0.25">
      <c r="A6" s="227" t="str">
        <f>"Pasport seriyasi "&amp;'Общие данные'!B16&amp;" "&amp;'Общие данные'!B20&amp;", amal qilish muddati - "&amp;'Общие данные'!B21&amp;""</f>
        <v>Pasport seriyasi AD9358147 IIV 6230 tomonidan 11.11.2024 yilda berilgan, amal qilish muddati - 10.11.2034 y.</v>
      </c>
      <c r="B6" s="227"/>
      <c r="C6" s="227"/>
      <c r="D6" s="227"/>
      <c r="E6" s="227"/>
    </row>
    <row r="7" spans="1:5" ht="48" customHeight="1" x14ac:dyDescent="0.25">
      <c r="A7" s="227" t="str">
        <f>"Ro‘yxatdan o‘tgan manzili: "&amp;'Общие данные'!B28&amp;", mo'ljal: "&amp;'Общие данные'!B26&amp;""</f>
        <v>Ro‘yxatdan o‘tgan manzili: BUXORO VILOYATI QORAKO'L TUMANI JIG'ACHI MFY , mo'ljal: 30-MAKTAB</v>
      </c>
      <c r="B7" s="227"/>
      <c r="C7" s="227"/>
      <c r="D7" s="227"/>
      <c r="E7" s="227"/>
    </row>
    <row r="8" spans="1:5" ht="23.25" customHeight="1" x14ac:dyDescent="0.25">
      <c r="A8" s="227" t="str">
        <f>"Ish joyi: "&amp;'Общие данные'!B52&amp;" lavozimi "&amp;'Общие данные'!B49&amp;"da "&amp;'Общие данные'!B44&amp;""</f>
        <v>Ish joyi:  lavozimi Yakka tartibdagi tadbirkorda Yakka tartibdagi tadbirkor</v>
      </c>
      <c r="B8" s="227"/>
      <c r="C8" s="227"/>
      <c r="D8" s="227"/>
      <c r="E8" s="227"/>
    </row>
    <row r="9" spans="1:5" x14ac:dyDescent="0.25">
      <c r="A9" s="227"/>
      <c r="B9" s="227"/>
      <c r="C9" s="227"/>
      <c r="D9" s="227"/>
      <c r="E9" s="227"/>
    </row>
    <row r="10" spans="1:5" x14ac:dyDescent="0.25">
      <c r="A10" s="254" t="str">
        <f>"Mijoz tomonidan so’ralgan "&amp;'Общие данные'!B65&amp;" shartlari:"</f>
        <v>Mijoz tomonidan so’ralgan mikroqarz shartlari:</v>
      </c>
      <c r="B10" s="254"/>
      <c r="C10" s="254"/>
      <c r="D10" s="254"/>
      <c r="E10" s="254"/>
    </row>
    <row r="11" spans="1:5" x14ac:dyDescent="0.25">
      <c r="A11" s="227" t="str">
        <f>'Кредитная заявка'!A13:D13</f>
        <v>Mikroqarz summasi: 40 000 000,00 (qirq million so'm) so'm.</v>
      </c>
      <c r="B11" s="227"/>
      <c r="C11" s="227"/>
      <c r="D11" s="227"/>
      <c r="E11" s="227"/>
    </row>
    <row r="12" spans="1:5" x14ac:dyDescent="0.25">
      <c r="A12" s="227" t="str">
        <f>'Кредитная заявка'!A14:D14</f>
        <v>Mikroqarz muddati: 30 (o'ttiz ) oy.</v>
      </c>
      <c r="B12" s="227"/>
      <c r="C12" s="227"/>
      <c r="D12" s="227"/>
      <c r="E12" s="227"/>
    </row>
    <row r="13" spans="1:5" x14ac:dyDescent="0.25">
      <c r="A13" s="227" t="str">
        <f>'Кредитная заявка'!A15:D15</f>
        <v>Mikroqarzdan foydalanganlik uchun foiz stavkasi: yillik  60% (Oltmish) foiz</v>
      </c>
      <c r="B13" s="227"/>
      <c r="C13" s="227"/>
      <c r="D13" s="227"/>
      <c r="E13" s="227"/>
    </row>
    <row r="14" spans="1:5" x14ac:dyDescent="0.25">
      <c r="A14" s="227" t="str">
        <f>'Кредитная заявка'!A16:D16</f>
        <v>Mikroqarz bo'yicha asosiy qarz va foizlarni to'lash:</v>
      </c>
      <c r="B14" s="227"/>
      <c r="C14" s="227"/>
      <c r="D14" s="227"/>
      <c r="E14" s="227"/>
    </row>
    <row r="15" spans="1:5" ht="18.75" customHeight="1" x14ac:dyDescent="0.25">
      <c r="A15" s="227" t="str">
        <f>'Кредитная заявка'!A19:D19</f>
        <v xml:space="preserve"> - mikroqarz shartnomasi bo'yicha har oy differensial to'lovlari amalga oshiriladi</v>
      </c>
      <c r="B15" s="227"/>
      <c r="C15" s="227"/>
      <c r="D15" s="227"/>
      <c r="E15" s="227"/>
    </row>
    <row r="16" spans="1:5" ht="14.25" customHeight="1" x14ac:dyDescent="0.25">
      <c r="A16" s="230" t="str">
        <f>'Кредитная заявка'!A20:D20</f>
        <v xml:space="preserve">   </v>
      </c>
      <c r="B16" s="230"/>
      <c r="C16" s="230"/>
      <c r="D16" s="230"/>
      <c r="E16" s="230"/>
    </row>
    <row r="17" spans="1:5" x14ac:dyDescent="0.25">
      <c r="A17" s="227" t="str">
        <f>'Кредитная заявка'!A21:D21</f>
        <v>Mikroqarz ta’minoti::</v>
      </c>
      <c r="B17" s="227"/>
      <c r="C17" s="227"/>
      <c r="D17" s="227"/>
      <c r="E17" s="227"/>
    </row>
    <row r="18" spans="1:5" ht="67.5" customHeight="1" x14ac:dyDescent="0.25">
      <c r="A18" s="227" t="str">
        <f>'Кредитная заявка'!A22:D22</f>
        <v xml:space="preserve">  Egalik huquqi SHUKUROV SHOKIR ABDIKARIMOVICHga tegishli bo'lgan garovga olingan avtomobil markasi   COBALT, rangi -  OQ OLIMPIYSKAYA BELAYA, ishlab chiqarilgan yili - 2016, davlat raqam belgisi 80J851UA, kuzov turi - YENGIL SEDAN, kuzov raqami XWBJF69VEGA010899, dvigatel raqami B15D211163492DJX0086, shassi raqami - RAKAMSIZ</v>
      </c>
      <c r="B18" s="227"/>
      <c r="C18" s="227"/>
      <c r="D18" s="227"/>
      <c r="E18" s="227"/>
    </row>
    <row r="19" spans="1:5" x14ac:dyDescent="0.25">
      <c r="A19" s="254" t="s">
        <v>207</v>
      </c>
      <c r="B19" s="254"/>
      <c r="C19" s="254"/>
      <c r="D19" s="254"/>
      <c r="E19" s="254"/>
    </row>
    <row r="20" spans="1:5" ht="21" customHeight="1" x14ac:dyDescent="0.25">
      <c r="A20" s="227" t="str">
        <f>"Anketaga muvofiq "&amp;'Общие данные'!B9&amp;"ning o‘rtacha oylik daromadi  "&amp;FIXED('Общие данные'!B60)&amp;" so‘mni tashkil etdi."</f>
        <v>Anketaga muvofiq SHUKUROV O.SHning o‘rtacha oylik daromadi  13 500 000,00 so‘mni tashkil etdi.</v>
      </c>
      <c r="B20" s="227"/>
      <c r="C20" s="227"/>
      <c r="D20" s="227"/>
      <c r="E20" s="227"/>
    </row>
    <row r="21" spans="1:5" ht="21" customHeight="1" x14ac:dyDescent="0.25">
      <c r="A21" s="227" t="str">
        <f>"Mijozning o'rtacha oylik xarajatlari "&amp;FIXED('Анкета Клиента'!F27)&amp;" so'mni tashkil etdi"</f>
        <v>Mijozning o'rtacha oylik xarajatlari 1 650 000,00 so'mni tashkil etdi</v>
      </c>
      <c r="B21" s="227"/>
      <c r="C21" s="227"/>
      <c r="D21" s="227"/>
      <c r="E21" s="227"/>
    </row>
    <row r="22" spans="1:5" ht="17.25" customHeight="1" x14ac:dyDescent="0.25">
      <c r="A22" s="227" t="str">
        <f>IF('Общие данные'!B77='Общие данные'!C77,'Заключение КК'!A23:E23,'Заключение КК'!A24:E24)</f>
        <v>Mikroqarz shartnomasi bo'yicha birinchi oy uchun to'lov 3 634 703,03 so'mni tashkil etadi.</v>
      </c>
      <c r="B22" s="227"/>
      <c r="C22" s="227"/>
      <c r="D22" s="227"/>
      <c r="E22" s="227"/>
    </row>
    <row r="23" spans="1:5" ht="21" hidden="1" customHeight="1" x14ac:dyDescent="0.25">
      <c r="A23" s="227" t="str">
        <f>""&amp;'Общие данные'!C64&amp;" shartnomasi bo'yicha birinchi oy uchun to'lov "&amp;FIXED('Общие данные'!B90)&amp;" so'mni tashkil etadi."</f>
        <v>Mikroqarz shartnomasi bo'yicha birinchi oy uchun to'lov 3 634 703,03 so'mni tashkil etadi.</v>
      </c>
      <c r="B23" s="227"/>
      <c r="C23" s="227"/>
      <c r="D23" s="227"/>
      <c r="E23" s="227"/>
    </row>
    <row r="24" spans="1:5" ht="19.5" hidden="1" customHeight="1" x14ac:dyDescent="0.25">
      <c r="A24" s="227" t="str">
        <f>""&amp;'Общие данные'!C64&amp;" bo‘yicha oylik "&amp;'Общие данные'!B77&amp;" to‘lovi miqdori "&amp;FIXED('Общие данные'!B90)&amp;" so‘mni tashkil etadi."</f>
        <v>Mikroqarz bo‘yicha oylik differensial to‘lovi miqdori 3 634 703,03 so‘mni tashkil etadi.</v>
      </c>
      <c r="B24" s="227"/>
      <c r="C24" s="227"/>
      <c r="D24" s="227"/>
      <c r="E24" s="227"/>
    </row>
    <row r="25" spans="1:5" ht="48.75" customHeight="1" x14ac:dyDescent="0.25">
      <c r="A25" s="230" t="s">
        <v>434</v>
      </c>
      <c r="B25" s="230"/>
      <c r="C25" s="230"/>
      <c r="D25" s="230"/>
      <c r="E25" s="230"/>
    </row>
    <row r="26" spans="1:5" x14ac:dyDescent="0.25">
      <c r="A26" s="254" t="str">
        <f>""&amp;'Общие данные'!C64&amp;" bo’yicha ta’minot:"</f>
        <v>Mikroqarz bo’yicha ta’minot:</v>
      </c>
      <c r="B26" s="254"/>
      <c r="C26" s="254"/>
      <c r="D26" s="254"/>
      <c r="E26" s="254"/>
    </row>
    <row r="27" spans="1:5" ht="31.5" hidden="1" customHeight="1" x14ac:dyDescent="0.25">
      <c r="A27" s="227" t="str">
        <f>" - "&amp;'Общие данные'!B117&amp;" ga mulk huquqi asosida tegishli avtotransport vositasi "&amp;'Общие данные'!B125&amp;" , quyidagi tafsilotlarga muvofiq:"</f>
        <v xml:space="preserve"> - SHUKUROV SHOKIR ABDIKARIMOVICH ga mulk huquqi asosida tegishli avtotransport vositasi COBALT , quyidagi tafsilotlarga muvofiq:</v>
      </c>
      <c r="B27" s="227"/>
      <c r="C27" s="227"/>
      <c r="D27" s="227"/>
      <c r="E27" s="227"/>
    </row>
    <row r="28" spans="1:5" ht="67.5" hidden="1" customHeight="1" x14ac:dyDescent="0.25">
      <c r="A28" s="227" t="str">
        <f>" -   "&amp;'Общие данные'!C117&amp;" ga mulk huquqi asosida tegishli ko'chmas mulk shaklida "&amp;'Общие данные'!C126&amp;", manzili: "&amp;'Общие данные'!C123&amp;",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27"/>
      <c r="C28" s="227"/>
      <c r="D28" s="227"/>
      <c r="E28" s="227"/>
    </row>
    <row r="29" spans="1:5" ht="44.25" customHeight="1" x14ac:dyDescent="0.25">
      <c r="A29" s="227" t="str">
        <f>IF('Общие данные'!B103="Avtotransport",'Заключение КК'!A27:E27,'Заключение КК'!A28:E28)</f>
        <v xml:space="preserve"> - SHUKUROV SHOKIR ABDIKARIMOVICH ga mulk huquqi asosida tegishli avtotransport vositasi COBALT , quyidagi tafsilotlarga muvofiq:</v>
      </c>
      <c r="B29" s="227"/>
      <c r="C29" s="227"/>
      <c r="D29" s="227"/>
      <c r="E29" s="227"/>
    </row>
    <row r="30" spans="1:5" s="16" customFormat="1" ht="47.25" customHeight="1" outlineLevel="1" x14ac:dyDescent="0.25">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x14ac:dyDescent="0.25">
      <c r="A31" s="17" t="str">
        <f>'Акт согласования'!A30</f>
        <v>COBALT</v>
      </c>
      <c r="B31" s="17" t="str">
        <f>'Акт согласования'!B30</f>
        <v>kuzov turi - YENGIL SEDAN, kuzov raqami XWBJF69VEGA010899</v>
      </c>
      <c r="C31" s="17" t="str">
        <f>'Акт согласования'!C30</f>
        <v>dvigatel raqami B15D211163492DJX0086, shassi raqami - RAKAMSIZ</v>
      </c>
      <c r="D31" s="17" t="str">
        <f>'Акт согласования'!D30</f>
        <v>rangi -  OQ OLIMPIYSKAYA BELAYA, ishlab chiqarilgan yili - 2016</v>
      </c>
      <c r="E31" s="17" t="str">
        <f>'Акт согласования'!E30</f>
        <v>60 000 000,00 
(oltmish million so'm)</v>
      </c>
    </row>
    <row r="32" spans="1:5" ht="15.75" customHeight="1" outlineLevel="1" x14ac:dyDescent="0.25">
      <c r="A32" s="227" t="str">
        <f>'Акт согласования'!A22</f>
        <v>-* avtotransport egasi: SHUKUROV SHOKIR ABDIKARIMOVICH</v>
      </c>
      <c r="B32" s="227"/>
      <c r="C32" s="227"/>
      <c r="D32" s="227"/>
      <c r="E32" s="227"/>
    </row>
    <row r="33" spans="1:5" ht="15" customHeight="1" outlineLevel="1" x14ac:dyDescent="0.25">
      <c r="A33" s="227" t="str">
        <f>'Акт согласования'!A23</f>
        <v>-* texnik pasport: AAG 0819754 24.01.2023y.</v>
      </c>
      <c r="B33" s="227"/>
      <c r="C33" s="227"/>
      <c r="D33" s="227"/>
      <c r="E33" s="227"/>
    </row>
    <row r="34" spans="1:5" ht="33" customHeight="1" outlineLevel="1" x14ac:dyDescent="0.25">
      <c r="A34" s="227" t="str">
        <f>'Акт согласования'!A24</f>
        <v xml:space="preserve">-* roʻyxatdan oʻtgan manzili/garaj manzili: QORAKO'L TUMANI JIG'ACHI MFY </v>
      </c>
      <c r="B34" s="227"/>
      <c r="C34" s="227"/>
      <c r="D34" s="227"/>
      <c r="E34" s="227"/>
    </row>
    <row r="35" spans="1:5" ht="15" customHeight="1" outlineLevel="1" x14ac:dyDescent="0.25">
      <c r="A35" s="227" t="str">
        <f>'Акт согласования'!A25</f>
        <v>-* davlat raqami: 80J851UA</v>
      </c>
      <c r="B35" s="227"/>
      <c r="C35" s="227"/>
      <c r="D35" s="227"/>
      <c r="E35" s="227"/>
    </row>
    <row r="36" spans="1:5" ht="9" customHeight="1" x14ac:dyDescent="0.25">
      <c r="A36" s="227"/>
      <c r="B36" s="227"/>
      <c r="C36" s="227"/>
      <c r="D36" s="227"/>
      <c r="E36" s="227"/>
    </row>
    <row r="37" spans="1:5" ht="39" customHeight="1" x14ac:dyDescent="0.25">
      <c r="A37" s="254" t="str">
        <f>""&amp;'Общие данные'!B147&amp;"
mikromoliya tashkilotining Xulosasi"</f>
        <v>«CLEVER MIKROMOLIYA TASHKILOTI» MChJ
mikromoliya tashkilotining Xulosasi</v>
      </c>
      <c r="B37" s="254"/>
      <c r="C37" s="254"/>
      <c r="D37" s="254"/>
      <c r="E37" s="254"/>
    </row>
    <row r="38" spans="1:5" ht="48" customHeight="1" x14ac:dyDescent="0.25">
      <c r="A38" s="227" t="str">
        <f>""&amp;'Общие данные'!B147&amp;" kredit qo‘mitasining xulosasiga quyidagi shartlarda "&amp;'Общие данные'!B10&amp;"ga "&amp;'Общие данные'!B65&amp;" berish masalasi kiritiladi:"</f>
        <v>«CLEVER MIKROMOLIYA TASHKILOTI» MChJ kredit qo‘mitasining xulosasiga quyidagi shartlarda SHUKUROV OTABEK SHOKIROVICHga mikroqarz berish masalasi kiritiladi:</v>
      </c>
      <c r="B38" s="227"/>
      <c r="C38" s="227"/>
      <c r="D38" s="227"/>
      <c r="E38" s="227"/>
    </row>
    <row r="39" spans="1:5" x14ac:dyDescent="0.25">
      <c r="A39" s="227" t="str">
        <f>A11</f>
        <v>Mikroqarz summasi: 40 000 000,00 (qirq million so'm) so'm.</v>
      </c>
      <c r="B39" s="227"/>
      <c r="C39" s="227"/>
      <c r="D39" s="227"/>
      <c r="E39" s="227"/>
    </row>
    <row r="40" spans="1:5" x14ac:dyDescent="0.25">
      <c r="A40" s="227" t="str">
        <f t="shared" ref="A40:A46" si="0">A12</f>
        <v>Mikroqarz muddati: 30 (o'ttiz ) oy.</v>
      </c>
      <c r="B40" s="227"/>
      <c r="C40" s="227"/>
      <c r="D40" s="227"/>
      <c r="E40" s="227"/>
    </row>
    <row r="41" spans="1:5" x14ac:dyDescent="0.25">
      <c r="A41" s="227" t="str">
        <f t="shared" si="0"/>
        <v>Mikroqarzdan foydalanganlik uchun foiz stavkasi: yillik  60% (Oltmish) foiz</v>
      </c>
      <c r="B41" s="227"/>
      <c r="C41" s="227"/>
      <c r="D41" s="227"/>
      <c r="E41" s="227"/>
    </row>
    <row r="42" spans="1:5" x14ac:dyDescent="0.25">
      <c r="A42" s="227" t="str">
        <f t="shared" si="0"/>
        <v>Mikroqarz bo'yicha asosiy qarz va foizlarni to'lash:</v>
      </c>
      <c r="B42" s="227"/>
      <c r="C42" s="227"/>
      <c r="D42" s="227"/>
      <c r="E42" s="227"/>
    </row>
    <row r="43" spans="1:5" ht="20.25" customHeight="1" x14ac:dyDescent="0.25">
      <c r="A43" s="227" t="str">
        <f t="shared" si="0"/>
        <v xml:space="preserve"> - mikroqarz shartnomasi bo'yicha har oy differensial to'lovlari amalga oshiriladi</v>
      </c>
      <c r="B43" s="227"/>
      <c r="C43" s="227"/>
      <c r="D43" s="227"/>
      <c r="E43" s="227"/>
    </row>
    <row r="44" spans="1:5" ht="26.25" customHeight="1" x14ac:dyDescent="0.25">
      <c r="A44" s="227" t="str">
        <f t="shared" si="0"/>
        <v xml:space="preserve">   </v>
      </c>
      <c r="B44" s="227"/>
      <c r="C44" s="227"/>
      <c r="D44" s="227"/>
      <c r="E44" s="227"/>
    </row>
    <row r="45" spans="1:5" x14ac:dyDescent="0.25">
      <c r="A45" s="227" t="str">
        <f t="shared" si="0"/>
        <v>Mikroqarz ta’minoti::</v>
      </c>
      <c r="B45" s="227"/>
      <c r="C45" s="227"/>
      <c r="D45" s="227"/>
      <c r="E45" s="227"/>
    </row>
    <row r="46" spans="1:5" ht="72" customHeight="1" x14ac:dyDescent="0.25">
      <c r="A46" s="227" t="str">
        <f t="shared" si="0"/>
        <v xml:space="preserve">  Egalik huquqi SHUKUROV SHOKIR ABDIKARIMOVICHga tegishli bo'lgan garovga olingan avtomobil markasi   COBALT, rangi -  OQ OLIMPIYSKAYA BELAYA, ishlab chiqarilgan yili - 2016, davlat raqam belgisi 80J851UA, kuzov turi - YENGIL SEDAN, kuzov raqami XWBJF69VEGA010899, dvigatel raqami B15D211163492DJX0086, shassi raqami - RAKAMSIZ</v>
      </c>
      <c r="B46" s="227"/>
      <c r="C46" s="227"/>
      <c r="D46" s="227"/>
      <c r="E46" s="227"/>
    </row>
    <row r="47" spans="1:5" x14ac:dyDescent="0.25">
      <c r="A47" s="227"/>
      <c r="B47" s="227"/>
      <c r="C47" s="227"/>
      <c r="D47" s="227"/>
      <c r="E47" s="227"/>
    </row>
    <row r="48" spans="1:5" ht="36.75" customHeight="1" x14ac:dyDescent="0.25">
      <c r="A48" s="227" t="str">
        <f>""&amp;'Общие данные'!B147&amp;" mikromoliya tashkilotining xulosasi  "&amp;TEXT('Общие данные'!B2,"ДД.ММ.ГГГГ")&amp;" y. tayyorlangan"</f>
        <v>«CLEVER MIKROMOLIYA TASHKILOTI» MChJ mikromoliya tashkilotining xulosasi  06.03.2025 y. tayyorlangan</v>
      </c>
      <c r="B48" s="227"/>
      <c r="C48" s="227"/>
      <c r="D48" s="227"/>
      <c r="E48" s="227"/>
    </row>
    <row r="49" spans="1:5" x14ac:dyDescent="0.25">
      <c r="A49" s="227"/>
      <c r="B49" s="227"/>
      <c r="C49" s="227"/>
      <c r="D49" s="227"/>
      <c r="E49" s="227"/>
    </row>
    <row r="50" spans="1:5" ht="15.75" customHeight="1" x14ac:dyDescent="0.25">
      <c r="A50" s="230"/>
      <c r="B50" s="230"/>
      <c r="C50" s="230"/>
      <c r="D50" s="22"/>
      <c r="E50" s="23"/>
    </row>
    <row r="51" spans="1:5" ht="35.25" customHeight="1" x14ac:dyDescent="0.25">
      <c r="A51" s="230" t="str">
        <f>'Общие данные'!A161</f>
        <v>Qorako'l filiali boshlig'i</v>
      </c>
      <c r="B51" s="230"/>
      <c r="C51" s="230"/>
      <c r="D51" s="23"/>
      <c r="E51" s="23" t="str">
        <f>'Общие данные'!B161</f>
        <v>Egamberdiyeva D.I.</v>
      </c>
    </row>
    <row r="52" spans="1:5" x14ac:dyDescent="0.25">
      <c r="A52" s="227"/>
      <c r="B52" s="227"/>
      <c r="C52" s="227"/>
      <c r="D52" s="227"/>
      <c r="E52" s="227"/>
    </row>
    <row r="53" spans="1:5" ht="47.25" customHeight="1" x14ac:dyDescent="0.25">
      <c r="A53" s="227" t="str">
        <f>""&amp;'Общие данные'!B147&amp;" mikromoliya tashkilotining Kredit qo‘mitasi a’zolari "&amp;'Общие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3" s="227"/>
      <c r="C53" s="227"/>
      <c r="D53" s="227"/>
      <c r="E53" s="227"/>
    </row>
    <row r="54" spans="1:5" x14ac:dyDescent="0.25">
      <c r="A54" s="19"/>
      <c r="B54" s="19"/>
      <c r="C54" s="19"/>
      <c r="D54" s="19"/>
      <c r="E54" s="19"/>
    </row>
    <row r="55" spans="1:5" x14ac:dyDescent="0.25">
      <c r="A55" s="230" t="s">
        <v>395</v>
      </c>
      <c r="B55" s="230"/>
      <c r="C55" s="19"/>
      <c r="D55" s="19"/>
      <c r="E55" s="19"/>
    </row>
    <row r="56" spans="1:5" x14ac:dyDescent="0.25">
      <c r="A56" s="19"/>
      <c r="B56" s="19"/>
      <c r="C56" s="19"/>
      <c r="D56" s="19"/>
      <c r="E56" s="19"/>
    </row>
    <row r="57" spans="1:5" x14ac:dyDescent="0.25">
      <c r="A57" s="230" t="str">
        <f>'Общие данные'!B160</f>
        <v>Jumanazarov B.T.</v>
      </c>
      <c r="B57" s="230"/>
      <c r="C57" s="22"/>
      <c r="D57" s="22"/>
      <c r="E57" s="22"/>
    </row>
    <row r="58" spans="1:5" x14ac:dyDescent="0.25">
      <c r="A58" s="53"/>
      <c r="B58" s="53"/>
      <c r="C58" s="22"/>
      <c r="D58" s="22"/>
      <c r="E58" s="22"/>
    </row>
    <row r="59" spans="1:5" ht="21" customHeight="1" x14ac:dyDescent="0.25">
      <c r="A59" s="227" t="str">
        <f>'Общие данные'!B159</f>
        <v>Mominov B.X.</v>
      </c>
      <c r="B59" s="227"/>
      <c r="C59" s="227"/>
      <c r="D59" s="227"/>
      <c r="E59" s="227"/>
    </row>
  </sheetData>
  <mergeCells count="54">
    <mergeCell ref="A53:E53"/>
    <mergeCell ref="A59:E59"/>
    <mergeCell ref="A38:E38"/>
    <mergeCell ref="A39:E39"/>
    <mergeCell ref="A40:E40"/>
    <mergeCell ref="A41:E41"/>
    <mergeCell ref="A42:E42"/>
    <mergeCell ref="A43:E43"/>
    <mergeCell ref="A44:E44"/>
    <mergeCell ref="A45:E45"/>
    <mergeCell ref="A46:E46"/>
    <mergeCell ref="A47:E47"/>
    <mergeCell ref="A55:B55"/>
    <mergeCell ref="A57:B57"/>
    <mergeCell ref="A48:E48"/>
    <mergeCell ref="A49:E49"/>
    <mergeCell ref="A52:E52"/>
    <mergeCell ref="A33:E33"/>
    <mergeCell ref="A34:E34"/>
    <mergeCell ref="A35:E35"/>
    <mergeCell ref="A36:E36"/>
    <mergeCell ref="A37:E37"/>
    <mergeCell ref="A50:C50"/>
    <mergeCell ref="A51:C51"/>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12" zoomScale="85" zoomScaleNormal="55" zoomScaleSheetLayoutView="85" workbookViewId="0">
      <selection activeCell="A15" sqref="A15:B15"/>
    </sheetView>
  </sheetViews>
  <sheetFormatPr defaultColWidth="9.140625" defaultRowHeight="15.75" x14ac:dyDescent="0.25"/>
  <cols>
    <col min="1" max="1" width="50.42578125" style="6" customWidth="1"/>
    <col min="2" max="2" width="57.42578125" style="6" customWidth="1"/>
    <col min="3" max="3" width="93.28515625" style="6" hidden="1" customWidth="1"/>
    <col min="4" max="7" width="9.140625" style="6" hidden="1" customWidth="1"/>
    <col min="8" max="8" width="111.5703125" style="6" hidden="1" customWidth="1"/>
    <col min="9" max="16" width="9.140625" style="6" customWidth="1"/>
    <col min="17" max="16384" width="9.140625" style="6"/>
  </cols>
  <sheetData>
    <row r="1" spans="1:3" x14ac:dyDescent="0.25">
      <c r="A1" s="291" t="str">
        <f>""&amp;'Общие данные'!C64&amp;" shartnoma "&amp;'Общие данные'!B66&amp;""</f>
        <v>Mikroqarz shartnoma №544-QR</v>
      </c>
      <c r="B1" s="291"/>
    </row>
    <row r="3" spans="1:3" x14ac:dyDescent="0.25">
      <c r="A3" s="291" t="str">
        <f>"Toshkent shahri                                                                               "&amp;'Общие данные'!B70&amp;""</f>
        <v>Toshkent shahri                                                                               6 mart 2025 y.</v>
      </c>
      <c r="B3" s="291"/>
    </row>
    <row r="4" spans="1:3" x14ac:dyDescent="0.25">
      <c r="A4" s="66"/>
    </row>
    <row r="5" spans="1:3" ht="132.75" customHeight="1" x14ac:dyDescent="0.25">
      <c r="A5" s="292"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Qorako'l filiali boshlig'i Egamberdiyeva D.I.  bir tomondan va o‘z manfaati yo‘lida hamda o‘z nomidan harakat qiluvchi O‘zbekiston Respublikasi fuqarosi SHUKUROV OTABEK SHOKIROVICH  (pasport raqami AD9358147, IIV 6230 tomonidan 11.11.2024 yilda berilgan ), bundan buyon «Qarz oluvchi» deb nomlanuvchi, boshqa tomondan, birgalikda “Tomonlar” yoki alohida “Tomon” deb nomlanuvchilar, Qarz oluvchi tomonidan 06.03.2025 yil,mikroqarz olish uchun ariza berilganligini hisobga olib, ushbu Mikroqarz shartnomasini (bundan keyin – «Shartnoma») quyidagilar haqida tuzdilar:</v>
      </c>
      <c r="B5" s="292"/>
    </row>
    <row r="7" spans="1:3" x14ac:dyDescent="0.25">
      <c r="A7" s="291" t="s">
        <v>266</v>
      </c>
      <c r="B7" s="291"/>
    </row>
    <row r="8" spans="1:3" ht="51.75" customHeight="1" x14ac:dyDescent="0.25">
      <c r="A8" s="292"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40 000 000,00 (Qirq million so'm) bo‘lgan mikroqarzni 6 mart 2025 y. dan 6 sentabr 2027 y. gacha bo'lgan muddatga naqd pul va/yoki o'tkazmasi shaklida ajratadi.</v>
      </c>
      <c r="B8" s="292"/>
    </row>
    <row r="9" spans="1:3" ht="36" customHeight="1" x14ac:dyDescent="0.25">
      <c r="A9" s="292"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2"/>
    </row>
    <row r="10" spans="1:3" x14ac:dyDescent="0.25">
      <c r="A10" s="32"/>
    </row>
    <row r="11" spans="1:3" x14ac:dyDescent="0.25">
      <c r="A11" s="295" t="str">
        <f>"2. "&amp;'Общие данные'!D64&amp;" BERISH VA QAYTARISH TARTIBI"</f>
        <v>2. MIKROQARZ BERISH VA QAYTARISH TARTIBI</v>
      </c>
      <c r="B11" s="295"/>
      <c r="C11" s="64"/>
    </row>
    <row r="12" spans="1:3" ht="36" customHeight="1" x14ac:dyDescent="0.25">
      <c r="A12" s="292"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2"/>
    </row>
    <row r="13" spans="1:3" ht="35.25" customHeight="1" x14ac:dyDescent="0.25">
      <c r="A13" s="292"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2"/>
    </row>
    <row r="14" spans="1:3" ht="35.25" customHeight="1" x14ac:dyDescent="0.25">
      <c r="A14" s="292"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2"/>
    </row>
    <row r="15" spans="1:3" ht="66" customHeight="1" x14ac:dyDescent="0.25">
      <c r="A15" s="292"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2"/>
    </row>
    <row r="16" spans="1:3" ht="177.75" customHeight="1" x14ac:dyDescent="0.25">
      <c r="A16" s="292" t="s">
        <v>334</v>
      </c>
      <c r="B16" s="292"/>
    </row>
    <row r="17" spans="1:11" ht="161.25" customHeight="1" x14ac:dyDescent="0.25">
      <c r="A17" s="292"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2"/>
      <c r="C17" s="157" t="s">
        <v>339</v>
      </c>
      <c r="H17" s="6" t="str">
        <f>'Общие данные'!B65</f>
        <v>mikroqarz</v>
      </c>
      <c r="I17" s="6" t="s">
        <v>340</v>
      </c>
    </row>
    <row r="18" spans="1:11" ht="100.5" customHeight="1" x14ac:dyDescent="0.25">
      <c r="A18" s="294" t="s">
        <v>380</v>
      </c>
      <c r="B18" s="294"/>
    </row>
    <row r="19" spans="1:11" ht="36" customHeight="1" x14ac:dyDescent="0.25">
      <c r="A19" s="292"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2"/>
    </row>
    <row r="20" spans="1:11" ht="48.75" customHeight="1" x14ac:dyDescent="0.25">
      <c r="A20" s="292"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2"/>
    </row>
    <row r="21" spans="1:11" ht="113.25" customHeight="1" x14ac:dyDescent="0.25">
      <c r="A21" s="29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96"/>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95" t="str">
        <f>"3. "&amp;'Общие данные'!D64&amp;" TA'MINOTI BO‘YICHA "</f>
        <v xml:space="preserve">3. MIKROQARZ TA'MINOTI BO‘YICHA </v>
      </c>
      <c r="B22" s="295"/>
    </row>
    <row r="23" spans="1:11" ht="19.5" customHeight="1" x14ac:dyDescent="0.25">
      <c r="A23" s="292" t="str">
        <f>"3.1. Ushbu Shartnoma bo‘yicha taqdim etilgan "&amp;'Общие данные'!C64&amp;" quyidagi garov bilan ta'minlanadi:"</f>
        <v>3.1. Ushbu Shartnoma bo‘yicha taqdim etilgan Mikroqarz quyidagi garov bilan ta'minlanadi:</v>
      </c>
      <c r="B23" s="292"/>
    </row>
    <row r="24" spans="1:11" ht="130.5" customHeight="1" x14ac:dyDescent="0.25">
      <c r="A24" s="293" t="str">
        <f>IF('Общие данные'!B103='Общие данные'!C103,договор!A28,IF('Общие данные'!B103='Общие данные'!D103,договор!A25,0))</f>
        <v>3.1.1. Mikromoliya tashkiloti, Qarz oluvchi va SHUKUROV SHOKIR ABDIKARIMOVICH tomonidan 2025 yil 6 martda imzolangan 1-sonli garov predmeti qiymatini tasdiqlash dalolatnomasiga muvofiq OQ OLIMPIYSKAYA BELAYA rangli, ishlab chiqarilgan yili – 2016 yil,  dvigatel raqami B15D211163492DJX0086, shassi - RAKAMSIZ,  kuzov turi - YENGIL SEDAN, kuzov raqami №XWBJF69VEGA010899, davlat raqam belgisi 80J851UA bo'lgan COBALT rusumli avtomashinasi (bundan keyin “Garov predmeti”), egalik huquqiga ega  SHUKUROV SHOKIR ABDIKARIMOVICHga tegishli va kelishilgan garov qiymati 2025 yil 6 martda imzolangan 1-sonli Garov predmeti qiymatini tasdiqlash dalolatnomasiga muvifiq 60 000 000,00 (oltmish million so'm) so'mni tashkil qiladi. Garov garovining aniq shartlari tegishli notarial rasmiylashtirilgan garov shartnomasi bilan belgilanadi.</v>
      </c>
      <c r="B24" s="293"/>
    </row>
    <row r="25" spans="1:11" ht="129" hidden="1" customHeight="1" x14ac:dyDescent="0.25">
      <c r="A25" s="292" t="str">
        <f>IF('Общие данные'!B92='Общие данные'!C92,договор!A27,IF('Общие данные'!B92='Общие данные'!D92,договор!A26,0))</f>
        <v>3.1.1. Mikromoliya tashkiloti, Qarz oluvchi va SHUKUROV SHOKIR ABDIKARIMOVICH tomonidan 2025 yil 6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6 martda imzolangan 1-sonli Garov predmeti qiymatini tasdiqlash dalolatnomasiga muvofiq 60 000 000,00 (oltmish million so'm) so'mni tashkil qiladi. Garovning aniq shartlari tegishli tarzda notarial tasdiqlangan garov shartnomasi bilan belgilangan.</v>
      </c>
      <c r="B25" s="292"/>
    </row>
    <row r="26" spans="1:11" ht="129.75" hidden="1" customHeight="1" x14ac:dyDescent="0.25">
      <c r="A26" s="293"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Qarz oluvchi va SHUKUROV SHOKIR ABDIKARIMOVICH tomonidan 2025 yil 6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6 martda imzolangan 1-sonli Garov predmeti qiymatini tasdiqlash dalolatnomasiga muvofiq 60 000 000,00 (oltmish million so'm) so'mni tashkil qiladi. Garovning aniq shartlari tegishli tarzda notarial tasdiqlangan garov shartnomasi bilan belgilangan.</v>
      </c>
      <c r="B26" s="293"/>
    </row>
    <row r="27" spans="1:11" ht="131.25" hidden="1" customHeight="1" x14ac:dyDescent="0.25">
      <c r="A27" s="292"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Qarz oluvchi va SHUKUROV SHOKIR ABDIKARIMOVICH tomonidan 2025 yil 6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6 martda imzolangan 1-sonli Garov predmeti qiymatini tasdiqlash dalolatnomasiga muvofiq 60 000 000,00 (oltmish million so'm) so'mni tashkil qiladi. Garovning aniq shartlari tegishli tarzda notarial tasdiqlangan garov shartnomasi bilan belgilangan.</v>
      </c>
      <c r="B27" s="292"/>
    </row>
    <row r="28" spans="1:11" ht="114" hidden="1" customHeight="1" x14ac:dyDescent="0.25">
      <c r="A28" s="293" t="str">
        <f>IF('Общие данные'!B92='Общие данные'!C92,A29,IF('Общие данные'!B92='Общие данные'!D92,A30,0))</f>
        <v>3.1.1. Mikromoliya tashkiloti, Qarz oluvchi va SHUKUROV SHOKIR ABDIKARIMOVICH tomonidan 2025 yil 6 martda imzolangan 1-sonli garov predmeti qiymatini tasdiqlash dalolatnomasiga muvofiq OQ OLIMPIYSKAYA BELAYA rangli, ishlab chiqarilgan yili – 2016 yil,  dvigatel raqami B15D211163492DJX0086, shassi - RAKAMSIZ,  kuzov turi - YENGIL SEDAN, kuzov raqami №XWBJF69VEGA010899, davlat raqam belgisi 80J851UA bo'lgan COBALT rusumli avtomashinasi (bundan keyin “Garov predmeti”), egalik huquqiga ega  SHUKUROV SHOKIR ABDIKARIMOVICHga tegishli va kelishilgan garov qiymati 2025 yil 6 martda imzolangan 1-sonli Garov predmeti qiymatini tasdiqlash dalolatnomasiga muvifiq 60 000 000,00 (oltmish million so'm) so'mni tashkil qiladi. Garov garovining aniq shartlari tegishli notarial rasmiylashtirilgan garov shartnomasi bilan belgilanadi.</v>
      </c>
      <c r="B28" s="293"/>
      <c r="K28" s="6" t="s">
        <v>331</v>
      </c>
    </row>
    <row r="29" spans="1:11" ht="114.75" hidden="1" customHeight="1" x14ac:dyDescent="0.25">
      <c r="A29" s="293"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Qarz oluvchi va SHUKUROV SHOKIR ABDIKARIMOVICH tomonidan 2025 yil 6 martda imzolangan 1-sonli garov predmeti qiymatini tasdiqlash dalolatnomasiga muvofiq OQ OLIMPIYSKAYA BELAYA rangli, ishlab chiqarilgan yili – 2016 yil,  dvigatel raqami B15D211163492DJX0086, shassi - RAKAMSIZ,  kuzov turi - YENGIL SEDAN, kuzov raqami №XWBJF69VEGA010899, davlat raqam belgisi 80J851UA bo'lgan COBALT rusumli avtomashinasi (bundan keyin “Garov predmeti”), egalik huquqiga ega  SHUKUROV SHOKIR ABDIKARIMOVICHga tegishli va kelishilgan garov qiymati 2025 yil 6 martda imzolangan 1-sonli Garov predmeti qiymatini tasdiqlash dalolatnomasiga muvifiq 60 000 000,00 (oltmish million so'm) so'mni tashkil qiladi. Garov garovining aniq shartlari tegishli notarial rasmiylashtirilgan garov shartnomasi bilan belgilanadi.</v>
      </c>
      <c r="B29" s="293"/>
    </row>
    <row r="30" spans="1:11" ht="115.5" hidden="1" customHeight="1" x14ac:dyDescent="0.25">
      <c r="A30" s="298"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Qarz oluvchi va SHUKUROV SHOKIR ABDIKARIMOVICH tomonidan 2025 yil 6 martda imzolangan 1-sonli navbatdagi garov predmeti qiymatini tasdiqlash dalolatnomasiga muvofiq OQ OLIMPIYSKAYA BELAYA rangli, ishlab chiqarilgan yili – 2016 yil,  dvigatel raqami B15D211163492DJX0086, shassi - RAKAMSIZ,  kuzov turi - YENGIL SEDAN, kuzov raqami №XWBJF69VEGA010899, davlat raqam belgisi 80J851UA bo'lgan COBALT rusumli avtomashinasi (bundan keyin “navbatdagi garov predmeti”), egalik huquqiga ega  SHUKUROV SHOKIR ABDIKARIMOVICHga tegishli va kelishilgan garov qiymati 2025 yil 6 martda imzolangan 1-sonli Garov predmeti qiymatini tasdiqlash dalolatnomasiga muvifiq 60 000 000,00 (oltmish million so'm) so'mni tashkil qiladi. Garov garovining aniq shartlari tegishli notarial rasmiylashtirilgan garov shartnomasi bilan belgilanadi.</v>
      </c>
      <c r="B30" s="298"/>
    </row>
    <row r="31" spans="1:11" ht="117" customHeight="1" x14ac:dyDescent="0.25">
      <c r="A31" s="297"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97"/>
    </row>
    <row r="32" spans="1:11" ht="94.5" hidden="1" x14ac:dyDescent="0.25">
      <c r="A32" s="162" t="s">
        <v>362</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x14ac:dyDescent="0.25">
      <c r="A33" s="162"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342</v>
      </c>
    </row>
    <row r="34" spans="1:8" ht="85.5" customHeight="1" x14ac:dyDescent="0.25">
      <c r="A34" s="297" t="s">
        <v>267</v>
      </c>
      <c r="B34" s="297"/>
    </row>
    <row r="35" spans="1:8" ht="84" customHeight="1" x14ac:dyDescent="0.25">
      <c r="A35" s="297" t="s">
        <v>319</v>
      </c>
      <c r="B35" s="297"/>
    </row>
    <row r="37" spans="1:8" x14ac:dyDescent="0.25">
      <c r="A37" s="300" t="s">
        <v>318</v>
      </c>
      <c r="B37" s="300"/>
      <c r="C37" s="75"/>
    </row>
    <row r="38" spans="1:8" x14ac:dyDescent="0.25">
      <c r="A38" s="299" t="s">
        <v>317</v>
      </c>
      <c r="B38" s="299"/>
    </row>
    <row r="39" spans="1:8" ht="119.25" customHeight="1" x14ac:dyDescent="0.25">
      <c r="A39" s="297"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97"/>
      <c r="C39" s="6" t="str">
        <f>"4.1.1. Ushbu Shartnomada ko‘rsatilgan asoslar bo‘yicha Qarz oluvchiga Shartnomada ko‘zda tutilgan "&amp;'Общие данные'!B65&amp;""</f>
        <v>4.1.1. Ushbu Shartnomada ko‘rsatilgan asoslar bo‘yicha Qarz oluvchiga Shartnomada ko‘zda tutilgan mikroqarz</v>
      </c>
      <c r="H39" s="157" t="s">
        <v>393</v>
      </c>
    </row>
    <row r="40" spans="1:8" ht="39" customHeight="1" x14ac:dyDescent="0.25">
      <c r="A40" s="297"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97"/>
    </row>
    <row r="41" spans="1:8" x14ac:dyDescent="0.25">
      <c r="A41" s="297" t="s">
        <v>320</v>
      </c>
      <c r="B41" s="297"/>
    </row>
    <row r="42" spans="1:8" ht="38.25" customHeight="1" x14ac:dyDescent="0.25">
      <c r="A42" s="297" t="str">
        <f>"b) "&amp;'Общие данные'!B65&amp;" summasiga hisoblanadigan asosiy qarz bo‘yicha muddati o‘tgan qarzdorlik va/yoki foizlarning yuzaga kelishi;"</f>
        <v>b) mikroqarz summasiga hisoblanadigan asosiy qarz bo‘yicha muddati o‘tgan qarzdorlik va/yoki foizlarning yuzaga kelishi;</v>
      </c>
      <c r="B42" s="297"/>
    </row>
    <row r="43" spans="1:8" ht="37.5" customHeight="1" x14ac:dyDescent="0.25">
      <c r="A43" s="297" t="s">
        <v>321</v>
      </c>
      <c r="B43" s="297"/>
    </row>
    <row r="44" spans="1:8" ht="52.5" customHeight="1" x14ac:dyDescent="0.25">
      <c r="A44" s="297" t="s">
        <v>322</v>
      </c>
      <c r="B44" s="297"/>
    </row>
    <row r="45" spans="1:8" ht="19.5" customHeight="1" x14ac:dyDescent="0.25">
      <c r="A45" s="297" t="s">
        <v>323</v>
      </c>
      <c r="B45" s="297"/>
    </row>
    <row r="46" spans="1:8" ht="51.75" customHeight="1" x14ac:dyDescent="0.25">
      <c r="A46" s="297"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97"/>
    </row>
    <row r="47" spans="1:8" ht="33.75" customHeight="1" x14ac:dyDescent="0.25">
      <c r="A47" s="297" t="s">
        <v>316</v>
      </c>
      <c r="B47" s="297"/>
    </row>
    <row r="48" spans="1:8" ht="36.75" customHeight="1" x14ac:dyDescent="0.25">
      <c r="A48" s="297" t="s">
        <v>315</v>
      </c>
      <c r="B48" s="297"/>
      <c r="C48" s="162"/>
    </row>
    <row r="49" spans="1:8" ht="100.5" customHeight="1" x14ac:dyDescent="0.25">
      <c r="A49" s="292" t="s">
        <v>314</v>
      </c>
      <c r="B49" s="292"/>
      <c r="C49" s="162"/>
    </row>
    <row r="50" spans="1:8" ht="70.5" customHeight="1" x14ac:dyDescent="0.25">
      <c r="A50" s="292" t="s">
        <v>313</v>
      </c>
      <c r="B50" s="292"/>
      <c r="C50" s="162"/>
    </row>
    <row r="51" spans="1:8" ht="39.75" customHeight="1" x14ac:dyDescent="0.25">
      <c r="A51" s="292"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2"/>
      <c r="C51" s="162"/>
    </row>
    <row r="52" spans="1:8" ht="33" customHeight="1" x14ac:dyDescent="0.25">
      <c r="A52" s="292" t="s">
        <v>324</v>
      </c>
      <c r="B52" s="292"/>
      <c r="C52" s="162"/>
    </row>
    <row r="53" spans="1:8" ht="39.75" customHeight="1" x14ac:dyDescent="0.25">
      <c r="A53" s="292" t="s">
        <v>312</v>
      </c>
      <c r="B53" s="292"/>
      <c r="C53" s="162"/>
    </row>
    <row r="54" spans="1:8" ht="50.25" customHeight="1" x14ac:dyDescent="0.25">
      <c r="A54" s="292"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2"/>
      <c r="C54" s="162" t="str">
        <f>"4.1.10. Qarz oluvchi taqdim etilgan "&amp;'Общие данные'!B65&amp;"dan Shartnoma tuzilgan kundan boshlab 1 (bir) oy davomida foydalanmagan"</f>
        <v>4.1.10. Qarz oluvchi taqdim etilgan mikroqarzdan Shartnoma tuzilgan kundan boshlab 1 (bir) oy davomida foydalanmagan</v>
      </c>
      <c r="H54" s="6" t="s">
        <v>343</v>
      </c>
    </row>
    <row r="55" spans="1:8" ht="19.5" customHeight="1" x14ac:dyDescent="0.25">
      <c r="A55" s="292" t="str">
        <f>"4.1.11. Oldingi "&amp;'Общие данные'!B65&amp;" to‘liq to‘lanmagunga qadar yangi "&amp;'Общие данные'!B65&amp;" berishni rad etish."</f>
        <v>4.1.11. Oldingi mikroqarz to‘liq to‘lanmagunga qadar yangi mikroqarz berishni rad etish.</v>
      </c>
      <c r="B55" s="292"/>
      <c r="C55" s="162"/>
    </row>
    <row r="57" spans="1:8" x14ac:dyDescent="0.25">
      <c r="A57" s="295" t="s">
        <v>311</v>
      </c>
      <c r="B57" s="295"/>
      <c r="C57" s="161"/>
    </row>
    <row r="58" spans="1:8" x14ac:dyDescent="0.25">
      <c r="A58" s="301" t="s">
        <v>310</v>
      </c>
      <c r="B58" s="301"/>
      <c r="C58" s="163"/>
    </row>
    <row r="59" spans="1:8" ht="36" customHeight="1" x14ac:dyDescent="0.25">
      <c r="A59" s="292"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2"/>
      <c r="C59" s="162"/>
    </row>
    <row r="60" spans="1:8" ht="36.75" customHeight="1" x14ac:dyDescent="0.25">
      <c r="A60" s="292"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2"/>
      <c r="C60" s="162"/>
    </row>
    <row r="61" spans="1:8" ht="17.25" customHeight="1" x14ac:dyDescent="0.25">
      <c r="A61" s="292" t="str">
        <f>"5.1.3. "&amp;'Общие данные'!C64&amp;" xizmatlari ko‘rsatish qoidalari bilan tanishish."</f>
        <v>5.1.3. Mikroqarz xizmatlari ko‘rsatish qoidalari bilan tanishish.</v>
      </c>
      <c r="B61" s="292"/>
      <c r="C61" s="162"/>
    </row>
    <row r="62" spans="1:8" ht="36" customHeight="1" x14ac:dyDescent="0.25">
      <c r="A62" s="292"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2"/>
      <c r="C62" s="162"/>
    </row>
    <row r="63" spans="1:8" ht="33.75" customHeight="1" x14ac:dyDescent="0.25">
      <c r="A63" s="292" t="s">
        <v>325</v>
      </c>
      <c r="B63" s="292"/>
      <c r="C63" s="162"/>
    </row>
    <row r="64" spans="1:8" x14ac:dyDescent="0.25">
      <c r="A64" s="301" t="s">
        <v>309</v>
      </c>
      <c r="B64" s="301"/>
      <c r="C64" s="163"/>
    </row>
    <row r="65" spans="1:8" ht="54" customHeight="1" x14ac:dyDescent="0.25">
      <c r="A65" s="292"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2"/>
      <c r="C65" s="162"/>
    </row>
    <row r="66" spans="1:8" ht="39.75" customHeight="1" x14ac:dyDescent="0.25">
      <c r="A66" s="292" t="s">
        <v>326</v>
      </c>
      <c r="B66" s="292"/>
      <c r="C66" s="162"/>
    </row>
    <row r="67" spans="1:8" ht="27" customHeight="1" x14ac:dyDescent="0.25">
      <c r="A67" s="292" t="str">
        <f>"5.2.3. To‘lov jadvaliga muvofiq "&amp;'Общие данные'!B65&amp;", shuningdek hisoblangan foizlar to‘lovlarini amalga oshirish."</f>
        <v>5.2.3. To‘lov jadvaliga muvofiq mikroqarz, shuningdek hisoblangan foizlar to‘lovlarini amalga oshirish.</v>
      </c>
      <c r="B67" s="292"/>
      <c r="C67" s="162"/>
    </row>
    <row r="68" spans="1:8" ht="84" customHeight="1" x14ac:dyDescent="0.25">
      <c r="A68" s="292"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2"/>
      <c r="C68" s="162" t="s">
        <v>344</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x14ac:dyDescent="0.25">
      <c r="A69" s="292" t="s">
        <v>327</v>
      </c>
      <c r="B69" s="292"/>
      <c r="C69" s="162"/>
    </row>
    <row r="70" spans="1:8" ht="36" customHeight="1" x14ac:dyDescent="0.25">
      <c r="A70" s="292"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2"/>
      <c r="C70" s="162"/>
    </row>
    <row r="71" spans="1:8" ht="51.75" customHeight="1" x14ac:dyDescent="0.25">
      <c r="A71" s="294" t="s">
        <v>345</v>
      </c>
      <c r="B71" s="294"/>
      <c r="C71" s="165"/>
    </row>
    <row r="72" spans="1:8" ht="71.25" customHeight="1" x14ac:dyDescent="0.25">
      <c r="A72" s="292"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2"/>
      <c r="C72" s="162"/>
    </row>
    <row r="73" spans="1:8" ht="33.75" customHeight="1" x14ac:dyDescent="0.25">
      <c r="A73" s="292"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2"/>
      <c r="C73" s="162"/>
      <c r="H73" s="6" t="s">
        <v>341</v>
      </c>
    </row>
    <row r="74" spans="1:8" ht="68.25" customHeight="1" x14ac:dyDescent="0.25">
      <c r="A74" s="292"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2"/>
      <c r="C74" s="162"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346</v>
      </c>
    </row>
    <row r="75" spans="1:8" x14ac:dyDescent="0.25">
      <c r="A75" s="71"/>
    </row>
    <row r="76" spans="1:8" x14ac:dyDescent="0.25">
      <c r="A76" s="300" t="s">
        <v>308</v>
      </c>
      <c r="B76" s="300"/>
      <c r="C76" s="164"/>
    </row>
    <row r="77" spans="1:8" ht="98.25" customHeight="1" x14ac:dyDescent="0.25">
      <c r="A77" s="292"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2"/>
      <c r="C77" s="162" t="s">
        <v>347</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x14ac:dyDescent="0.25">
      <c r="A78" s="292" t="s">
        <v>307</v>
      </c>
      <c r="B78" s="292"/>
      <c r="C78" s="162"/>
    </row>
    <row r="79" spans="1:8" ht="35.25" customHeight="1" x14ac:dyDescent="0.25">
      <c r="A79" s="292" t="s">
        <v>306</v>
      </c>
      <c r="B79" s="292"/>
      <c r="C79" s="162"/>
    </row>
    <row r="80" spans="1:8" ht="33" customHeight="1" x14ac:dyDescent="0.25">
      <c r="A80" s="292" t="s">
        <v>305</v>
      </c>
      <c r="B80" s="292"/>
      <c r="C80" s="162"/>
    </row>
    <row r="82" spans="1:3" x14ac:dyDescent="0.25">
      <c r="A82" s="284" t="s">
        <v>304</v>
      </c>
      <c r="B82" s="284"/>
      <c r="C82" s="65"/>
    </row>
    <row r="83" spans="1:3" ht="162.75" customHeight="1" x14ac:dyDescent="0.25">
      <c r="A83" s="292" t="s">
        <v>303</v>
      </c>
      <c r="B83" s="292"/>
      <c r="C83" s="162"/>
    </row>
    <row r="84" spans="1:3" ht="33.75" customHeight="1" x14ac:dyDescent="0.25">
      <c r="A84" s="292" t="s">
        <v>348</v>
      </c>
      <c r="B84" s="292"/>
      <c r="C84" s="162"/>
    </row>
    <row r="85" spans="1:3" ht="51.75" customHeight="1" x14ac:dyDescent="0.25">
      <c r="A85" s="292" t="s">
        <v>302</v>
      </c>
      <c r="B85" s="292"/>
      <c r="C85" s="162"/>
    </row>
    <row r="86" spans="1:3" ht="36" customHeight="1" x14ac:dyDescent="0.25">
      <c r="A86" s="292" t="s">
        <v>301</v>
      </c>
      <c r="B86" s="292"/>
      <c r="C86" s="162"/>
    </row>
    <row r="88" spans="1:3" x14ac:dyDescent="0.25">
      <c r="A88" s="284" t="s">
        <v>300</v>
      </c>
      <c r="B88" s="284"/>
      <c r="C88" s="65"/>
    </row>
    <row r="89" spans="1:3" ht="114.75" customHeight="1" x14ac:dyDescent="0.25">
      <c r="A89" s="292" t="s">
        <v>363</v>
      </c>
      <c r="B89" s="292"/>
      <c r="C89" s="162"/>
    </row>
    <row r="90" spans="1:3" ht="36" customHeight="1" x14ac:dyDescent="0.25">
      <c r="A90" s="292" t="s">
        <v>328</v>
      </c>
      <c r="B90" s="292"/>
      <c r="C90" s="162"/>
    </row>
    <row r="91" spans="1:3" ht="64.5" customHeight="1" x14ac:dyDescent="0.25">
      <c r="A91" s="292"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2"/>
      <c r="C91" s="162"/>
    </row>
    <row r="93" spans="1:3" x14ac:dyDescent="0.25">
      <c r="A93" s="302" t="s">
        <v>299</v>
      </c>
      <c r="B93" s="302"/>
      <c r="C93" s="73"/>
    </row>
    <row r="94" spans="1:3" ht="20.25" customHeight="1" x14ac:dyDescent="0.25">
      <c r="A94" s="292" t="s">
        <v>298</v>
      </c>
      <c r="B94" s="292"/>
      <c r="C94" s="162"/>
    </row>
    <row r="95" spans="1:3" ht="33.75" customHeight="1" x14ac:dyDescent="0.25">
      <c r="A95" s="292"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2"/>
      <c r="C95" s="162"/>
    </row>
    <row r="96" spans="1:3" ht="51" customHeight="1" x14ac:dyDescent="0.25">
      <c r="A96" s="292" t="s">
        <v>297</v>
      </c>
      <c r="B96" s="292"/>
      <c r="C96" s="162"/>
    </row>
    <row r="98" spans="1:3" x14ac:dyDescent="0.25">
      <c r="A98" s="295" t="s">
        <v>296</v>
      </c>
      <c r="B98" s="295"/>
      <c r="C98" s="64"/>
    </row>
    <row r="99" spans="1:3" ht="82.5" customHeight="1" x14ac:dyDescent="0.25">
      <c r="A99" s="292" t="s">
        <v>295</v>
      </c>
      <c r="B99" s="292"/>
      <c r="C99" s="162"/>
    </row>
    <row r="100" spans="1:3" ht="66" customHeight="1" x14ac:dyDescent="0.25">
      <c r="A100" s="292" t="s">
        <v>294</v>
      </c>
      <c r="B100" s="292"/>
      <c r="C100" s="162"/>
    </row>
    <row r="101" spans="1:3" ht="48" customHeight="1" x14ac:dyDescent="0.25">
      <c r="A101" s="292" t="s">
        <v>293</v>
      </c>
      <c r="B101" s="292"/>
      <c r="C101" s="162"/>
    </row>
    <row r="103" spans="1:3" x14ac:dyDescent="0.25">
      <c r="A103" s="284" t="s">
        <v>292</v>
      </c>
      <c r="B103" s="284"/>
      <c r="C103" s="146"/>
    </row>
    <row r="104" spans="1:3" ht="37.5" customHeight="1" x14ac:dyDescent="0.25">
      <c r="A104" s="292" t="s">
        <v>291</v>
      </c>
      <c r="B104" s="292"/>
      <c r="C104" s="162"/>
    </row>
    <row r="105" spans="1:3" ht="34.5" customHeight="1" x14ac:dyDescent="0.25">
      <c r="A105" s="292" t="s">
        <v>290</v>
      </c>
      <c r="B105" s="292"/>
      <c r="C105" s="162"/>
    </row>
    <row r="106" spans="1:3" ht="66.75" customHeight="1" x14ac:dyDescent="0.25">
      <c r="A106" s="292" t="s">
        <v>289</v>
      </c>
      <c r="B106" s="292"/>
      <c r="C106" s="162"/>
    </row>
    <row r="107" spans="1:3" ht="51" customHeight="1" x14ac:dyDescent="0.25">
      <c r="A107" s="292" t="s">
        <v>288</v>
      </c>
      <c r="B107" s="292"/>
      <c r="C107" s="162"/>
    </row>
    <row r="108" spans="1:3" ht="37.5" customHeight="1" x14ac:dyDescent="0.25">
      <c r="A108" s="292" t="s">
        <v>287</v>
      </c>
      <c r="B108" s="292"/>
      <c r="C108" s="162"/>
    </row>
    <row r="109" spans="1:3" ht="38.25" customHeight="1" x14ac:dyDescent="0.25">
      <c r="A109" s="292" t="s">
        <v>286</v>
      </c>
      <c r="B109" s="292"/>
      <c r="C109" s="162"/>
    </row>
    <row r="110" spans="1:3" ht="21" customHeight="1" x14ac:dyDescent="0.25">
      <c r="A110" s="292" t="s">
        <v>285</v>
      </c>
      <c r="B110" s="292"/>
      <c r="C110" s="162"/>
    </row>
    <row r="111" spans="1:3" ht="32.25" customHeight="1" x14ac:dyDescent="0.25">
      <c r="A111" s="292"/>
      <c r="B111" s="292"/>
      <c r="C111" s="162"/>
    </row>
    <row r="113" spans="1:3" x14ac:dyDescent="0.25">
      <c r="A113" s="302" t="s">
        <v>329</v>
      </c>
      <c r="B113" s="302"/>
      <c r="C113" s="73"/>
    </row>
    <row r="115" spans="1:3" x14ac:dyDescent="0.25">
      <c r="A115" s="74" t="s">
        <v>284</v>
      </c>
      <c r="B115" s="74" t="s">
        <v>283</v>
      </c>
    </row>
    <row r="117" spans="1:3" ht="31.5" x14ac:dyDescent="0.25">
      <c r="A117" s="73" t="str">
        <f>'Общие данные'!B148</f>
        <v>«CLEVER MIKROMOLIYA TASHKILOTI» MChJ</v>
      </c>
      <c r="B117" s="67" t="str">
        <f>'Общие данные'!B5</f>
        <v>SHUKUROV OTABEK SHOKIROVICH</v>
      </c>
    </row>
    <row r="119" spans="1:3" ht="35.25" customHeight="1" x14ac:dyDescent="0.25">
      <c r="A119" s="70" t="str">
        <f>"Manzil: "&amp;'Общие данные'!B153&amp;""</f>
        <v>Manzil: Toshkent shahri, Olmazor tumani, Sagbon ko'chasi, 30 boshi berk, 6-uy</v>
      </c>
      <c r="B119" s="70" t="str">
        <f>"Manzil: "&amp;'Общие данные'!B27&amp;""</f>
        <v xml:space="preserve">Manzil: BUXORO VILOYATI QORAKO'L TUMANI JIG'ACHI MFY </v>
      </c>
    </row>
    <row r="120" spans="1:3" x14ac:dyDescent="0.25">
      <c r="A120" s="72" t="str">
        <f>"h/r: "&amp;'Общие данные'!B154&amp;""</f>
        <v>h/r: №20216000705068380001</v>
      </c>
    </row>
    <row r="121" spans="1:3" ht="31.5" x14ac:dyDescent="0.25">
      <c r="A121" s="70" t="str">
        <f>"MFO: "&amp;'Общие данные'!B155&amp;" в "&amp;'Общие данные'!B156&amp;""</f>
        <v>MFO: №01042 в ATB “Kapitalbank” Sergeli filiali</v>
      </c>
      <c r="B121" s="70" t="str">
        <f>"pasport seriyasi: "&amp;'Общие данные'!B16&amp;", "&amp;'Общие данные'!B20&amp;""</f>
        <v>pasport seriyasi: AD9358147, IIV 6230 tomonidan 11.11.2024 yilda berilgan</v>
      </c>
    </row>
    <row r="122" spans="1:3" x14ac:dyDescent="0.25">
      <c r="A122" s="70" t="str">
        <f>"STIR: "&amp;'Общие данные'!B157&amp;""</f>
        <v>STIR: 306365847</v>
      </c>
      <c r="B122" s="66" t="str">
        <f>"Tel: "&amp;'Общие данные'!B40&amp;""</f>
        <v>Tel: 94 125-49-00 O'ZI</v>
      </c>
    </row>
    <row r="123" spans="1:3" x14ac:dyDescent="0.25">
      <c r="A123" s="186" t="str">
        <f>"Tel: (78) 113 31 33"</f>
        <v>Tel: (78) 113 31 33</v>
      </c>
      <c r="B123" s="66" t="str">
        <f>'Общие данные'!B41</f>
        <v>93 653-50-54 OTASI</v>
      </c>
    </row>
    <row r="124" spans="1:3" x14ac:dyDescent="0.25">
      <c r="A124" s="186" t="s">
        <v>8</v>
      </c>
      <c r="B124" s="66" t="str">
        <f>'Общие данные'!B42</f>
        <v>93 264-50-54  ONASI</v>
      </c>
    </row>
    <row r="126" spans="1:3" x14ac:dyDescent="0.25">
      <c r="A126" s="160" t="str">
        <f>'Общие данные'!A161</f>
        <v>Qorako'l filiali boshlig'i</v>
      </c>
      <c r="B126" s="65" t="str">
        <f>""&amp;'Общие данные'!B7&amp;"     __________________"</f>
        <v>SHUKUROV O.SH     __________________</v>
      </c>
    </row>
    <row r="128" spans="1:3" x14ac:dyDescent="0.25">
      <c r="A128" s="146" t="str">
        <f>""&amp;'Общие данные'!B161&amp;"     __________________"</f>
        <v>Egamberdiyeva D.I.     __________________</v>
      </c>
      <c r="B128" s="176"/>
    </row>
    <row r="131" spans="1:1" hidden="1" x14ac:dyDescent="0.25">
      <c r="A131" s="6" t="str">
        <f>"менеджер :   "&amp;'Общие данные'!B161&amp;"______________"</f>
        <v>менеджер :   Egamberdiyeva D.I.______________</v>
      </c>
    </row>
  </sheetData>
  <mergeCells count="98">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3" orientation="portrait" r:id="rId1"/>
  <rowBreaks count="3" manualBreakCount="3">
    <brk id="46" max="1" man="1"/>
    <brk id="73"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6" zoomScaleNormal="100" zoomScaleSheetLayoutView="100" workbookViewId="0">
      <selection activeCell="F16" sqref="F16"/>
    </sheetView>
  </sheetViews>
  <sheetFormatPr defaultColWidth="9.140625" defaultRowHeight="15" outlineLevelCol="1" x14ac:dyDescent="0.25"/>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x14ac:dyDescent="0.25"/>
    <row r="2" spans="1:16" ht="6" customHeight="1" x14ac:dyDescent="0.25">
      <c r="A2" s="37"/>
      <c r="B2" s="37"/>
      <c r="C2" s="37"/>
      <c r="D2" s="37"/>
      <c r="E2" s="257"/>
      <c r="F2" s="257"/>
      <c r="G2" s="20"/>
    </row>
    <row r="3" spans="1:16" ht="70.5" customHeight="1" x14ac:dyDescent="0.25">
      <c r="A3" s="37"/>
      <c r="B3" s="37"/>
      <c r="C3" s="37"/>
      <c r="D3" s="37"/>
      <c r="E3" s="305" t="str">
        <f>""&amp;'Общие данные'!B74&amp;" 
"&amp;'Общие данные'!B65&amp;" shartnomasiga 
1 sonli ilova"</f>
        <v>6 mart 2025 y.dan №544-QR 
mikroqarz shartnomasiga 
1 sonli ilova</v>
      </c>
      <c r="F3" s="305"/>
      <c r="G3" s="20"/>
    </row>
    <row r="4" spans="1:16" ht="6.75" customHeight="1" x14ac:dyDescent="0.25">
      <c r="A4" s="37"/>
      <c r="B4" s="37"/>
      <c r="C4" s="37"/>
      <c r="D4" s="37"/>
      <c r="E4" s="37"/>
      <c r="F4" s="37"/>
    </row>
    <row r="5" spans="1:16" x14ac:dyDescent="0.25">
      <c r="A5" s="258" t="s">
        <v>268</v>
      </c>
      <c r="B5" s="258"/>
      <c r="C5" s="258"/>
      <c r="D5" s="258"/>
      <c r="E5" s="258"/>
      <c r="F5" s="258"/>
    </row>
    <row r="6" spans="1:16" ht="7.5" customHeight="1" x14ac:dyDescent="0.25"/>
    <row r="7" spans="1:16" ht="15" customHeight="1" x14ac:dyDescent="0.25">
      <c r="A7" s="259" t="s">
        <v>15</v>
      </c>
      <c r="B7" s="260" t="s">
        <v>269</v>
      </c>
      <c r="C7" s="260" t="s">
        <v>270</v>
      </c>
      <c r="D7" s="261" t="s">
        <v>271</v>
      </c>
      <c r="E7" s="261"/>
      <c r="F7" s="261"/>
    </row>
    <row r="8" spans="1:16" s="16" customFormat="1" x14ac:dyDescent="0.25">
      <c r="A8" s="259"/>
      <c r="B8" s="260"/>
      <c r="C8" s="260"/>
      <c r="D8" s="17" t="s">
        <v>272</v>
      </c>
      <c r="E8" s="17" t="s">
        <v>273</v>
      </c>
      <c r="F8" s="17" t="s">
        <v>274</v>
      </c>
    </row>
    <row r="9" spans="1:16" x14ac:dyDescent="0.25">
      <c r="A9" s="18">
        <v>1</v>
      </c>
      <c r="B9" s="33">
        <f>'График аннуитет.'!B8</f>
        <v>45757</v>
      </c>
      <c r="C9" s="34">
        <f>IF('Общие данные'!$B$77='Общие данные'!$C$77,'График дифференц'!C8,IF('Общие данные'!$B$77='Общие данные'!$D$77,'График аннуитет.'!C8))</f>
        <v>40000000</v>
      </c>
      <c r="D9" s="34">
        <f>IF('Общие данные'!$B$77='Общие данные'!$C$77,'График дифференц'!D8,IF('Общие данные'!$B$77='Общие данные'!$D$77,'График аннуитет.'!D8))</f>
        <v>1333333.33</v>
      </c>
      <c r="E9" s="34">
        <f>IF('Общие данные'!$B$77='Общие данные'!$C$77,'График дифференц'!E8,IF('Общие данные'!$B$77='Общие данные'!$D$77,'График аннуитет.'!E8))</f>
        <v>2301369.6999999997</v>
      </c>
      <c r="F9" s="34">
        <f>IF('Общие данные'!$B$77='Общие данные'!$C$77,'График дифференц'!F8,IF('Общие данные'!$B$77='Общие данные'!$D$77,'График аннуитет.'!F8))</f>
        <v>3634703.03</v>
      </c>
    </row>
    <row r="10" spans="1:16" x14ac:dyDescent="0.25">
      <c r="A10" s="18">
        <v>2</v>
      </c>
      <c r="B10" s="33">
        <f>'График аннуитет.'!B9</f>
        <v>45789</v>
      </c>
      <c r="C10" s="34">
        <f>IF('Общие данные'!$B$77='Общие данные'!$C$77,'График дифференц'!C9,IF('Общие данные'!$B$77='Общие данные'!$D$77,'График аннуитет.'!C9))</f>
        <v>38666666.670000002</v>
      </c>
      <c r="D10" s="34">
        <f>IF('Общие данные'!$B$77='Общие данные'!$C$77,'График дифференц'!D9,IF('Общие данные'!$B$77='Общие данные'!$D$77,'График аннуитет.'!D9))</f>
        <v>1333333.33</v>
      </c>
      <c r="E10" s="34">
        <f>IF('Общие данные'!$B$77='Общие данные'!$C$77,'График дифференц'!E9,IF('Общие данные'!$B$77='Общие данные'!$D$77,'График аннуитет.'!E9))</f>
        <v>2033972.48</v>
      </c>
      <c r="F10" s="34">
        <f>IF('Общие данные'!$B$77='Общие данные'!$C$77,'График дифференц'!F9,IF('Общие данные'!$B$77='Общие данные'!$D$77,'График аннуитет.'!F9))</f>
        <v>3367305.81</v>
      </c>
    </row>
    <row r="11" spans="1:16" x14ac:dyDescent="0.25">
      <c r="A11" s="18">
        <v>3</v>
      </c>
      <c r="B11" s="33">
        <f>'График аннуитет.'!B10</f>
        <v>45818</v>
      </c>
      <c r="C11" s="34">
        <f>IF('Общие данные'!$B$77='Общие данные'!$C$77,'График дифференц'!C10,IF('Общие данные'!$B$77='Общие данные'!$D$77,'График аннуитет.'!C10))</f>
        <v>37333333.340000004</v>
      </c>
      <c r="D11" s="34">
        <f>IF('Общие данные'!$B$77='Общие данные'!$C$77,'График дифференц'!D10,IF('Общие данные'!$B$77='Общие данные'!$D$77,'График аннуитет.'!D10))</f>
        <v>1333333.33</v>
      </c>
      <c r="E11" s="34">
        <f>IF('Общие данные'!$B$77='Общие данные'!$C$77,'График дифференц'!E10,IF('Общие данные'!$B$77='Общие данные'!$D$77,'График аннуитет.'!E10))</f>
        <v>1779725.94</v>
      </c>
      <c r="F11" s="34">
        <f>IF('Общие данные'!$B$77='Общие данные'!$C$77,'График дифференц'!F10,IF('Общие данные'!$B$77='Общие данные'!$D$77,'График аннуитет.'!F10))</f>
        <v>3113059.27</v>
      </c>
    </row>
    <row r="12" spans="1:16" x14ac:dyDescent="0.25">
      <c r="A12" s="18">
        <v>4</v>
      </c>
      <c r="B12" s="33">
        <f>'График аннуитет.'!B11</f>
        <v>45848</v>
      </c>
      <c r="C12" s="34">
        <f>IF('Общие данные'!$B$77='Общие данные'!$C$77,'График дифференц'!C11,IF('Общие данные'!$B$77='Общие данные'!$D$77,'График аннуитет.'!C11))</f>
        <v>36000000.010000005</v>
      </c>
      <c r="D12" s="34">
        <f>IF('Общие данные'!$B$77='Общие данные'!$C$77,'График дифференц'!D11,IF('Общие данные'!$B$77='Общие данные'!$D$77,'График аннуитет.'!D11))</f>
        <v>1333333.33</v>
      </c>
      <c r="E12" s="34">
        <f>IF('Общие данные'!$B$77='Общие данные'!$C$77,'График дифференц'!E11,IF('Общие данные'!$B$77='Общие данные'!$D$77,'График аннуитет.'!E11))</f>
        <v>1775342.4000000001</v>
      </c>
      <c r="F12" s="34">
        <f>IF('Общие данные'!$B$77='Общие данные'!$C$77,'График дифференц'!F11,IF('Общие данные'!$B$77='Общие данные'!$D$77,'График аннуитет.'!F11))</f>
        <v>3108675.7300000004</v>
      </c>
      <c r="H12" s="303" t="s">
        <v>381</v>
      </c>
      <c r="I12" s="303"/>
      <c r="J12" s="303"/>
      <c r="K12" s="303"/>
      <c r="L12" s="303"/>
      <c r="M12" s="303"/>
      <c r="N12" s="303"/>
      <c r="O12" s="303"/>
      <c r="P12" s="303"/>
    </row>
    <row r="13" spans="1:16" x14ac:dyDescent="0.25">
      <c r="A13" s="18">
        <v>5</v>
      </c>
      <c r="B13" s="33">
        <f>'График аннуитет.'!B12</f>
        <v>45880</v>
      </c>
      <c r="C13" s="34">
        <f>IF('Общие данные'!$B$77='Общие данные'!$C$77,'График дифференц'!C12,IF('Общие данные'!$B$77='Общие данные'!$D$77,'График аннуитет.'!C12))</f>
        <v>34666666.680000007</v>
      </c>
      <c r="D13" s="34">
        <f>IF('Общие данные'!$B$77='Общие данные'!$C$77,'График дифференц'!D12,IF('Общие данные'!$B$77='Общие данные'!$D$77,'График аннуитет.'!D12))</f>
        <v>1333333.33</v>
      </c>
      <c r="E13" s="34">
        <f>IF('Общие данные'!$B$77='Общие данные'!$C$77,'График дифференц'!E12,IF('Общие данные'!$B$77='Общие данные'!$D$77,'График аннуитет.'!E12))</f>
        <v>1823561.6</v>
      </c>
      <c r="F13" s="34">
        <f>IF('Общие данные'!$B$77='Общие данные'!$C$77,'График дифференц'!F12,IF('Общие данные'!$B$77='Общие данные'!$D$77,'График аннуитет.'!F12))</f>
        <v>3156894.93</v>
      </c>
      <c r="H13" s="303"/>
      <c r="I13" s="303"/>
      <c r="J13" s="303"/>
      <c r="K13" s="303"/>
      <c r="L13" s="303"/>
      <c r="M13" s="303"/>
      <c r="N13" s="303"/>
      <c r="O13" s="303"/>
      <c r="P13" s="303"/>
    </row>
    <row r="14" spans="1:16" x14ac:dyDescent="0.25">
      <c r="A14" s="18">
        <v>6</v>
      </c>
      <c r="B14" s="33">
        <f>'График аннуитет.'!B13</f>
        <v>45910</v>
      </c>
      <c r="C14" s="34">
        <f>IF('Общие данные'!$B$77='Общие данные'!$C$77,'График дифференц'!C13,IF('Общие данные'!$B$77='Общие данные'!$D$77,'График аннуитет.'!C13))</f>
        <v>33333333.350000009</v>
      </c>
      <c r="D14" s="34">
        <f>IF('Общие данные'!$B$77='Общие данные'!$C$77,'График дифференц'!D13,IF('Общие данные'!$B$77='Общие данные'!$D$77,'График аннуитет.'!D13))</f>
        <v>1333333.33</v>
      </c>
      <c r="E14" s="34">
        <f>IF('Общие данные'!$B$77='Общие данные'!$C$77,'График дифференц'!E13,IF('Общие данные'!$B$77='Общие данные'!$D$77,'График аннуитет.'!E13))</f>
        <v>1643835.5999999999</v>
      </c>
      <c r="F14" s="34">
        <f>IF('Общие данные'!$B$77='Общие данные'!$C$77,'График дифференц'!F13,IF('Общие данные'!$B$77='Общие данные'!$D$77,'График аннуитет.'!F13))</f>
        <v>2977168.9299999997</v>
      </c>
      <c r="H14" s="303"/>
      <c r="I14" s="303"/>
      <c r="J14" s="303"/>
      <c r="K14" s="303"/>
      <c r="L14" s="303"/>
      <c r="M14" s="303"/>
      <c r="N14" s="303"/>
      <c r="O14" s="303"/>
      <c r="P14" s="303"/>
    </row>
    <row r="15" spans="1:16" x14ac:dyDescent="0.25">
      <c r="A15" s="18">
        <v>7</v>
      </c>
      <c r="B15" s="33">
        <f>'График аннуитет.'!B14</f>
        <v>45940</v>
      </c>
      <c r="C15" s="34">
        <f>IF('Общие данные'!$B$77='Общие данные'!$C$77,'График дифференц'!C14,IF('Общие данные'!$B$77='Общие данные'!$D$77,'График аннуитет.'!C14))</f>
        <v>32000000.020000011</v>
      </c>
      <c r="D15" s="34">
        <f>IF('Общие данные'!$B$77='Общие данные'!$C$77,'График дифференц'!D14,IF('Общие данные'!$B$77='Общие данные'!$D$77,'График аннуитет.'!D14))</f>
        <v>1333333.33</v>
      </c>
      <c r="E15" s="34">
        <f>IF('Общие данные'!$B$77='Общие данные'!$C$77,'График дифференц'!E14,IF('Общие данные'!$B$77='Общие данные'!$D$77,'График аннуитет.'!E14))</f>
        <v>1578082.2</v>
      </c>
      <c r="F15" s="34">
        <f>IF('Общие данные'!$B$77='Общие данные'!$C$77,'График дифференц'!F14,IF('Общие данные'!$B$77='Общие данные'!$D$77,'График аннуитет.'!F14))</f>
        <v>2911415.5300000003</v>
      </c>
      <c r="H15" s="303"/>
      <c r="I15" s="303"/>
      <c r="J15" s="303"/>
      <c r="K15" s="303"/>
      <c r="L15" s="303"/>
      <c r="M15" s="303"/>
      <c r="N15" s="303"/>
      <c r="O15" s="303"/>
      <c r="P15" s="303"/>
    </row>
    <row r="16" spans="1:16" x14ac:dyDescent="0.25">
      <c r="A16" s="18">
        <v>8</v>
      </c>
      <c r="B16" s="33">
        <f>'График аннуитет.'!B15</f>
        <v>45971</v>
      </c>
      <c r="C16" s="34">
        <f>IF('Общие данные'!$B$77='Общие данные'!$C$77,'График дифференц'!C15,IF('Общие данные'!$B$77='Общие данные'!$D$77,'График аннуитет.'!C15))</f>
        <v>30666666.690000013</v>
      </c>
      <c r="D16" s="34">
        <f>IF('Общие данные'!$B$77='Общие данные'!$C$77,'График дифференц'!D15,IF('Общие данные'!$B$77='Общие данные'!$D$77,'График аннуитет.'!D15))</f>
        <v>1333333.33</v>
      </c>
      <c r="E16" s="34">
        <f>IF('Общие данные'!$B$77='Общие данные'!$C$77,'График дифференц'!E15,IF('Общие данные'!$B$77='Общие данные'!$D$77,'График аннуитет.'!E15))</f>
        <v>1562739.76</v>
      </c>
      <c r="F16" s="34">
        <f>IF('Общие данные'!$B$77='Общие данные'!$C$77,'График дифференц'!F15,IF('Общие данные'!$B$77='Общие данные'!$D$77,'График аннуитет.'!F15))</f>
        <v>2896073.09</v>
      </c>
      <c r="H16" s="303"/>
      <c r="I16" s="303"/>
      <c r="J16" s="303"/>
      <c r="K16" s="303"/>
      <c r="L16" s="303"/>
      <c r="M16" s="303"/>
      <c r="N16" s="303"/>
      <c r="O16" s="303"/>
      <c r="P16" s="303"/>
    </row>
    <row r="17" spans="1:16" x14ac:dyDescent="0.25">
      <c r="A17" s="18">
        <v>9</v>
      </c>
      <c r="B17" s="33">
        <f>'График аннуитет.'!B16</f>
        <v>46001</v>
      </c>
      <c r="C17" s="34">
        <f>IF('Общие данные'!$B$77='Общие данные'!$C$77,'График дифференц'!C16,IF('Общие данные'!$B$77='Общие данные'!$D$77,'График аннуитет.'!C16))</f>
        <v>29333333.360000014</v>
      </c>
      <c r="D17" s="34">
        <f>IF('Общие данные'!$B$77='Общие данные'!$C$77,'График дифференц'!D16,IF('Общие данные'!$B$77='Общие данные'!$D$77,'График аннуитет.'!D16))</f>
        <v>1333333.33</v>
      </c>
      <c r="E17" s="34">
        <f>IF('Общие данные'!$B$77='Общие данные'!$C$77,'График дифференц'!E16,IF('Общие данные'!$B$77='Общие данные'!$D$77,'График аннуитет.'!E16))</f>
        <v>1446575.4</v>
      </c>
      <c r="F17" s="34">
        <f>IF('Общие данные'!$B$77='Общие данные'!$C$77,'График дифференц'!F16,IF('Общие данные'!$B$77='Общие данные'!$D$77,'График аннуитет.'!F16))</f>
        <v>2779908.73</v>
      </c>
      <c r="H17" s="303"/>
      <c r="I17" s="303"/>
      <c r="J17" s="303"/>
      <c r="K17" s="303"/>
      <c r="L17" s="303"/>
      <c r="M17" s="303"/>
      <c r="N17" s="303"/>
      <c r="O17" s="303"/>
      <c r="P17" s="303"/>
    </row>
    <row r="18" spans="1:16" x14ac:dyDescent="0.25">
      <c r="A18" s="18">
        <v>10</v>
      </c>
      <c r="B18" s="33">
        <f>'График аннуитет.'!B17</f>
        <v>46034</v>
      </c>
      <c r="C18" s="34">
        <f>IF('Общие данные'!$B$77='Общие данные'!$C$77,'График дифференц'!C17,IF('Общие данные'!$B$77='Общие данные'!$D$77,'График аннуитет.'!C17))</f>
        <v>28000000.030000016</v>
      </c>
      <c r="D18" s="34">
        <f>IF('Общие данные'!$B$77='Общие данные'!$C$77,'График дифференц'!D17,IF('Общие данные'!$B$77='Общие данные'!$D$77,'График аннуитет.'!D17))</f>
        <v>1333333.33</v>
      </c>
      <c r="E18" s="34">
        <f>IF('Общие данные'!$B$77='Общие данные'!$C$77,'График дифференц'!E17,IF('Общие данные'!$B$77='Общие данные'!$D$77,'График аннуитет.'!E17))</f>
        <v>1518904.2</v>
      </c>
      <c r="F18" s="34">
        <f>IF('Общие данные'!$B$77='Общие данные'!$C$77,'График дифференц'!F17,IF('Общие данные'!$B$77='Общие данные'!$D$77,'График аннуитет.'!F17))</f>
        <v>2852237.5300000003</v>
      </c>
      <c r="H18" s="303"/>
      <c r="I18" s="303"/>
      <c r="J18" s="303"/>
      <c r="K18" s="303"/>
      <c r="L18" s="303"/>
      <c r="M18" s="303"/>
      <c r="N18" s="303"/>
      <c r="O18" s="303"/>
      <c r="P18" s="303"/>
    </row>
    <row r="19" spans="1:16" x14ac:dyDescent="0.25">
      <c r="A19" s="18">
        <v>11</v>
      </c>
      <c r="B19" s="33">
        <f>'График аннуитет.'!B18</f>
        <v>46063</v>
      </c>
      <c r="C19" s="34">
        <f>IF('Общие данные'!$B$77='Общие данные'!$C$77,'График дифференц'!C18,IF('Общие данные'!$B$77='Общие данные'!$D$77,'График аннуитет.'!C18))</f>
        <v>26666666.700000018</v>
      </c>
      <c r="D19" s="34">
        <f>IF('Общие данные'!$B$77='Общие данные'!$C$77,'График дифференц'!D18,IF('Общие данные'!$B$77='Общие данные'!$D$77,'График аннуитет.'!D18))</f>
        <v>1333333.33</v>
      </c>
      <c r="E19" s="34">
        <f>IF('Общие данные'!$B$77='Общие данные'!$C$77,'График дифференц'!E18,IF('Общие данные'!$B$77='Общие данные'!$D$77,'График аннуитет.'!E18))</f>
        <v>1271232.98</v>
      </c>
      <c r="F19" s="34">
        <f>IF('Общие данные'!$B$77='Общие данные'!$C$77,'График дифференц'!F18,IF('Общие данные'!$B$77='Общие данные'!$D$77,'График аннуитет.'!F18))</f>
        <v>2604566.31</v>
      </c>
      <c r="H19" s="303"/>
      <c r="I19" s="303"/>
      <c r="J19" s="303"/>
      <c r="K19" s="303"/>
      <c r="L19" s="303"/>
      <c r="M19" s="303"/>
      <c r="N19" s="303"/>
      <c r="O19" s="303"/>
      <c r="P19" s="303"/>
    </row>
    <row r="20" spans="1:16" x14ac:dyDescent="0.25">
      <c r="A20" s="18">
        <v>12</v>
      </c>
      <c r="B20" s="33">
        <f>'График аннуитет.'!B19</f>
        <v>46091</v>
      </c>
      <c r="C20" s="34">
        <f>IF('Общие данные'!$B$77='Общие данные'!$C$77,'График дифференц'!C19,IF('Общие данные'!$B$77='Общие данные'!$D$77,'График аннуитет.'!C19))</f>
        <v>25333333.37000002</v>
      </c>
      <c r="D20" s="34">
        <f>IF('Общие данные'!$B$77='Общие данные'!$C$77,'График дифференц'!D19,IF('Общие данные'!$B$77='Общие данные'!$D$77,'График аннуитет.'!D19))</f>
        <v>1333333.33</v>
      </c>
      <c r="E20" s="34">
        <f>IF('Общие данные'!$B$77='Общие данные'!$C$77,'График дифференц'!E19,IF('Общие данные'!$B$77='Общие данные'!$D$77,'График аннуитет.'!E19))</f>
        <v>1166027.52</v>
      </c>
      <c r="F20" s="34">
        <f>IF('Общие данные'!$B$77='Общие данные'!$C$77,'График дифференц'!F19,IF('Общие данные'!$B$77='Общие данные'!$D$77,'График аннуитет.'!F19))</f>
        <v>2499360.85</v>
      </c>
      <c r="H20" s="303"/>
      <c r="I20" s="303"/>
      <c r="J20" s="303"/>
      <c r="K20" s="303"/>
      <c r="L20" s="303"/>
      <c r="M20" s="303"/>
      <c r="N20" s="303"/>
      <c r="O20" s="303"/>
      <c r="P20" s="303"/>
    </row>
    <row r="21" spans="1:16" x14ac:dyDescent="0.25">
      <c r="A21" s="18">
        <v>13</v>
      </c>
      <c r="B21" s="33">
        <f>'График аннуитет.'!B20</f>
        <v>46122</v>
      </c>
      <c r="C21" s="34">
        <f>IF('Общие данные'!$B$77='Общие данные'!$C$77,'График дифференц'!C20,IF('Общие данные'!$B$77='Общие данные'!$D$77,'График аннуитет.'!C20))</f>
        <v>24000000.040000021</v>
      </c>
      <c r="D21" s="34">
        <f>IF('Общие данные'!$B$77='Общие данные'!$C$77,'График дифференц'!D20,IF('Общие данные'!$B$77='Общие данные'!$D$77,'График аннуитет.'!D20))</f>
        <v>1333333.33</v>
      </c>
      <c r="E21" s="34">
        <f>IF('Общие данные'!$B$77='Общие данные'!$C$77,'График дифференц'!E20,IF('Общие данные'!$B$77='Общие данные'!$D$77,'График аннуитет.'!E20))</f>
        <v>1223013.55</v>
      </c>
      <c r="F21" s="34">
        <f>IF('Общие данные'!$B$77='Общие данные'!$C$77,'График дифференц'!F20,IF('Общие данные'!$B$77='Общие данные'!$D$77,'График аннуитет.'!F20))</f>
        <v>2556346.88</v>
      </c>
      <c r="H21" s="303"/>
      <c r="I21" s="303"/>
      <c r="J21" s="303"/>
      <c r="K21" s="303"/>
      <c r="L21" s="303"/>
      <c r="M21" s="303"/>
      <c r="N21" s="303"/>
      <c r="O21" s="303"/>
      <c r="P21" s="303"/>
    </row>
    <row r="22" spans="1:16" x14ac:dyDescent="0.25">
      <c r="A22" s="18">
        <v>14</v>
      </c>
      <c r="B22" s="33">
        <f>'График аннуитет.'!B21</f>
        <v>46153</v>
      </c>
      <c r="C22" s="34">
        <f>IF('Общие данные'!$B$77='Общие данные'!$C$77,'График дифференц'!C21,IF('Общие данные'!$B$77='Общие данные'!$D$77,'График аннуитет.'!C21))</f>
        <v>22666666.710000023</v>
      </c>
      <c r="D22" s="34">
        <f>IF('Общие данные'!$B$77='Общие данные'!$C$77,'График дифференц'!D21,IF('Общие данные'!$B$77='Общие данные'!$D$77,'График аннуитет.'!D21))</f>
        <v>1333333.33</v>
      </c>
      <c r="E22" s="34">
        <f>IF('Общие данные'!$B$77='Общие данные'!$C$77,'График дифференц'!E21,IF('Общие данные'!$B$77='Общие данные'!$D$77,'График аннуитет.'!E21))</f>
        <v>1155068.3699999999</v>
      </c>
      <c r="F22" s="34">
        <f>IF('Общие данные'!$B$77='Общие данные'!$C$77,'График дифференц'!F21,IF('Общие данные'!$B$77='Общие данные'!$D$77,'График аннуитет.'!F21))</f>
        <v>2488401.7000000002</v>
      </c>
      <c r="H22" s="303"/>
      <c r="I22" s="303"/>
      <c r="J22" s="303"/>
      <c r="K22" s="303"/>
      <c r="L22" s="303"/>
      <c r="M22" s="303"/>
      <c r="N22" s="303"/>
      <c r="O22" s="303"/>
      <c r="P22" s="303"/>
    </row>
    <row r="23" spans="1:16" x14ac:dyDescent="0.25">
      <c r="A23" s="18">
        <v>15</v>
      </c>
      <c r="B23" s="33">
        <f>'График аннуитет.'!B22</f>
        <v>46183</v>
      </c>
      <c r="C23" s="34">
        <f>IF('Общие данные'!$B$77='Общие данные'!$C$77,'График дифференц'!C22,IF('Общие данные'!$B$77='Общие данные'!$D$77,'График аннуитет.'!C22))</f>
        <v>21333333.380000025</v>
      </c>
      <c r="D23" s="34">
        <f>IF('Общие данные'!$B$77='Общие данные'!$C$77,'График дифференц'!D22,IF('Общие данные'!$B$77='Общие данные'!$D$77,'График аннуитет.'!D22))</f>
        <v>1333333.33</v>
      </c>
      <c r="E23" s="34">
        <f>IF('Общие данные'!$B$77='Общие данные'!$C$77,'График дифференц'!E22,IF('Общие данные'!$B$77='Общие данные'!$D$77,'График аннуитет.'!E22))</f>
        <v>1052054.7</v>
      </c>
      <c r="F23" s="34">
        <f>IF('Общие данные'!$B$77='Общие данные'!$C$77,'График дифференц'!F22,IF('Общие данные'!$B$77='Общие данные'!$D$77,'График аннуитет.'!F22))</f>
        <v>2385388.0300000003</v>
      </c>
      <c r="H23" s="303"/>
      <c r="I23" s="303"/>
      <c r="J23" s="303"/>
      <c r="K23" s="303"/>
      <c r="L23" s="303"/>
      <c r="M23" s="303"/>
      <c r="N23" s="303"/>
      <c r="O23" s="303"/>
      <c r="P23" s="303"/>
    </row>
    <row r="24" spans="1:16" x14ac:dyDescent="0.25">
      <c r="A24" s="18">
        <v>16</v>
      </c>
      <c r="B24" s="33">
        <f>'График аннуитет.'!B23</f>
        <v>46213</v>
      </c>
      <c r="C24" s="34">
        <f>IF('Общие данные'!$B$77='Общие данные'!$C$77,'График дифференц'!C23,IF('Общие данные'!$B$77='Общие данные'!$D$77,'График аннуитет.'!C23))</f>
        <v>20000000.050000027</v>
      </c>
      <c r="D24" s="34">
        <f>IF('Общие данные'!$B$77='Общие данные'!$C$77,'График дифференц'!D23,IF('Общие данные'!$B$77='Общие данные'!$D$77,'График аннуитет.'!D23))</f>
        <v>1333333.33</v>
      </c>
      <c r="E24" s="34">
        <f>IF('Общие данные'!$B$77='Общие данные'!$C$77,'График дифференц'!E23,IF('Общие данные'!$B$77='Общие данные'!$D$77,'График аннуитет.'!E23))</f>
        <v>986301.29999999993</v>
      </c>
      <c r="F24" s="34">
        <f>IF('Общие данные'!$B$77='Общие данные'!$C$77,'График дифференц'!F23,IF('Общие данные'!$B$77='Общие данные'!$D$77,'График аннуитет.'!F23))</f>
        <v>2319634.63</v>
      </c>
      <c r="H24" s="303"/>
      <c r="I24" s="303"/>
      <c r="J24" s="303"/>
      <c r="K24" s="303"/>
      <c r="L24" s="303"/>
      <c r="M24" s="303"/>
      <c r="N24" s="303"/>
      <c r="O24" s="303"/>
      <c r="P24" s="303"/>
    </row>
    <row r="25" spans="1:16" x14ac:dyDescent="0.25">
      <c r="A25" s="18">
        <v>17</v>
      </c>
      <c r="B25" s="33">
        <f>'График аннуитет.'!B24</f>
        <v>46244</v>
      </c>
      <c r="C25" s="34">
        <f>IF('Общие данные'!$B$77='Общие данные'!$C$77,'График дифференц'!C24,IF('Общие данные'!$B$77='Общие данные'!$D$77,'График аннуитет.'!C24))</f>
        <v>18666666.720000029</v>
      </c>
      <c r="D25" s="34">
        <f>IF('Общие данные'!$B$77='Общие данные'!$C$77,'График дифференц'!D24,IF('Общие данные'!$B$77='Общие данные'!$D$77,'График аннуитет.'!D24))</f>
        <v>1333333.33</v>
      </c>
      <c r="E25" s="34">
        <f>IF('Общие данные'!$B$77='Общие данные'!$C$77,'График дифференц'!E24,IF('Общие данные'!$B$77='Общие данные'!$D$77,'График аннуитет.'!E24))</f>
        <v>951232.83</v>
      </c>
      <c r="F25" s="34">
        <f>IF('Общие данные'!$B$77='Общие данные'!$C$77,'График дифференц'!F24,IF('Общие данные'!$B$77='Общие данные'!$D$77,'График аннуитет.'!F24))</f>
        <v>2284566.16</v>
      </c>
    </row>
    <row r="26" spans="1:16" x14ac:dyDescent="0.25">
      <c r="A26" s="18">
        <v>18</v>
      </c>
      <c r="B26" s="33">
        <f>'График аннуитет.'!B25</f>
        <v>46275</v>
      </c>
      <c r="C26" s="34">
        <f>IF('Общие данные'!$B$77='Общие данные'!$C$77,'График дифференц'!C25,IF('Общие данные'!$B$77='Общие данные'!$D$77,'График аннуитет.'!C25))</f>
        <v>17333333.39000003</v>
      </c>
      <c r="D26" s="34">
        <f>IF('Общие данные'!$B$77='Общие данные'!$C$77,'График дифференц'!D25,IF('Общие данные'!$B$77='Общие данные'!$D$77,'График аннуитет.'!D25))</f>
        <v>1333333.33</v>
      </c>
      <c r="E26" s="34">
        <f>IF('Общие данные'!$B$77='Общие данные'!$C$77,'График дифференц'!E25,IF('Общие данные'!$B$77='Общие данные'!$D$77,'График аннуитет.'!E25))</f>
        <v>883287.65</v>
      </c>
      <c r="F26" s="34">
        <f>IF('Общие данные'!$B$77='Общие данные'!$C$77,'График дифференц'!F25,IF('Общие данные'!$B$77='Общие данные'!$D$77,'График аннуитет.'!F25))</f>
        <v>2216620.98</v>
      </c>
    </row>
    <row r="27" spans="1:16" x14ac:dyDescent="0.25">
      <c r="A27" s="18">
        <f>1+A26</f>
        <v>19</v>
      </c>
      <c r="B27" s="33">
        <f>'График аннуитет.'!B26</f>
        <v>46307</v>
      </c>
      <c r="C27" s="34">
        <f>IF('Общие данные'!$B$77='Общие данные'!$C$77,'График дифференц'!C26,IF('Общие данные'!$B$77='Общие данные'!$D$77,'График аннуитет.'!C26))</f>
        <v>16000000.06000003</v>
      </c>
      <c r="D27" s="34">
        <f>IF('Общие данные'!$B$77='Общие данные'!$C$77,'График дифференц'!D26,IF('Общие данные'!$B$77='Общие данные'!$D$77,'График аннуитет.'!D26))</f>
        <v>1333333.33</v>
      </c>
      <c r="E27" s="34">
        <f>IF('Общие данные'!$B$77='Общие данные'!$C$77,'График дифференц'!E26,IF('Общие данные'!$B$77='Общие данные'!$D$77,'График аннуитет.'!E26))</f>
        <v>841643.84</v>
      </c>
      <c r="F27" s="34">
        <f>IF('Общие данные'!$B$77='Общие данные'!$C$77,'График дифференц'!F26,IF('Общие данные'!$B$77='Общие данные'!$D$77,'График аннуитет.'!F26))</f>
        <v>2174977.17</v>
      </c>
    </row>
    <row r="28" spans="1:16" x14ac:dyDescent="0.25">
      <c r="A28" s="18">
        <f t="shared" ref="A28:A43" si="0">1+A27</f>
        <v>20</v>
      </c>
      <c r="B28" s="33">
        <f>'График аннуитет.'!B27</f>
        <v>46336</v>
      </c>
      <c r="C28" s="34">
        <f>IF('Общие данные'!$B$77='Общие данные'!$C$77,'График дифференц'!C27,IF('Общие данные'!$B$77='Общие данные'!$D$77,'График аннуитет.'!C27))</f>
        <v>14666666.73000003</v>
      </c>
      <c r="D28" s="34">
        <f>IF('Общие данные'!$B$77='Общие данные'!$C$77,'График дифференц'!D27,IF('Общие данные'!$B$77='Общие данные'!$D$77,'График аннуитет.'!D27))</f>
        <v>1333333.33</v>
      </c>
      <c r="E28" s="34">
        <f>IF('Общие данные'!$B$77='Общие данные'!$C$77,'График дифференц'!E27,IF('Общие данные'!$B$77='Общие данные'!$D$77,'График аннуитет.'!E27))</f>
        <v>699178.11</v>
      </c>
      <c r="F28" s="34">
        <f>IF('Общие данные'!$B$77='Общие данные'!$C$77,'График дифференц'!F27,IF('Общие данные'!$B$77='Общие данные'!$D$77,'График аннуитет.'!F27))</f>
        <v>2032511.44</v>
      </c>
    </row>
    <row r="29" spans="1:16" x14ac:dyDescent="0.25">
      <c r="A29" s="18">
        <f t="shared" si="0"/>
        <v>21</v>
      </c>
      <c r="B29" s="33">
        <f>'График аннуитет.'!B28</f>
        <v>46366</v>
      </c>
      <c r="C29" s="34">
        <f>IF('Общие данные'!$B$77='Общие данные'!$C$77,'График дифференц'!C28,IF('Общие данные'!$B$77='Общие данные'!$D$77,'График аннуитет.'!C28))</f>
        <v>13333333.40000003</v>
      </c>
      <c r="D29" s="34">
        <f>IF('Общие данные'!$B$77='Общие данные'!$C$77,'График дифференц'!D28,IF('Общие данные'!$B$77='Общие данные'!$D$77,'График аннуитет.'!D28))</f>
        <v>1333333.33</v>
      </c>
      <c r="E29" s="34">
        <f>IF('Общие данные'!$B$77='Общие данные'!$C$77,'График дифференц'!E28,IF('Общие данные'!$B$77='Общие данные'!$D$77,'График аннуитет.'!E28))</f>
        <v>657534.30000000005</v>
      </c>
      <c r="F29" s="34">
        <f>IF('Общие данные'!$B$77='Общие данные'!$C$77,'График дифференц'!F28,IF('Общие данные'!$B$77='Общие данные'!$D$77,'График аннуитет.'!F28))</f>
        <v>1990867.6300000001</v>
      </c>
    </row>
    <row r="30" spans="1:16" x14ac:dyDescent="0.25">
      <c r="A30" s="18">
        <f t="shared" si="0"/>
        <v>22</v>
      </c>
      <c r="B30" s="33">
        <f>'График аннуитет.'!B29</f>
        <v>46398</v>
      </c>
      <c r="C30" s="34">
        <f>IF('Общие данные'!$B$77='Общие данные'!$C$77,'График дифференц'!C29,IF('Общие данные'!$B$77='Общие данные'!$D$77,'График аннуитет.'!C29))</f>
        <v>12000000.07000003</v>
      </c>
      <c r="D30" s="34">
        <f>IF('Общие данные'!$B$77='Общие данные'!$C$77,'График дифференц'!D29,IF('Общие данные'!$B$77='Общие данные'!$D$77,'График аннуитет.'!D29))</f>
        <v>1333333.33</v>
      </c>
      <c r="E30" s="34">
        <f>IF('Общие данные'!$B$77='Общие данные'!$C$77,'График дифференц'!E29,IF('Общие данные'!$B$77='Общие данные'!$D$77,'График аннуитет.'!E29))</f>
        <v>631232.96</v>
      </c>
      <c r="F30" s="34">
        <f>IF('Общие данные'!$B$77='Общие данные'!$C$77,'График дифференц'!F29,IF('Общие данные'!$B$77='Общие данные'!$D$77,'График аннуитет.'!F29))</f>
        <v>1964566.29</v>
      </c>
    </row>
    <row r="31" spans="1:16" x14ac:dyDescent="0.25">
      <c r="A31" s="18">
        <f t="shared" si="0"/>
        <v>23</v>
      </c>
      <c r="B31" s="33">
        <f>'График аннуитет.'!B30</f>
        <v>46428</v>
      </c>
      <c r="C31" s="34">
        <f>IF('Общие данные'!$B$77='Общие данные'!$C$77,'График дифференц'!C30,IF('Общие данные'!$B$77='Общие данные'!$D$77,'График аннуитет.'!C30))</f>
        <v>10666666.74000003</v>
      </c>
      <c r="D31" s="34">
        <f>IF('Общие данные'!$B$77='Общие данные'!$C$77,'График дифференц'!D30,IF('Общие данные'!$B$77='Общие данные'!$D$77,'График аннуитет.'!D30))</f>
        <v>1333333.33</v>
      </c>
      <c r="E31" s="34">
        <f>IF('Общие данные'!$B$77='Общие данные'!$C$77,'График дифференц'!E30,IF('Общие данные'!$B$77='Общие данные'!$D$77,'График аннуитет.'!E30))</f>
        <v>526027.5</v>
      </c>
      <c r="F31" s="34">
        <f>IF('Общие данные'!$B$77='Общие данные'!$C$77,'График дифференц'!F30,IF('Общие данные'!$B$77='Общие данные'!$D$77,'График аннуитет.'!F30))</f>
        <v>1859360.83</v>
      </c>
    </row>
    <row r="32" spans="1:16" x14ac:dyDescent="0.25">
      <c r="A32" s="18">
        <f t="shared" si="0"/>
        <v>24</v>
      </c>
      <c r="B32" s="33">
        <f>'График аннуитет.'!B31</f>
        <v>46456</v>
      </c>
      <c r="C32" s="34">
        <f>IF('Общие данные'!$B$77='Общие данные'!$C$77,'График дифференц'!C31,IF('Общие данные'!$B$77='Общие данные'!$D$77,'График аннуитет.'!C31))</f>
        <v>9333333.41000003</v>
      </c>
      <c r="D32" s="34">
        <f>IF('Общие данные'!$B$77='Общие данные'!$C$77,'График дифференц'!D31,IF('Общие данные'!$B$77='Общие данные'!$D$77,'График аннуитет.'!D31))</f>
        <v>1333333.33</v>
      </c>
      <c r="E32" s="34">
        <f>IF('Общие данные'!$B$77='Общие данные'!$C$77,'График дифференц'!E31,IF('Общие данные'!$B$77='Общие данные'!$D$77,'График аннуитет.'!E31))</f>
        <v>429589.16</v>
      </c>
      <c r="F32" s="34">
        <f>IF('Общие данные'!$B$77='Общие данные'!$C$77,'График дифференц'!F31,IF('Общие данные'!$B$77='Общие данные'!$D$77,'График аннуитет.'!F31))</f>
        <v>1762922.49</v>
      </c>
    </row>
    <row r="33" spans="1:6" x14ac:dyDescent="0.25">
      <c r="A33" s="18">
        <f t="shared" si="0"/>
        <v>25</v>
      </c>
      <c r="B33" s="33">
        <f>IF('График аннуитет.'!B32=FALSE,"",'График аннуитет.'!B32)</f>
        <v>46489</v>
      </c>
      <c r="C33" s="34">
        <f>IF('Общие данные'!$B$77='Общие данные'!$C$77,'График дифференц'!C32,IF('Общие данные'!$B$77='Общие данные'!$D$77,'График аннуитет.'!C32))</f>
        <v>8000000.0800000299</v>
      </c>
      <c r="D33" s="34">
        <f>IF('Общие данные'!$B$77='Общие данные'!$C$77,'График дифференц'!D32,IF('Общие данные'!$B$77='Общие данные'!$D$77,'График аннуитет.'!D32))</f>
        <v>1333333.33</v>
      </c>
      <c r="E33" s="34">
        <f>IF('Общие данные'!$B$77='Общие данные'!$C$77,'График дифференц'!E32,IF('Общие данные'!$B$77='Общие данные'!$D$77,'График аннуитет.'!E32))</f>
        <v>433972.77</v>
      </c>
      <c r="F33" s="34">
        <f>IF('Общие данные'!$B$77='Общие данные'!$C$77,'График дифференц'!F32,IF('Общие данные'!$B$77='Общие данные'!$D$77,'График аннуитет.'!F32))</f>
        <v>1767306.1</v>
      </c>
    </row>
    <row r="34" spans="1:6" x14ac:dyDescent="0.25">
      <c r="A34" s="18">
        <f t="shared" si="0"/>
        <v>26</v>
      </c>
      <c r="B34" s="33">
        <f>IF('График аннуитет.'!B33=FALSE,"",'График аннуитет.'!B33)</f>
        <v>46517</v>
      </c>
      <c r="C34" s="34">
        <f>IF('Общие данные'!$B$77='Общие данные'!$C$77,'График дифференц'!C33,IF('Общие данные'!$B$77='Общие данные'!$D$77,'График аннуитет.'!C33))</f>
        <v>6666666.7500000298</v>
      </c>
      <c r="D34" s="34">
        <f>IF('Общие данные'!$B$77='Общие данные'!$C$77,'График дифференц'!D33,IF('Общие данные'!$B$77='Общие данные'!$D$77,'График аннуитет.'!D33))</f>
        <v>1333333.33</v>
      </c>
      <c r="E34" s="34">
        <f>IF('Общие данные'!$B$77='Общие данные'!$C$77,'График дифференц'!E33,IF('Общие данные'!$B$77='Общие данные'!$D$77,'График аннуитет.'!E33))</f>
        <v>306849.2</v>
      </c>
      <c r="F34" s="34">
        <f>IF('Общие данные'!$B$77='Общие данные'!$C$77,'График дифференц'!F33,IF('Общие данные'!$B$77='Общие данные'!$D$77,'График аннуитет.'!F33))</f>
        <v>1640182.53</v>
      </c>
    </row>
    <row r="35" spans="1:6" x14ac:dyDescent="0.25">
      <c r="A35" s="18">
        <f t="shared" si="0"/>
        <v>27</v>
      </c>
      <c r="B35" s="33">
        <f>IF('График аннуитет.'!B34=FALSE,"",'График аннуитет.'!B34)</f>
        <v>46548</v>
      </c>
      <c r="C35" s="34">
        <f>IF('Общие данные'!$B$77='Общие данные'!$C$77,'График дифференц'!C34,IF('Общие данные'!$B$77='Общие данные'!$D$77,'График аннуитет.'!C34))</f>
        <v>5333333.4200000297</v>
      </c>
      <c r="D35" s="34">
        <f>IF('Общие данные'!$B$77='Общие данные'!$C$77,'График дифференц'!D34,IF('Общие данные'!$B$77='Общие данные'!$D$77,'График аннуитет.'!D34))</f>
        <v>1333333.33</v>
      </c>
      <c r="E35" s="34">
        <f>IF('Общие данные'!$B$77='Общие данные'!$C$77,'График дифференц'!E34,IF('Общие данные'!$B$77='Общие данные'!$D$77,'График аннуитет.'!E34))</f>
        <v>271780.72000000003</v>
      </c>
      <c r="F35" s="34">
        <f>IF('Общие данные'!$B$77='Общие данные'!$C$77,'График дифференц'!F34,IF('Общие данные'!$B$77='Общие данные'!$D$77,'График аннуитет.'!F34))</f>
        <v>1605114.05</v>
      </c>
    </row>
    <row r="36" spans="1:6" x14ac:dyDescent="0.25">
      <c r="A36" s="18">
        <f t="shared" si="0"/>
        <v>28</v>
      </c>
      <c r="B36" s="33">
        <f>IF('График аннуитет.'!B35=FALSE,"",'График аннуитет.'!B35)</f>
        <v>46580</v>
      </c>
      <c r="C36" s="34">
        <f>IF('Общие данные'!$B$77='Общие данные'!$C$77,'График дифференц'!C35,IF('Общие данные'!$B$77='Общие данные'!$D$77,'График аннуитет.'!C35))</f>
        <v>4000000.0900000297</v>
      </c>
      <c r="D36" s="34">
        <f>IF('Общие данные'!$B$77='Общие данные'!$C$77,'График дифференц'!D35,IF('Общие данные'!$B$77='Общие данные'!$D$77,'График аннуитет.'!D35))</f>
        <v>1333333.33</v>
      </c>
      <c r="E36" s="34">
        <f>IF('Общие данные'!$B$77='Общие данные'!$C$77,'График дифференц'!E35,IF('Общие данные'!$B$77='Общие данные'!$D$77,'График аннуитет.'!E35))</f>
        <v>210410.88</v>
      </c>
      <c r="F36" s="34">
        <f>IF('Общие данные'!$B$77='Общие данные'!$C$77,'График дифференц'!F35,IF('Общие данные'!$B$77='Общие данные'!$D$77,'График аннуитет.'!F35))</f>
        <v>1543744.21</v>
      </c>
    </row>
    <row r="37" spans="1:6" x14ac:dyDescent="0.25">
      <c r="A37" s="18">
        <f t="shared" si="0"/>
        <v>29</v>
      </c>
      <c r="B37" s="33">
        <f>IF('График аннуитет.'!B36=FALSE,"",'График аннуитет.'!B36)</f>
        <v>46609</v>
      </c>
      <c r="C37" s="34">
        <f>IF('Общие данные'!$B$77='Общие данные'!$C$77,'График дифференц'!C36,IF('Общие данные'!$B$77='Общие данные'!$D$77,'График аннуитет.'!C36))</f>
        <v>2666666.7600000296</v>
      </c>
      <c r="D37" s="34">
        <f>IF('Общие данные'!$B$77='Общие данные'!$C$77,'График дифференц'!D36,IF('Общие данные'!$B$77='Общие данные'!$D$77,'График аннуитет.'!D36))</f>
        <v>1333333.33</v>
      </c>
      <c r="E37" s="34">
        <f>IF('Общие данные'!$B$77='Общие данные'!$C$77,'График дифференц'!E36,IF('Общие данные'!$B$77='Общие данные'!$D$77,'График аннуитет.'!E36))</f>
        <v>127123.24</v>
      </c>
      <c r="F37" s="34">
        <f>IF('Общие данные'!$B$77='Общие данные'!$C$77,'График дифференц'!F36,IF('Общие данные'!$B$77='Общие данные'!$D$77,'График аннуитет.'!F36))</f>
        <v>1460456.57</v>
      </c>
    </row>
    <row r="38" spans="1:6" x14ac:dyDescent="0.25">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1333333.4300000295</v>
      </c>
      <c r="D38" s="34">
        <f>IF('Общие данные'!$B$77='Общие данные'!$C$77,'График дифференц'!D37,IF('Общие данные'!$B$77='Общие данные'!$D$77,'График аннуитет.'!D37))</f>
        <v>1333333.4300000295</v>
      </c>
      <c r="E38" s="34">
        <f>IF('Общие данные'!$B$77='Общие данные'!$C$77,'График дифференц'!E37,IF('Общие данные'!$B$77='Общие данные'!$D$77,'График аннуитет.'!E37))</f>
        <v>59178.060000000005</v>
      </c>
      <c r="F38" s="34">
        <f>IF('Общие данные'!$B$77='Общие данные'!$C$77,'График дифференц'!F37,IF('Общие данные'!$B$77='Общие данные'!$D$77,'График аннуитет.'!F37))</f>
        <v>1392511.4900000296</v>
      </c>
    </row>
    <row r="39" spans="1:6" hidden="1" x14ac:dyDescent="0.25">
      <c r="A39" s="18">
        <f t="shared" si="0"/>
        <v>31</v>
      </c>
      <c r="B39" s="33" t="str">
        <f>IF('График аннуитет.'!B38=FALSE,"",'График аннуитет.'!B38)</f>
        <v/>
      </c>
      <c r="C39" s="34">
        <f>IF('Общие данные'!$B$77='Общие данные'!$C$77,'График дифференц'!C38,IF('Общие данные'!$B$77='Общие данные'!$D$77,'График аннуитет.'!C38))</f>
        <v>0</v>
      </c>
      <c r="D39" s="34">
        <f>IF('Общие данные'!$B$77='Общие данные'!$C$77,'График дифференц'!D38,IF('Общие данные'!$B$77='Общие данные'!$D$77,'График аннуитет.'!D38))</f>
        <v>0</v>
      </c>
      <c r="E39" s="34">
        <f>IF('Общие данные'!$B$77='Общие данные'!$C$77,'График дифференц'!E38,IF('Общие данные'!$B$77='Общие данные'!$D$77,'График аннуитет.'!E38))</f>
        <v>0</v>
      </c>
      <c r="F39" s="34">
        <f>IF('Общие данные'!$B$77='Общие данные'!$C$77,'График дифференц'!F38,IF('Общие данные'!$B$77='Общие данные'!$D$77,'График аннуитет.'!F38))</f>
        <v>0</v>
      </c>
    </row>
    <row r="40" spans="1:6" hidden="1" x14ac:dyDescent="0.25">
      <c r="A40" s="18">
        <f t="shared" si="0"/>
        <v>32</v>
      </c>
      <c r="B40" s="33" t="str">
        <f>IF('График аннуитет.'!B39=FALSE,"",'График аннуитет.'!B39)</f>
        <v/>
      </c>
      <c r="C40" s="34">
        <f>IF('Общие данные'!$B$77='Общие данные'!$C$77,'График дифференц'!C39,IF('Общие данные'!$B$77='Общие данные'!$D$77,'График аннуитет.'!C39))</f>
        <v>0</v>
      </c>
      <c r="D40" s="34">
        <f>IF('Общие данные'!$B$77='Общие данные'!$C$77,'График дифференц'!D39,IF('Общие данные'!$B$77='Общие данные'!$D$77,'График аннуитет.'!D39))</f>
        <v>0</v>
      </c>
      <c r="E40" s="34">
        <f>IF('Общие данные'!$B$77='Общие данные'!$C$77,'График дифференц'!E39,IF('Общие данные'!$B$77='Общие данные'!$D$77,'График аннуитет.'!E39))</f>
        <v>0</v>
      </c>
      <c r="F40" s="34">
        <f>IF('Общие данные'!$B$77='Общие данные'!$C$77,'График дифференц'!F39,IF('Общие данные'!$B$77='Общие данные'!$D$77,'График аннуитет.'!F39))</f>
        <v>0</v>
      </c>
    </row>
    <row r="41" spans="1:6" hidden="1" x14ac:dyDescent="0.25">
      <c r="A41" s="18">
        <f t="shared" si="0"/>
        <v>33</v>
      </c>
      <c r="B41" s="33" t="str">
        <f>IF('График аннуитет.'!B40=FALSE,"",'График аннуитет.'!B40)</f>
        <v/>
      </c>
      <c r="C41" s="34">
        <f>IF('Общие данные'!$B$77='Общие данные'!$C$77,'График дифференц'!C40,IF('Общие данные'!$B$77='Общие данные'!$D$77,'График аннуитет.'!C40))</f>
        <v>0</v>
      </c>
      <c r="D41" s="34">
        <f>IF('Общие данные'!$B$77='Общие данные'!$C$77,'График дифференц'!D40,IF('Общие данные'!$B$77='Общие данные'!$D$77,'График аннуитет.'!D40))</f>
        <v>0</v>
      </c>
      <c r="E41" s="34">
        <f>IF('Общие данные'!$B$77='Общие данные'!$C$77,'График дифференц'!E40,IF('Общие данные'!$B$77='Общие данные'!$D$77,'График аннуитет.'!E40))</f>
        <v>0</v>
      </c>
      <c r="F41" s="34">
        <f>IF('Общие данные'!$B$77='Общие данные'!$C$77,'График дифференц'!F40,IF('Общие данные'!$B$77='Общие данные'!$D$77,'График аннуитет.'!F40))</f>
        <v>0</v>
      </c>
    </row>
    <row r="42" spans="1:6" hidden="1" x14ac:dyDescent="0.25">
      <c r="A42" s="18">
        <f t="shared" si="0"/>
        <v>34</v>
      </c>
      <c r="B42" s="33" t="str">
        <f>IF('График аннуитет.'!B41=FALSE,"",'График аннуитет.'!B41)</f>
        <v/>
      </c>
      <c r="C42" s="34">
        <f>IF('Общие данные'!$B$77='Общие данные'!$C$77,'График дифференц'!C41,IF('Общие данные'!$B$77='Общие данные'!$D$77,'График аннуитет.'!C41))</f>
        <v>0</v>
      </c>
      <c r="D42" s="34">
        <f>IF('Общие данные'!$B$77='Общие данные'!$C$77,'График дифференц'!D41,IF('Общие данные'!$B$77='Общие данные'!$D$77,'График аннуитет.'!D41))</f>
        <v>0</v>
      </c>
      <c r="E42" s="34">
        <f>IF('Общие данные'!$B$77='Общие данные'!$C$77,'График дифференц'!E41,IF('Общие данные'!$B$77='Общие данные'!$D$77,'График аннуитет.'!E41))</f>
        <v>0</v>
      </c>
      <c r="F42" s="34">
        <f>IF('Общие данные'!$B$77='Общие данные'!$C$77,'График дифференц'!F41,IF('Общие данные'!$B$77='Общие данные'!$D$77,'График аннуитет.'!F41))</f>
        <v>0</v>
      </c>
    </row>
    <row r="43" spans="1:6" hidden="1" x14ac:dyDescent="0.25">
      <c r="A43" s="18">
        <f t="shared" si="0"/>
        <v>35</v>
      </c>
      <c r="B43" s="33" t="str">
        <f>IF('График аннуитет.'!B42=FALSE,"",'График аннуитет.'!B42)</f>
        <v/>
      </c>
      <c r="C43" s="34">
        <f>IF('Общие данные'!$B$77='Общие данные'!$C$77,'График дифференц'!C42,IF('Общие данные'!$B$77='Общие данные'!$D$77,'График аннуитет.'!C42))</f>
        <v>0</v>
      </c>
      <c r="D43" s="34">
        <f>IF('Общие данные'!$B$77='Общие данные'!$C$77,'График дифференц'!D42,IF('Общие данные'!$B$77='Общие данные'!$D$77,'График аннуитет.'!D42))</f>
        <v>0</v>
      </c>
      <c r="E43" s="34">
        <f>IF('Общие данные'!$B$77='Общие данные'!$C$77,'График дифференц'!E42,IF('Общие данные'!$B$77='Общие данные'!$D$77,'График аннуитет.'!E42))</f>
        <v>0</v>
      </c>
      <c r="F43" s="34">
        <f>IF('Общие данные'!$B$77='Общие данные'!$C$77,'График дифференц'!F42,IF('Общие данные'!$B$77='Общие данные'!$D$77,'График аннуитет.'!F42))</f>
        <v>0</v>
      </c>
    </row>
    <row r="44" spans="1:6" hidden="1" x14ac:dyDescent="0.25">
      <c r="A44" s="18">
        <f>1+A43</f>
        <v>36</v>
      </c>
      <c r="B44" s="33" t="str">
        <f>IF('График аннуитет.'!B43=FALSE,"",'График аннуитет.'!B43)</f>
        <v/>
      </c>
      <c r="C44" s="34">
        <f>IF('Общие данные'!$B$77='Общие данные'!$C$77,'График дифференц'!C43,IF('Общие данные'!$B$77='Общие данные'!$D$77,'График аннуитет.'!C43))</f>
        <v>0</v>
      </c>
      <c r="D44" s="34">
        <f>IF('Общие данные'!$B$77='Общие данные'!$C$77,'График дифференц'!D43,IF('Общие данные'!$B$77='Общие данные'!$D$77,'График аннуитет.'!D43))</f>
        <v>0</v>
      </c>
      <c r="E44" s="34">
        <f>IF('Общие данные'!$B$77='Общие данные'!$C$77,'График дифференц'!E43,IF('Общие данные'!$B$77='Общие данные'!$D$77,'График аннуитет.'!E43))</f>
        <v>0</v>
      </c>
      <c r="F44" s="34">
        <f>IF('Общие данные'!$B$77='Общие данные'!$C$77,'График дифференц'!F43,IF('Общие данные'!$B$77='Общие данные'!$D$77,'График аннуитет.'!F43))</f>
        <v>0</v>
      </c>
    </row>
    <row r="45" spans="1:6" x14ac:dyDescent="0.25">
      <c r="A45" s="46"/>
      <c r="B45" s="47" t="s">
        <v>212</v>
      </c>
      <c r="C45" s="48"/>
      <c r="D45" s="48">
        <f>SUM(D9:D44)</f>
        <v>40000000</v>
      </c>
      <c r="E45" s="48">
        <f t="shared" ref="E45:F45" si="1">SUM(E9:E44)</f>
        <v>31346848.919999991</v>
      </c>
      <c r="F45" s="48">
        <f t="shared" si="1"/>
        <v>71346848.920000032</v>
      </c>
    </row>
    <row r="46" spans="1:6" ht="14.25" customHeight="1" x14ac:dyDescent="0.25">
      <c r="B46" s="35"/>
      <c r="C46" s="36"/>
      <c r="D46" s="36"/>
      <c r="E46" s="36"/>
      <c r="F46" s="36"/>
    </row>
    <row r="47" spans="1:6" ht="47.25" customHeight="1" x14ac:dyDescent="0.25">
      <c r="A47" s="227"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27"/>
      <c r="C47" s="227"/>
      <c r="D47" s="227"/>
      <c r="E47" s="227"/>
      <c r="F47" s="227"/>
    </row>
    <row r="48" spans="1:6" ht="7.5" customHeight="1" x14ac:dyDescent="0.25"/>
    <row r="49" spans="1:6" ht="15" customHeight="1" x14ac:dyDescent="0.25">
      <c r="A49" s="255" t="s">
        <v>275</v>
      </c>
      <c r="B49" s="255"/>
      <c r="C49" s="255"/>
      <c r="D49" s="255" t="s">
        <v>283</v>
      </c>
      <c r="E49" s="255"/>
      <c r="F49" s="255"/>
    </row>
    <row r="50" spans="1:6" ht="11.25" customHeight="1" x14ac:dyDescent="0.25">
      <c r="A50" s="256"/>
      <c r="B50" s="256"/>
      <c r="C50" s="256"/>
      <c r="D50" s="256"/>
      <c r="E50" s="256"/>
      <c r="F50" s="256"/>
    </row>
    <row r="51" spans="1:6" ht="30" customHeight="1" x14ac:dyDescent="0.25">
      <c r="A51" s="254" t="str">
        <f>договор!A117</f>
        <v>«CLEVER MIKROMOLIYA TASHKILOTI» MChJ</v>
      </c>
      <c r="B51" s="254"/>
      <c r="C51" s="254"/>
      <c r="D51" s="254" t="str">
        <f>договор!B117</f>
        <v>SHUKUROV OTABEK SHOKIROVICH</v>
      </c>
      <c r="E51" s="254"/>
      <c r="F51" s="254"/>
    </row>
    <row r="52" spans="1:6" ht="32.25" customHeight="1" x14ac:dyDescent="0.25">
      <c r="A52" s="250" t="str">
        <f>договор!A119</f>
        <v>Manzil: Toshkent shahri, Olmazor tumani, Sagbon ko'chasi, 30 boshi berk, 6-uy</v>
      </c>
      <c r="B52" s="250"/>
      <c r="C52" s="250"/>
      <c r="D52" s="250" t="str">
        <f>договор!B119</f>
        <v xml:space="preserve">Manzil: BUXORO VILOYATI QORAKO'L TUMANI JIG'ACHI MFY </v>
      </c>
      <c r="E52" s="250"/>
      <c r="F52" s="250"/>
    </row>
    <row r="53" spans="1:6" ht="15" customHeight="1" x14ac:dyDescent="0.25">
      <c r="A53" s="250" t="str">
        <f>договор!A120</f>
        <v>h/r: №20216000705068380001</v>
      </c>
      <c r="B53" s="250"/>
      <c r="C53" s="250"/>
      <c r="D53" s="250" t="str">
        <f>договор!B121</f>
        <v>pasport seriyasi: AD9358147, IIV 6230 tomonidan 11.11.2024 yilda berilgan</v>
      </c>
      <c r="E53" s="250"/>
      <c r="F53" s="250"/>
    </row>
    <row r="54" spans="1:6" ht="32.25" customHeight="1" x14ac:dyDescent="0.25">
      <c r="A54" s="250" t="str">
        <f>договор!A121</f>
        <v>MFO: №01042 в ATB “Kapitalbank” Sergeli filiali</v>
      </c>
      <c r="B54" s="250"/>
      <c r="C54" s="250"/>
      <c r="D54" s="250"/>
      <c r="E54" s="250"/>
      <c r="F54" s="250"/>
    </row>
    <row r="55" spans="1:6" ht="15" customHeight="1" x14ac:dyDescent="0.25">
      <c r="A55" s="250" t="str">
        <f>договор!A122</f>
        <v>STIR: 306365847</v>
      </c>
      <c r="B55" s="250"/>
      <c r="C55" s="250"/>
      <c r="D55" s="250" t="str">
        <f>договор!B122</f>
        <v>Tel: 94 125-49-00 O'ZI</v>
      </c>
      <c r="E55" s="250"/>
      <c r="F55" s="250"/>
    </row>
    <row r="56" spans="1:6" ht="15" customHeight="1" x14ac:dyDescent="0.25">
      <c r="A56" s="250" t="str">
        <f>договор!A123</f>
        <v>Tel: (78) 113 31 33</v>
      </c>
      <c r="B56" s="250"/>
      <c r="C56" s="250"/>
      <c r="D56" s="250" t="str">
        <f>договор!B123</f>
        <v>93 653-50-54 OTASI</v>
      </c>
      <c r="E56" s="250"/>
      <c r="F56" s="250"/>
    </row>
    <row r="57" spans="1:6" ht="15" customHeight="1" x14ac:dyDescent="0.25">
      <c r="A57" s="250" t="str">
        <f>договор!A124</f>
        <v>(78) 113 31 34</v>
      </c>
      <c r="B57" s="250"/>
      <c r="C57" s="250"/>
      <c r="D57" s="250" t="str">
        <f>договор!B124</f>
        <v>93 264-50-54  ONASI</v>
      </c>
      <c r="E57" s="250"/>
      <c r="F57" s="250"/>
    </row>
    <row r="58" spans="1:6" ht="23.25" customHeight="1" x14ac:dyDescent="0.25">
      <c r="A58" s="250"/>
      <c r="B58" s="250"/>
      <c r="C58" s="250"/>
      <c r="D58" s="250" t="str">
        <f>IF(договор!B125=0,"",договор!B125)</f>
        <v/>
      </c>
      <c r="E58" s="250"/>
      <c r="F58" s="250"/>
    </row>
    <row r="59" spans="1:6" ht="29.25" customHeight="1" x14ac:dyDescent="0.25">
      <c r="A59" s="304" t="str">
        <f>'Общие данные'!A161</f>
        <v>Qorako'l filiali boshlig'i</v>
      </c>
      <c r="B59" s="304"/>
      <c r="C59" s="304"/>
      <c r="D59" s="254" t="str">
        <f>договор!B126</f>
        <v>SHUKUROV O.SH     __________________</v>
      </c>
      <c r="E59" s="254"/>
      <c r="F59" s="254"/>
    </row>
    <row r="60" spans="1:6" ht="15" customHeight="1" x14ac:dyDescent="0.25">
      <c r="A60" s="250"/>
      <c r="B60" s="250"/>
      <c r="C60" s="250"/>
      <c r="D60" s="254"/>
      <c r="E60" s="254"/>
      <c r="F60" s="254"/>
    </row>
    <row r="61" spans="1:6" x14ac:dyDescent="0.25">
      <c r="A61" s="304" t="str">
        <f>""&amp;'Общие данные'!B161&amp;"     __________________"</f>
        <v>Egamberdiyeva D.I.     __________________</v>
      </c>
      <c r="B61" s="304"/>
      <c r="C61" s="304"/>
      <c r="D61" s="254"/>
      <c r="E61" s="254"/>
      <c r="F61" s="254"/>
    </row>
    <row r="62" spans="1:6" ht="8.25" customHeight="1" x14ac:dyDescent="0.25">
      <c r="A62" s="250"/>
      <c r="B62" s="250"/>
      <c r="C62" s="250"/>
      <c r="D62" s="250"/>
      <c r="E62" s="250"/>
      <c r="F62" s="250"/>
    </row>
    <row r="63" spans="1:6" ht="30" customHeight="1" x14ac:dyDescent="0.25">
      <c r="A63" s="251"/>
      <c r="B63" s="251"/>
      <c r="C63" s="251"/>
      <c r="D63" s="252"/>
      <c r="E63" s="252"/>
      <c r="F63" s="252"/>
    </row>
    <row r="64" spans="1:6" x14ac:dyDescent="0.25">
      <c r="A64" s="253"/>
      <c r="B64" s="253"/>
      <c r="C64" s="253"/>
      <c r="D64" s="253"/>
      <c r="E64" s="253"/>
      <c r="F64" s="253"/>
    </row>
    <row r="65" spans="1:6" x14ac:dyDescent="0.25">
      <c r="A65" s="249"/>
      <c r="B65" s="249"/>
      <c r="C65" s="249"/>
      <c r="D65" s="249"/>
      <c r="E65" s="249"/>
      <c r="F65" s="249"/>
    </row>
  </sheetData>
  <mergeCells count="42">
    <mergeCell ref="E2:F2"/>
    <mergeCell ref="A5:F5"/>
    <mergeCell ref="A7:A8"/>
    <mergeCell ref="B7:B8"/>
    <mergeCell ref="C7:C8"/>
    <mergeCell ref="D7:F7"/>
    <mergeCell ref="E3:F3"/>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D56:F56"/>
    <mergeCell ref="A57:C57"/>
    <mergeCell ref="D57:F57"/>
    <mergeCell ref="A58:C58"/>
    <mergeCell ref="D58:F58"/>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3">
    <tabColor rgb="FF00B050"/>
  </sheetPr>
  <dimension ref="A1:F64"/>
  <sheetViews>
    <sheetView view="pageBreakPreview" topLeftCell="A45" zoomScaleNormal="100" zoomScaleSheetLayoutView="100" workbookViewId="0">
      <selection activeCell="J63" sqref="J63"/>
    </sheetView>
  </sheetViews>
  <sheetFormatPr defaultColWidth="9.140625" defaultRowHeight="15" outlineLevelRow="1" x14ac:dyDescent="0.25"/>
  <cols>
    <col min="1" max="1" width="28.42578125" style="15" customWidth="1"/>
    <col min="2" max="2" width="22.85546875" style="15" customWidth="1"/>
    <col min="3" max="3" width="22.42578125" style="15" customWidth="1"/>
    <col min="4" max="4" width="21.42578125" style="15" customWidth="1"/>
    <col min="5" max="5" width="21.5703125" style="15" customWidth="1"/>
    <col min="6" max="16384" width="9.140625" style="15"/>
  </cols>
  <sheetData>
    <row r="1" spans="1:5" ht="106.5" customHeight="1" x14ac:dyDescent="0.25"/>
    <row r="2" spans="1:5" x14ac:dyDescent="0.25">
      <c r="A2" s="258" t="str">
        <f>"GAROV PREDMETI QIYMATINI KELISHISH 
№"&amp;'Общие данные'!B141&amp;" SONLI DALOLATNOMASI
 "</f>
        <v xml:space="preserve">GAROV PREDMETI QIYMATINI KELISHISH 
№1 SONLI DALOLATNOMASI
 </v>
      </c>
      <c r="B2" s="258"/>
      <c r="C2" s="258"/>
      <c r="D2" s="258"/>
      <c r="E2" s="258"/>
    </row>
    <row r="3" spans="1:5" x14ac:dyDescent="0.25">
      <c r="A3" s="40"/>
      <c r="B3" s="40"/>
      <c r="C3" s="40"/>
      <c r="D3" s="40"/>
      <c r="E3" s="40"/>
    </row>
    <row r="4" spans="1:5" x14ac:dyDescent="0.25">
      <c r="A4" s="37" t="s">
        <v>210</v>
      </c>
      <c r="B4" s="37"/>
      <c r="C4" s="37"/>
      <c r="D4" s="37"/>
      <c r="E4" s="37" t="str">
        <f>'Общие данные'!B142</f>
        <v>6 mart 2025 y.</v>
      </c>
    </row>
    <row r="5" spans="1:5" ht="9" customHeight="1" x14ac:dyDescent="0.25">
      <c r="A5" s="227"/>
      <c r="B5" s="227"/>
      <c r="C5" s="227"/>
      <c r="D5" s="227"/>
      <c r="E5" s="227"/>
    </row>
    <row r="6" spans="1:5" ht="87" customHeight="1" x14ac:dyDescent="0.25">
      <c r="A6" s="227" t="str">
        <f>IF('Общие данные'!B103="avtotransport",'Акт согласования'!A10:E10,'Акт согласования'!A7:E7)</f>
        <v>«CLEVER MIKROMOLIYA TASHKILOTI» MChJning (1-tomon) vakili bo‘lgan  Qorako'l filiali boshlig'i Egamberdiyeva D.I., O‘zbekiston Respublikasi fuqarosi SHUKUROV OTABEK SHOKIROVICH (2-tomon) va garovga beruvchi O‘zbekiston Respublikasi fuqarosi SHUKUROV SHOKIR ABDIKARIMOVICH (3-tomon) o’rtalarida, 6 mart 2025 y.dan №544-QR-sonli Mikroqarz shartnomasiga muvofiq 1-tomon 2-tomonga berilgan mikroqarz bo‘yicha ta’minot sifatida taqdim etilgan, 3-tomonga mulk huquqi asosida tegishli bo‘lgan mulkning garov qiymatini kelishish muzokaralari o’tkazildi.</v>
      </c>
      <c r="B6" s="227"/>
      <c r="C6" s="227"/>
      <c r="D6" s="227"/>
      <c r="E6" s="227"/>
    </row>
    <row r="7" spans="1:5" ht="88.5" hidden="1" customHeight="1" x14ac:dyDescent="0.25">
      <c r="A7" s="227" t="str">
        <f>IF('Общие данные'!B93="ha",'Акт согласования'!A9:E9,'Акт согласования'!A8:E8)</f>
        <v xml:space="preserve">«CLEVER MIKROMOLIYA TASHKILOTI» MChJning (1-tomon) vakili bo‘lgan  Qorako'l filiali boshlig'i Egamberdiyeva D.I., va O‘zbekiston Respublikasi fuqarosi  SHUKUROV OTABEK SHOKIROVICH (2-tomon) va garov egasi 0 (3-tomon) 6 mart 2025 y.dan №544-QR Mikroqarz shartnomasiga muvofiq 1-tomon 2-tomonga berilgan mikroqarz bo‘yicha ta’minot sifatida taqdim etilgan, 2-tomonga mulk huquqi asosida tegishli bo‘lgan mulkning garov qiymatini kelishish muzokaralari o’tkazildi. </v>
      </c>
      <c r="B7" s="227"/>
      <c r="C7" s="227"/>
      <c r="D7" s="227"/>
      <c r="E7" s="227"/>
    </row>
    <row r="8" spans="1:5" ht="88.5" hidden="1" customHeight="1" x14ac:dyDescent="0.25">
      <c r="A8" s="227"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SHUKUROV OTABEK SHOKIROVICH (2-tomon) va garov egasi 0 (3-tomon) 6 mart 2025 y.dan №544-QR Mikroqarz shartnomasiga muvofiq 1-tomon 2-tomonga berilgan mikroqarz bo‘yicha ta’minot sifatida taqdim etilgan, 2-tomonga mulk huquqi asosida tegishli bo‘lgan mulkning garov qiymatini kelishish muzokaralari o’tkazildi. </v>
      </c>
      <c r="B8" s="227"/>
      <c r="C8" s="227"/>
      <c r="D8" s="227"/>
      <c r="E8" s="227"/>
    </row>
    <row r="9" spans="1:5" ht="88.5" hidden="1" customHeight="1" x14ac:dyDescent="0.25">
      <c r="A9" s="227"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Qorako'l filiali boshlig'i Egamberdiyeva D.I., va O‘zbekiston Respublikasi fuqarosi  SHUKUROV OTABEK SHOKIROVICH (2-tomon) va garov egasi 0 (3-tomon) 6 mart 2025 y.dan №544-QR Mikroqarz shartnomasiga muvofiq 1-tomon 2-tomonga berilgan mikroqarz bo‘yicha ta’minot sifatida taqdim etilgan, 2-tomonga mulk huquqi asosida tegishli bo‘lgan mulkning garov qiymatini kelishish muzokaralari o’tkazildi. </v>
      </c>
      <c r="B9" s="227"/>
      <c r="C9" s="227"/>
      <c r="D9" s="227"/>
      <c r="E9" s="227"/>
    </row>
    <row r="10" spans="1:5" ht="88.5" hidden="1" customHeight="1" x14ac:dyDescent="0.25">
      <c r="A10" s="227" t="str">
        <f>IF('Общие данные'!B93="ha",'Акт согласования'!A12:E12,'Акт согласования'!A11:E11)</f>
        <v>«CLEVER MIKROMOLIYA TASHKILOTI» MChJning (1-tomon) vakili bo‘lgan  Qorako'l filiali boshlig'i Egamberdiyeva D.I., O‘zbekiston Respublikasi fuqarosi SHUKUROV OTABEK SHOKIROVICH (2-tomon) va garovga beruvchi O‘zbekiston Respublikasi fuqarosi SHUKUROV SHOKIR ABDIKARIMOVICH (3-tomon) o’rtalarida, 6 mart 2025 y.dan №544-QR-sonli Mikroqarz shartnomasiga muvofiq 1-tomon 2-tomonga berilgan mikroqarz bo‘yicha ta’minot sifatida taqdim etilgan, 3-tomonga mulk huquqi asosida tegishli bo‘lgan mulkning garov qiymatini kelishish muzokaralari o’tkazildi.</v>
      </c>
      <c r="B10" s="227"/>
      <c r="C10" s="227"/>
      <c r="D10" s="227"/>
      <c r="E10" s="227"/>
    </row>
    <row r="11" spans="1:5" ht="88.5" hidden="1" customHeight="1" x14ac:dyDescent="0.25">
      <c r="A11" s="227"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Qorako'l filiali boshlig'i Egamberdiyeva D.I., O‘zbekiston Respublikasi fuqarosi SHUKUROV OTABEK SHOKIROVICH (2-tomon) va garovga beruvchi O‘zbekiston Respublikasi fuqarosi SHUKUROV SHOKIR ABDIKARIMOVICH (3-tomon) o’rtalarida, 6 mart 2025 y.dan №544-QR-sonli Mikroqarz shartnomasiga muvofiq 1-tomon 2-tomonga berilgan mikroqarz bo‘yicha ta’minot sifatida taqdim etilgan, 3-tomonga mulk huquqi asosida tegishli bo‘lgan mulkning garov qiymatini kelishish muzokaralari o’tkazildi.</v>
      </c>
      <c r="B11" s="227"/>
      <c r="C11" s="227"/>
      <c r="D11" s="227"/>
      <c r="E11" s="227"/>
    </row>
    <row r="12" spans="1:5" ht="88.5" hidden="1" customHeight="1" x14ac:dyDescent="0.25">
      <c r="A12" s="227"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Qorako'l filiali boshlig'i Egamberdiyeva D.I., O‘zbekiston Respublikasi fuqarosi va garovga beruvchi SHUKUROV OTABEK SHOKIROVICH (2-tomon) o’rtalarida, 6 mart 2025 y.dan №544-QR-sonli Mikroqarz shartnomasiga muvofiq 1-tomon 2-tomonga berilgan mikroqarz bo‘yicha ta’minot sifatida taqdim etilgan, 2-tomonga mulk huquqi asosida tegishli bo‘lgan mulkning garov qiymatini kelishish muzokaralari o’tkazildi.</v>
      </c>
      <c r="B12" s="227"/>
      <c r="C12" s="227"/>
      <c r="D12" s="227"/>
      <c r="E12" s="227"/>
    </row>
    <row r="13" spans="1:5" ht="88.5" hidden="1" customHeight="1" x14ac:dyDescent="0.25">
      <c r="A13" s="227" t="str">
        <f>"Garov predmeti sifatida "&amp;'Общие данные'!B125&amp;", 3-tomonga egalik huquqi tegishli bo'lgan, quyidagi tafsilotlarga ega avtotransport vositasi taqdim etiladi:"</f>
        <v>Garov predmeti sifatida COBALT, 3-tomonga egalik huquqi tegishli bo'lgan, quyidagi tafsilotlarga ega avtotransport vositasi taqdim etiladi:</v>
      </c>
      <c r="B13" s="227"/>
      <c r="C13" s="227"/>
      <c r="D13" s="227"/>
      <c r="E13" s="227"/>
    </row>
    <row r="14" spans="1:5" ht="88.5" hidden="1" customHeight="1" x14ac:dyDescent="0.25">
      <c r="A14" s="227" t="str">
        <f>"Garov predmeti sifatida "&amp;'Общие данные'!B125&amp;", 2-tomonga egalik huquqi tegishli bo'lgan, quyidagi tafsilotlarga ega avtotransport vositasi taqdim etiladi:"</f>
        <v>Garov predmeti sifatida COBALT, 2-tomonga egalik huquqi tegishli bo'lgan, quyidagi tafsilotlarga ega avtotransport vositasi taqdim etiladi:</v>
      </c>
      <c r="B14" s="227"/>
      <c r="C14" s="227"/>
      <c r="D14" s="227"/>
      <c r="E14" s="227"/>
    </row>
    <row r="15" spans="1:5" ht="88.5" hidden="1" customHeight="1" x14ac:dyDescent="0.25">
      <c r="A15" s="227" t="str">
        <f>IF('Общие данные'!B93="ha",'Акт согласования'!A14:E14,'Акт согласования'!A13:E13)</f>
        <v>Garov predmeti sifatida COBALT, 3-tomonga egalik huquqi tegishli bo'lgan, quyidagi tafsilotlarga ega avtotransport vositasi taqdim etiladi:</v>
      </c>
      <c r="B15" s="227"/>
      <c r="C15" s="227"/>
      <c r="D15" s="227"/>
      <c r="E15" s="227"/>
    </row>
    <row r="16" spans="1:5" ht="88.5" hidden="1" customHeight="1" x14ac:dyDescent="0.25">
      <c r="A16" s="227"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27"/>
      <c r="C16" s="227"/>
      <c r="D16" s="227"/>
      <c r="E16" s="227"/>
    </row>
    <row r="17" spans="1:5" ht="13.5" hidden="1" customHeight="1" x14ac:dyDescent="0.25">
      <c r="A17" s="227"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27"/>
      <c r="C17" s="227"/>
      <c r="D17" s="227"/>
      <c r="E17" s="227"/>
    </row>
    <row r="18" spans="1:5" ht="11.25" hidden="1" customHeight="1" x14ac:dyDescent="0.25">
      <c r="A18" s="227" t="str">
        <f>IF('Общие данные'!B93="ha",'Акт согласования'!A16:E16,'Акт согласования'!A17:E17)</f>
        <v>Garov predmeti sifatida 3 - xonali yakka tartibdagi uy-joy, 3-tomonga egalik huquqi tegishli bo'lgan, quyidagi tafsilotlarga ega ko'chmas mulk taqdim etiladi:</v>
      </c>
      <c r="B18" s="227"/>
      <c r="C18" s="227"/>
      <c r="D18" s="227"/>
      <c r="E18" s="227"/>
    </row>
    <row r="19" spans="1:5" ht="39.75" customHeight="1" x14ac:dyDescent="0.25">
      <c r="A19" s="227" t="str">
        <f>IF('Общие данные'!B103="Avtotransport",'Акт согласования'!A15:E15,'Акт согласования'!A18:E18)</f>
        <v>Garov predmeti sifatida COBALT, 3-tomonga egalik huquqi tegishli bo'lgan, quyidagi tafsilotlarga ega avtotransport vositasi taqdim etiladi:</v>
      </c>
      <c r="B19" s="227"/>
      <c r="C19" s="227"/>
      <c r="D19" s="227"/>
      <c r="E19" s="227"/>
    </row>
    <row r="20" spans="1:5" ht="48" customHeight="1" outlineLevel="1" x14ac:dyDescent="0.25">
      <c r="A20" s="39" t="s">
        <v>208</v>
      </c>
      <c r="B20" s="306" t="str">
        <f>IF('Общие данные'!B103='Общие данные'!C103,"Kuzov turi  va kuzov raqami*","Foydali maydoni")</f>
        <v>Kuzov turi  va kuzov raqami*</v>
      </c>
      <c r="C20" s="307"/>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x14ac:dyDescent="0.25">
      <c r="A21" s="17" t="str">
        <f>IF('Общие данные'!B103='Общие данные'!C103,'Общие данные'!B125,'Общие данные'!C125)</f>
        <v>COBALT</v>
      </c>
      <c r="B21" s="260" t="str">
        <f>IF('Общие данные'!B103='Общие данные'!C103,'Общие данные'!B127,CONCATENATE('Общие данные'!F130," ","kv.m"))</f>
        <v>kuzov turi - YENGIL SEDAN, kuzov raqami XWBJF69VEGA010899</v>
      </c>
      <c r="C21" s="260"/>
      <c r="D21" s="17" t="str">
        <f>IF('Общие данные'!B103='Общие данные'!C103,'Общие данные'!B130,'Общие данные'!E133)</f>
        <v>dvigatel raqami B15D211163492DJX0086, shassi raqami - RAKAMSIZ</v>
      </c>
      <c r="E21" s="17" t="str">
        <f>IF('Общие данные'!B103='Общие данные'!C103,'Общие данные'!B133,'Общие данные'!E130)</f>
        <v>rangi -  OQ OLIMPIYSKAYA BELAYA, ishlab chiqarilgan yili - 2016</v>
      </c>
    </row>
    <row r="22" spans="1:5" ht="17.25" customHeight="1" outlineLevel="1" x14ac:dyDescent="0.25">
      <c r="A22" s="227" t="str">
        <f>"-* "&amp;IF('Общие данные'!B103='Общие данные'!C103,"avtotransport "&amp;"egasi: "&amp;'Общие данные'!B117&amp;"","ko'chmas mulk"&amp;" egasi: "&amp;'Общие данные'!B117&amp;"")</f>
        <v>-* avtotransport egasi: SHUKUROV SHOKIR ABDIKARIMOVICH</v>
      </c>
      <c r="B22" s="227"/>
      <c r="C22" s="227"/>
      <c r="D22" s="227"/>
      <c r="E22" s="227"/>
    </row>
    <row r="23" spans="1:5" outlineLevel="1" x14ac:dyDescent="0.25">
      <c r="A23" s="227" t="str">
        <f>IF('Общие данные'!B103='Общие данные'!C103,"-* texnik pasport: "&amp;'Общие данные'!B124&amp;"","-* reest raqami: "&amp;'Общие данные'!C124&amp;"")</f>
        <v>-* texnik pasport: AAG 0819754 24.01.2023y.</v>
      </c>
      <c r="B23" s="227"/>
      <c r="C23" s="227"/>
      <c r="D23" s="227"/>
      <c r="E23" s="227"/>
    </row>
    <row r="24" spans="1:5" s="187" customFormat="1" outlineLevel="1" x14ac:dyDescent="0.25">
      <c r="A24" s="227" t="str">
        <f>IF('Общие данные'!B103='Общие данные'!C103,"-* roʻyxatdan oʻtgan manzili/garaj manzili: "&amp;'Общие данные'!B122&amp;"","-*  kadastr raqami: "&amp;'Общие данные'!C127&amp;"")</f>
        <v xml:space="preserve">-* roʻyxatdan oʻtgan manzili/garaj manzili: QORAKO'L TUMANI JIG'ACHI MFY </v>
      </c>
      <c r="B24" s="227"/>
      <c r="C24" s="227"/>
      <c r="D24" s="227"/>
      <c r="E24" s="227"/>
    </row>
    <row r="25" spans="1:5" ht="33" customHeight="1" outlineLevel="1" x14ac:dyDescent="0.25">
      <c r="A25" s="227" t="str">
        <f>IF('Общие данные'!B103='Общие данные'!C103,"-* davlat raqami: "&amp;'Общие данные'!B126&amp;"","-* manzili: "&amp;'Общие данные'!C123&amp;"")</f>
        <v>-* davlat raqami: 80J851UA</v>
      </c>
      <c r="B25" s="227"/>
      <c r="C25" s="227"/>
      <c r="D25" s="227"/>
      <c r="E25" s="227"/>
    </row>
    <row r="26" spans="1:5" ht="65.25" customHeight="1" x14ac:dyDescent="0.25">
      <c r="A26" s="227"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6 mart 2025 y.dan №544-QR mikroqarz shartnomasi bo‘yicha berilgan mikroqarz bo‘yicha  
60 000 000,00 (oltmish million so'm) so’m bo‘lgan kelishilgan garov qiymatida qabul qiladi::</v>
      </c>
      <c r="B26" s="227"/>
      <c r="C26" s="227"/>
      <c r="D26" s="227"/>
      <c r="E26" s="227"/>
    </row>
    <row r="27" spans="1:5" ht="66" hidden="1" customHeight="1" x14ac:dyDescent="0.25">
      <c r="A27" s="227"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6 mart 2025 y.dan №544-QR mikroqarz shartnomasi bo‘yicha berilgan mikroqarz bo‘yicha  
60 000 000,00 (oltmish million so'm) so’m bo‘lgan kelishilgan garov qiymatida qabul qiladi::</v>
      </c>
      <c r="B27" s="227"/>
      <c r="C27" s="227"/>
      <c r="D27" s="227"/>
      <c r="E27" s="227"/>
    </row>
    <row r="28" spans="1:5" ht="58.5" hidden="1" customHeight="1" x14ac:dyDescent="0.25">
      <c r="A28" s="227"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6 mart 2025 y.dan №544-QR Mikroqarz shartnomasi bo‘yicha berilgan mikroqarz bo‘yicha  
60 000 000,00 (oltmish million so'm) so’m bo‘lgan kelishilgan garov qiymatida qabul qiladi::</v>
      </c>
      <c r="B28" s="227"/>
      <c r="C28" s="227"/>
      <c r="D28" s="227"/>
      <c r="E28" s="227"/>
    </row>
    <row r="29" spans="1:5" ht="51.75" customHeight="1" outlineLevel="1" x14ac:dyDescent="0.25">
      <c r="A29" s="39" t="s">
        <v>208</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209</v>
      </c>
    </row>
    <row r="30" spans="1:5" ht="76.5" customHeight="1" outlineLevel="1" x14ac:dyDescent="0.25">
      <c r="A30" s="17" t="str">
        <f>A21</f>
        <v>COBALT</v>
      </c>
      <c r="B30" s="17" t="str">
        <f>B21</f>
        <v>kuzov turi - YENGIL SEDAN, kuzov raqami XWBJF69VEGA010899</v>
      </c>
      <c r="C30" s="17" t="str">
        <f>D21</f>
        <v>dvigatel raqami B15D211163492DJX0086, shassi raqami - RAKAMSIZ</v>
      </c>
      <c r="D30" s="17" t="str">
        <f>IF('Общие данные'!B103='Общие данные'!C103,E21,TEXT('Общие данные'!C135,"ДД.ММ.ГГГГ"))</f>
        <v>rangi -  OQ OLIMPIYSKAYA BELAYA, ishlab chiqarilgan yili - 2016</v>
      </c>
      <c r="E30" s="17" t="str">
        <f>""&amp;FIXED('Общие данные'!B136,2)&amp;" 
("&amp;'Общие данные'!B137&amp;")"</f>
        <v>60 000 000,00 
(oltmish million so'm)</v>
      </c>
    </row>
    <row r="31" spans="1:5" ht="16.5" customHeight="1" x14ac:dyDescent="0.25">
      <c r="A31" s="16"/>
      <c r="B31" s="16"/>
      <c r="C31" s="16"/>
      <c r="D31" s="16"/>
      <c r="E31" s="16"/>
    </row>
    <row r="32" spans="1:5" ht="56.25" hidden="1" customHeight="1" outlineLevel="1" x14ac:dyDescent="0.25">
      <c r="A32" s="39" t="s">
        <v>5</v>
      </c>
      <c r="B32" s="39" t="s">
        <v>19</v>
      </c>
      <c r="C32" s="39" t="s">
        <v>20</v>
      </c>
      <c r="D32" s="39" t="s">
        <v>21</v>
      </c>
      <c r="E32" s="39" t="s">
        <v>6</v>
      </c>
    </row>
    <row r="33" spans="1:5" ht="15.75" hidden="1" customHeight="1" outlineLevel="1" x14ac:dyDescent="0.25">
      <c r="A33" s="17" t="e">
        <f>#REF!</f>
        <v>#REF!</v>
      </c>
      <c r="B33" s="111" t="e">
        <f>#REF!</f>
        <v>#REF!</v>
      </c>
      <c r="C33" s="111" t="e">
        <f>#REF!</f>
        <v>#REF!</v>
      </c>
      <c r="D33" s="111" t="e">
        <f>#REF!</f>
        <v>#REF!</v>
      </c>
      <c r="E33" s="310" t="str">
        <f>""&amp;FIXED('Общие данные'!C136,2)&amp;" ("&amp;'Общие данные'!B137&amp;")"</f>
        <v>60 000 000,00 (oltmish million so'm)</v>
      </c>
    </row>
    <row r="34" spans="1:5" ht="15.75" hidden="1" customHeight="1" outlineLevel="1" x14ac:dyDescent="0.25">
      <c r="A34" s="17"/>
      <c r="B34" s="111"/>
      <c r="C34" s="111"/>
      <c r="D34" s="111"/>
      <c r="E34" s="311"/>
    </row>
    <row r="35" spans="1:5" ht="15.75" hidden="1" customHeight="1" outlineLevel="1" x14ac:dyDescent="0.25">
      <c r="A35" s="17" t="e">
        <f>#REF!</f>
        <v>#REF!</v>
      </c>
      <c r="B35" s="111" t="e">
        <f>#REF!</f>
        <v>#REF!</v>
      </c>
      <c r="C35" s="111" t="e">
        <f>#REF!</f>
        <v>#REF!</v>
      </c>
      <c r="D35" s="111" t="e">
        <f>#REF!</f>
        <v>#REF!</v>
      </c>
      <c r="E35" s="311"/>
    </row>
    <row r="36" spans="1:5" ht="15.75" hidden="1" customHeight="1" outlineLevel="1" x14ac:dyDescent="0.25">
      <c r="A36" s="17" t="e">
        <f>#REF!</f>
        <v>#REF!</v>
      </c>
      <c r="B36" s="111" t="e">
        <f>#REF!</f>
        <v>#REF!</v>
      </c>
      <c r="C36" s="111" t="e">
        <f>#REF!</f>
        <v>#REF!</v>
      </c>
      <c r="D36" s="111" t="e">
        <f>#REF!</f>
        <v>#REF!</v>
      </c>
      <c r="E36" s="311"/>
    </row>
    <row r="37" spans="1:5" ht="15.75" hidden="1" customHeight="1" outlineLevel="1" x14ac:dyDescent="0.25">
      <c r="A37" s="17" t="e">
        <f>#REF!</f>
        <v>#REF!</v>
      </c>
      <c r="B37" s="111" t="e">
        <f>#REF!</f>
        <v>#REF!</v>
      </c>
      <c r="C37" s="111" t="e">
        <f>#REF!</f>
        <v>#REF!</v>
      </c>
      <c r="D37" s="111" t="e">
        <f>#REF!</f>
        <v>#REF!</v>
      </c>
      <c r="E37" s="311"/>
    </row>
    <row r="38" spans="1:5" ht="15.75" hidden="1" customHeight="1" outlineLevel="1" x14ac:dyDescent="0.25">
      <c r="A38" s="17" t="e">
        <f>#REF!</f>
        <v>#REF!</v>
      </c>
      <c r="B38" s="111" t="e">
        <f>#REF!</f>
        <v>#REF!</v>
      </c>
      <c r="C38" s="111" t="e">
        <f>#REF!</f>
        <v>#REF!</v>
      </c>
      <c r="D38" s="111" t="e">
        <f>#REF!</f>
        <v>#REF!</v>
      </c>
      <c r="E38" s="311"/>
    </row>
    <row r="39" spans="1:5" ht="15.75" hidden="1" customHeight="1" outlineLevel="1" x14ac:dyDescent="0.25">
      <c r="A39" s="17" t="e">
        <f>#REF!</f>
        <v>#REF!</v>
      </c>
      <c r="B39" s="111" t="e">
        <f>#REF!</f>
        <v>#REF!</v>
      </c>
      <c r="C39" s="111" t="e">
        <f>#REF!</f>
        <v>#REF!</v>
      </c>
      <c r="D39" s="111" t="e">
        <f>#REF!</f>
        <v>#REF!</v>
      </c>
      <c r="E39" s="311"/>
    </row>
    <row r="40" spans="1:5" ht="15.75" hidden="1" customHeight="1" outlineLevel="1" x14ac:dyDescent="0.25">
      <c r="A40" s="17" t="e">
        <f>#REF!</f>
        <v>#REF!</v>
      </c>
      <c r="B40" s="111" t="e">
        <f>#REF!</f>
        <v>#REF!</v>
      </c>
      <c r="C40" s="111" t="e">
        <f>#REF!</f>
        <v>#REF!</v>
      </c>
      <c r="D40" s="111" t="e">
        <f>#REF!</f>
        <v>#REF!</v>
      </c>
      <c r="E40" s="311"/>
    </row>
    <row r="41" spans="1:5" ht="15.75" hidden="1" customHeight="1" outlineLevel="1" x14ac:dyDescent="0.25">
      <c r="A41" s="17" t="e">
        <f>#REF!</f>
        <v>#REF!</v>
      </c>
      <c r="B41" s="111" t="e">
        <f>#REF!</f>
        <v>#REF!</v>
      </c>
      <c r="C41" s="111" t="e">
        <f>#REF!</f>
        <v>#REF!</v>
      </c>
      <c r="D41" s="111" t="e">
        <f>#REF!</f>
        <v>#REF!</v>
      </c>
      <c r="E41" s="311"/>
    </row>
    <row r="42" spans="1:5" ht="15.75" hidden="1" customHeight="1" outlineLevel="1" x14ac:dyDescent="0.25">
      <c r="A42" s="17" t="e">
        <f>#REF!</f>
        <v>#REF!</v>
      </c>
      <c r="B42" s="111" t="e">
        <f>#REF!</f>
        <v>#REF!</v>
      </c>
      <c r="C42" s="111" t="e">
        <f>#REF!</f>
        <v>#REF!</v>
      </c>
      <c r="D42" s="111" t="e">
        <f>#REF!</f>
        <v>#REF!</v>
      </c>
      <c r="E42" s="311"/>
    </row>
    <row r="43" spans="1:5" ht="15.75" hidden="1" customHeight="1" outlineLevel="1" x14ac:dyDescent="0.25">
      <c r="A43" s="17" t="e">
        <f>#REF!</f>
        <v>#REF!</v>
      </c>
      <c r="B43" s="17" t="e">
        <f>#REF!</f>
        <v>#REF!</v>
      </c>
      <c r="C43" s="17" t="e">
        <f>#REF!</f>
        <v>#REF!</v>
      </c>
      <c r="D43" s="17" t="e">
        <f>#REF!</f>
        <v>#REF!</v>
      </c>
      <c r="E43" s="312"/>
    </row>
    <row r="44" spans="1:5" s="37" customFormat="1" ht="15.75" hidden="1" customHeight="1" outlineLevel="1" x14ac:dyDescent="0.2">
      <c r="A44" s="39" t="e">
        <f>#REF!</f>
        <v>#REF!</v>
      </c>
      <c r="B44" s="39" t="e">
        <f>#REF!</f>
        <v>#REF!</v>
      </c>
      <c r="C44" s="39" t="e">
        <f>#REF!</f>
        <v>#REF!</v>
      </c>
      <c r="D44" s="39" t="e">
        <f>#REF!</f>
        <v>#REF!</v>
      </c>
      <c r="E44" s="39" t="str">
        <f>FIXED('Общие данные'!C136,2)</f>
        <v>60 000 000,00</v>
      </c>
    </row>
    <row r="45" spans="1:5" ht="12.75" customHeight="1" collapsed="1" x14ac:dyDescent="0.25">
      <c r="A45" s="16"/>
      <c r="B45" s="16"/>
      <c r="C45" s="16"/>
      <c r="D45" s="16"/>
      <c r="E45" s="16"/>
    </row>
    <row r="46" spans="1:5" ht="93.75" hidden="1" customHeight="1" x14ac:dyDescent="0.25">
      <c r="A46" s="227"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27"/>
      <c r="C46" s="227"/>
      <c r="D46" s="227"/>
      <c r="E46" s="227"/>
    </row>
    <row r="47" spans="1:5" ht="42" customHeight="1" x14ac:dyDescent="0.25">
      <c r="A47" s="227" t="s">
        <v>213</v>
      </c>
      <c r="B47" s="227"/>
      <c r="C47" s="227"/>
      <c r="D47" s="227"/>
      <c r="E47" s="227"/>
    </row>
    <row r="48" spans="1:5" ht="35.25" customHeight="1" x14ac:dyDescent="0.25">
      <c r="A48" s="227" t="str">
        <f>"Shunday qilib, garov predmetining kelishilgan garov qiymati  "&amp;FIXED('Общие данные'!B136)&amp;" ("&amp;'Общие данные'!B137&amp;") so‘mni tashkil etadi."</f>
        <v>Shunday qilib, garov predmetining kelishilgan garov qiymati  60 000 000,00 (oltmish million so'm) so‘mni tashkil etadi.</v>
      </c>
      <c r="B48" s="227"/>
      <c r="C48" s="227"/>
      <c r="D48" s="227"/>
      <c r="E48" s="227"/>
    </row>
    <row r="49" spans="1:6" ht="35.25" hidden="1" customHeight="1" x14ac:dyDescent="0.25">
      <c r="A49" s="19"/>
      <c r="B49" s="19"/>
      <c r="C49" s="19"/>
      <c r="D49" s="19">
        <f>IF('Общие данные'!B92='Общие данные'!C92,'Общие данные'!C136,IF('Общие данные'!B92='Общие данные'!D92,'Данные для послед. Залога'!M22,0))</f>
        <v>60000000</v>
      </c>
      <c r="E49" s="19" t="str">
        <f>IF('Общие данные'!B92='Общие данные'!C92,'Общие данные'!B137,IF('Общие данные'!B92='Общие данные'!D92,'Данные для послед. Залога'!Q22,0))</f>
        <v>oltmish million so'm</v>
      </c>
    </row>
    <row r="50" spans="1:6" x14ac:dyDescent="0.25">
      <c r="A50" s="304" t="s">
        <v>214</v>
      </c>
      <c r="B50" s="304"/>
      <c r="C50" s="304"/>
      <c r="D50" s="22"/>
      <c r="E50" s="22"/>
    </row>
    <row r="51" spans="1:6" x14ac:dyDescent="0.25">
      <c r="A51" s="230" t="str">
        <f>'Общие данные'!B148</f>
        <v>«CLEVER MIKROMOLIYA TASHKILOTI» MChJ</v>
      </c>
      <c r="B51" s="230"/>
      <c r="C51" s="230"/>
      <c r="D51" s="171"/>
      <c r="E51" s="171"/>
    </row>
    <row r="52" spans="1:6" ht="15" customHeight="1" x14ac:dyDescent="0.25">
      <c r="A52" s="230" t="str">
        <f>""&amp;'Общие данные'!A150&amp;"i"</f>
        <v>Qorako'l filiali boshlig'ii</v>
      </c>
      <c r="B52" s="230"/>
      <c r="C52" s="230"/>
      <c r="D52" s="304" t="str">
        <f>"_______________   "&amp;'Общие данные'!B150&amp;""</f>
        <v>_______________   Egamberdiyeva D.I.</v>
      </c>
      <c r="E52" s="304"/>
    </row>
    <row r="53" spans="1:6" x14ac:dyDescent="0.25">
      <c r="A53" s="53"/>
      <c r="B53" s="53"/>
      <c r="C53" s="53"/>
      <c r="D53" s="53"/>
      <c r="E53" s="53"/>
    </row>
    <row r="54" spans="1:6" x14ac:dyDescent="0.25">
      <c r="A54" s="304"/>
      <c r="B54" s="304"/>
      <c r="C54" s="304"/>
      <c r="D54" s="53"/>
      <c r="E54" s="53"/>
    </row>
    <row r="55" spans="1:6" hidden="1" x14ac:dyDescent="0.25">
      <c r="A55" s="230" t="s">
        <v>47</v>
      </c>
      <c r="B55" s="230"/>
      <c r="C55" s="230"/>
      <c r="D55" s="53"/>
      <c r="E55" s="53"/>
    </row>
    <row r="56" spans="1:6" hidden="1" x14ac:dyDescent="0.25">
      <c r="A56" s="230" t="str">
        <f>'Общие данные'!B148</f>
        <v>«CLEVER MIKROMOLIYA TASHKILOTI» MChJ</v>
      </c>
      <c r="B56" s="230"/>
      <c r="C56" s="230"/>
      <c r="D56" s="230" t="str">
        <f>"_______________   "&amp;'Общие данные'!B159&amp;""</f>
        <v>_______________   Mominov B.X.</v>
      </c>
      <c r="E56" s="230"/>
    </row>
    <row r="57" spans="1:6" ht="12.75" customHeight="1" x14ac:dyDescent="0.25">
      <c r="A57" s="230"/>
      <c r="B57" s="230"/>
      <c r="C57" s="230"/>
      <c r="D57" s="230"/>
      <c r="E57" s="230"/>
    </row>
    <row r="58" spans="1:6" x14ac:dyDescent="0.25">
      <c r="A58" s="304" t="s">
        <v>215</v>
      </c>
      <c r="B58" s="304"/>
      <c r="C58" s="304"/>
      <c r="D58" s="230"/>
      <c r="E58" s="230"/>
    </row>
    <row r="59" spans="1:6" ht="31.5" customHeight="1" x14ac:dyDescent="0.25">
      <c r="A59" s="230" t="s">
        <v>216</v>
      </c>
      <c r="B59" s="230"/>
      <c r="C59" s="230"/>
      <c r="D59" s="304" t="str">
        <f>"_______________  "&amp;'Общие данные'!B7&amp;""</f>
        <v>_______________  SHUKUROV O.SH</v>
      </c>
      <c r="E59" s="304"/>
    </row>
    <row r="60" spans="1:6" ht="12.75" customHeight="1" x14ac:dyDescent="0.25">
      <c r="A60" s="230"/>
      <c r="B60" s="230"/>
      <c r="C60" s="230"/>
      <c r="D60" s="308" t="str">
        <f>IF('Общие данные'!B93="да","",'Общие данные'!B118)</f>
        <v>SHUKUROV SH.A</v>
      </c>
      <c r="E60" s="308"/>
    </row>
    <row r="61" spans="1:6" ht="17.25" customHeight="1" x14ac:dyDescent="0.25">
      <c r="A61" s="304" t="str">
        <f>+IF('Общие данные'!B93="ha"," ","3-tomondan:")</f>
        <v>3-tomondan:</v>
      </c>
      <c r="B61" s="304"/>
      <c r="C61" s="304"/>
      <c r="D61" s="309"/>
      <c r="E61" s="309"/>
      <c r="F61" s="15" t="str">
        <f>IF('Общие данные'!B94='Общие данные'!D94,B7,"")</f>
        <v/>
      </c>
    </row>
    <row r="62" spans="1:6" ht="29.25" customHeight="1" x14ac:dyDescent="0.25">
      <c r="A62" s="230" t="str">
        <f>+IF('Общие данные'!B93="ha"," ","O'zbekiston Respublikasi fuqarosi")</f>
        <v>O'zbekiston Respublikasi fuqarosi</v>
      </c>
      <c r="B62" s="230"/>
      <c r="C62" s="230"/>
      <c r="D62" s="304" t="str">
        <f>IF('Общие данные'!B93='Общие данные'!C93,"",A63)</f>
        <v>_______________  SHUKUROV SH.A</v>
      </c>
      <c r="E62" s="304"/>
    </row>
    <row r="63" spans="1:6" ht="70.5" customHeight="1" x14ac:dyDescent="0.25">
      <c r="A63" s="195" t="str">
        <f>IF('Общие данные'!B94='Общие данные'!C94,"_______________  "&amp;'Общие данные'!B112&amp;"","_______________  "&amp;'Общие данные'!B7&amp;"")</f>
        <v>_______________  SHUKUROV SH.A</v>
      </c>
      <c r="B63" s="53"/>
      <c r="C63" s="230" t="str">
        <f>'заявление залогодателя'!A20</f>
        <v/>
      </c>
      <c r="D63" s="230"/>
      <c r="E63" s="230"/>
    </row>
    <row r="64" spans="1:6" ht="6.75" customHeight="1" x14ac:dyDescent="0.25">
      <c r="D64" s="251"/>
      <c r="E64" s="251"/>
    </row>
  </sheetData>
  <mergeCells count="51">
    <mergeCell ref="A56:C56"/>
    <mergeCell ref="D56:E56"/>
    <mergeCell ref="A27:E27"/>
    <mergeCell ref="A50:C50"/>
    <mergeCell ref="A51:C51"/>
    <mergeCell ref="A52:C52"/>
    <mergeCell ref="D52:E52"/>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rowBreaks count="1" manualBreakCount="1">
    <brk id="63" max="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8">
    <tabColor rgb="FF00B050"/>
  </sheetPr>
  <dimension ref="A5:B29"/>
  <sheetViews>
    <sheetView view="pageBreakPreview" topLeftCell="A5" zoomScale="115" zoomScaleNormal="100" zoomScaleSheetLayoutView="115" workbookViewId="0">
      <selection activeCell="B24" sqref="B24"/>
    </sheetView>
  </sheetViews>
  <sheetFormatPr defaultColWidth="0" defaultRowHeight="15.75" zeroHeight="1" x14ac:dyDescent="0.25"/>
  <cols>
    <col min="1" max="1" width="33" style="6" customWidth="1"/>
    <col min="2" max="2" width="53.42578125" style="6" customWidth="1"/>
    <col min="3" max="16384" width="9.140625" style="6" hidden="1"/>
  </cols>
  <sheetData>
    <row r="5" spans="1:2" x14ac:dyDescent="0.25"/>
    <row r="6" spans="1:2" ht="17.25" customHeight="1" x14ac:dyDescent="0.25">
      <c r="B6" s="14" t="str">
        <f>'Общие данные'!B148</f>
        <v>«CLEVER MIKROMOLIYA TASHKILOTI» MChJ</v>
      </c>
    </row>
    <row r="7" spans="1:2" ht="33" customHeight="1" x14ac:dyDescent="0.25">
      <c r="A7" s="181"/>
      <c r="B7" s="172" t="str">
        <f>""&amp;'Общие данные'!A150&amp;" "&amp;'Общие данные'!B150&amp;"ga"</f>
        <v>Qorako'l filiali boshlig'i Egamberdiyeva D.I.ga</v>
      </c>
    </row>
    <row r="8" spans="1:2" x14ac:dyDescent="0.25">
      <c r="A8" s="158"/>
      <c r="B8" s="172" t="str">
        <f>""&amp;'Общие данные'!B111&amp;"dan"</f>
        <v>SHUKUROV SHOKIR ABDIKARIMOVICHdan</v>
      </c>
    </row>
    <row r="9" spans="1:2" ht="15.75" hidden="1" customHeight="1" x14ac:dyDescent="0.25">
      <c r="B9" s="7" t="str">
        <f>'Общие данные'!B111</f>
        <v>SHUKUROV SHOKIR ABDIKARIMOVICH</v>
      </c>
    </row>
    <row r="10" spans="1:2" ht="15.75" hidden="1" customHeight="1" x14ac:dyDescent="0.25">
      <c r="B10" s="7">
        <f>'Общие данные'!C111</f>
        <v>0</v>
      </c>
    </row>
    <row r="11" spans="1:2" ht="15.75" hidden="1" customHeight="1" x14ac:dyDescent="0.25">
      <c r="B11" s="158" t="s">
        <v>277</v>
      </c>
    </row>
    <row r="12" spans="1:2" x14ac:dyDescent="0.25"/>
    <row r="13" spans="1:2" ht="115.5" customHeight="1" x14ac:dyDescent="0.25">
      <c r="A13" s="287" t="str">
        <f>IF('Общие данные'!B103="Avtotransport",A14,A15)</f>
        <v>SHUKUROV OTABEK SHOKIROVICH tomonidan so’ralayotgan 30 (o'ttiz ) oy muddatga, 40 000 000 (qirq million so'm) miqdoridagi mikroqarzning ta’minoti sifatida menga mulk huquqi asosida tegishli bo’lgan  COBALT, kuzov turi - YENGIL SEDAN, kuzov raqami XWBJF69VEGA010899, dvigatel raqami B15D211163492DJX0086, shassi raqami - RAKAMSIZ, rangi -  OQ OLIMPIYSKAYA BELAYA, ishlab chiqarilgan yili - 2016, avtotransport vositasini qabul qilishingizni so’rayman:</v>
      </c>
      <c r="B13" s="287"/>
    </row>
    <row r="14" spans="1:2" ht="124.5" hidden="1" customHeight="1" x14ac:dyDescent="0.25">
      <c r="A14" s="287"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SHUKUROV OTABEK SHOKIROVICH tomonidan so’ralayotgan 30 (o'ttiz ) oy muddatga, 40 000 000 (qirq million so'm) miqdoridagi mikroqarzning ta’minoti sifatida menga mulk huquqi asosida tegishli bo’lgan  COBALT, kuzov turi - YENGIL SEDAN, kuzov raqami XWBJF69VEGA010899, dvigatel raqami B15D211163492DJX0086, shassi raqami - RAKAMSIZ, rangi -  OQ OLIMPIYSKAYA BELAYA, ishlab chiqarilgan yili - 2016, avtotransport vositasini qabul qilishingizni so’rayman:</v>
      </c>
      <c r="B14" s="287"/>
    </row>
    <row r="15" spans="1:2" ht="116.25" hidden="1" customHeight="1" x14ac:dyDescent="0.25">
      <c r="A15" s="287"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SHUKUROV OTABEK SHOKIROVICH tomonidan so’ralayotgan 30 (o'ttiz ) oy muddatga, 40 000 000 (qirq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87"/>
    </row>
    <row r="16" spans="1:2" x14ac:dyDescent="0.25"/>
    <row r="17" spans="1:2" x14ac:dyDescent="0.25"/>
    <row r="18" spans="1:2" x14ac:dyDescent="0.25">
      <c r="B18" s="7" t="s">
        <v>276</v>
      </c>
    </row>
    <row r="19" spans="1:2" ht="18.75" customHeight="1" x14ac:dyDescent="0.25">
      <c r="A19" s="6" t="str">
        <f>IF('Общие данные'!B94='Общие данные'!C94,'Общие данные'!B112,'Общие данные'!B7)</f>
        <v>SHUKUROV SH.A</v>
      </c>
      <c r="B19" s="56" t="str">
        <f>'Общие данные'!B2</f>
        <v>06.03.2025</v>
      </c>
    </row>
    <row r="20" spans="1:2" ht="62.25" customHeight="1" x14ac:dyDescent="0.25">
      <c r="A20" s="313" t="str">
        <f>IF('Общие данные'!B94='Общие данные'!D94,CONCATENATE(A24," ",A28,A22),"")</f>
        <v/>
      </c>
      <c r="B20" s="313"/>
    </row>
    <row r="21" spans="1:2" x14ac:dyDescent="0.25">
      <c r="A21" s="6" t="s">
        <v>27</v>
      </c>
    </row>
    <row r="22" spans="1:2" x14ac:dyDescent="0.25">
      <c r="A22" s="6" t="str">
        <f>" xususiy faoliyat ko'rsatuvchi notarius tomonidan "&amp;'Общие данные'!B98&amp;" "&amp;'Общие данные'!B99&amp;" berilgan ishonchnomaga asosan "</f>
        <v xml:space="preserve"> xususiy faoliyat ko'rsatuvchi notarius tomonidan   berilgan ishonchnomaga asosan </v>
      </c>
    </row>
    <row r="23" spans="1:2" x14ac:dyDescent="0.25"/>
    <row r="24" spans="1:2" x14ac:dyDescent="0.25">
      <c r="A24" s="6" t="str">
        <f>"№"&amp;'Общие данные'!B100&amp; ""</f>
        <v>№</v>
      </c>
    </row>
    <row r="25" spans="1:2" x14ac:dyDescent="0.25">
      <c r="A25" s="6" t="str">
        <f>'Общие данные'!B102</f>
        <v>00.01.1900</v>
      </c>
    </row>
    <row r="26" spans="1:2" x14ac:dyDescent="0.25">
      <c r="A26" s="6" t="str">
        <f>TEXT(A25,"ДД.ММ.ГГГГ")</f>
        <v>00.01.1900</v>
      </c>
    </row>
    <row r="27" spans="1:2" x14ac:dyDescent="0.25">
      <c r="A27" s="6" t="s">
        <v>353</v>
      </c>
    </row>
    <row r="28" spans="1:2" x14ac:dyDescent="0.25">
      <c r="A28" s="6" t="str">
        <f>CONCATENATE(A26,A27)</f>
        <v>00.01.1900. sanasidan</v>
      </c>
    </row>
    <row r="29" spans="1:2" x14ac:dyDescent="0.25"/>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zoomScaleSheetLayoutView="100" workbookViewId="0">
      <selection activeCell="A50" sqref="A50:E50"/>
    </sheetView>
  </sheetViews>
  <sheetFormatPr defaultColWidth="9.140625" defaultRowHeight="15" outlineLevelRow="1" x14ac:dyDescent="0.25"/>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x14ac:dyDescent="0.25"/>
    <row r="4" spans="1:5" ht="17.25" customHeight="1" x14ac:dyDescent="0.25">
      <c r="A4" s="254" t="str">
        <f>""&amp;'Общие данные'!B147&amp;" ijrochi direktorining
"&amp;'Общие данные'!B165&amp;"dagi "&amp;'Общие данные'!B164&amp;"-sonli buyrug‘i"</f>
        <v>«CLEVER MIKROMOLIYA TASHKILOTI» MChJ ijrochi direktorining
6 mart 2025 y.dagi №544-QR-sonli buyrug‘i</v>
      </c>
      <c r="B4" s="254"/>
      <c r="C4" s="254"/>
      <c r="D4" s="254"/>
      <c r="E4" s="254"/>
    </row>
    <row r="5" spans="1:5" x14ac:dyDescent="0.25">
      <c r="A5" s="254"/>
      <c r="B5" s="254"/>
      <c r="C5" s="254"/>
      <c r="D5" s="254"/>
      <c r="E5" s="254"/>
    </row>
    <row r="6" spans="1:5" x14ac:dyDescent="0.25">
      <c r="A6" s="254"/>
      <c r="B6" s="254"/>
      <c r="C6" s="254"/>
      <c r="D6" s="254"/>
      <c r="E6" s="254"/>
    </row>
    <row r="7" spans="1:5" x14ac:dyDescent="0.25">
      <c r="A7" s="227"/>
      <c r="B7" s="227"/>
      <c r="C7" s="227"/>
      <c r="D7" s="227"/>
      <c r="E7" s="227"/>
    </row>
    <row r="8" spans="1:5" ht="53.25" customHeight="1" x14ac:dyDescent="0.25">
      <c r="A8" s="227" t="str">
        <f>"Men, "&amp;'Общие данные'!B151&amp;", "&amp;'Общие данные'!B147&amp;" ijrochi direktori, jismoniy shaxs "&amp;'Общие данные'!B10&amp;"ga quyidagi shartlarda "&amp;'Общие данные'!B65&amp;" berishni buyuraman:"</f>
        <v>Men, Egamberdiyeva Dilnora Inayatovna, «CLEVER MIKROMOLIYA TASHKILOTI» MChJ ijrochi direktori, jismoniy shaxs SHUKUROV OTABEK SHOKIROVICHga quyidagi shartlarda mikroqarz berishni buyuraman:</v>
      </c>
      <c r="B8" s="227"/>
      <c r="C8" s="227"/>
      <c r="D8" s="227"/>
      <c r="E8" s="227"/>
    </row>
    <row r="9" spans="1:5" ht="26.25" customHeight="1" x14ac:dyDescent="0.25">
      <c r="A9" s="227" t="str">
        <f>'Кредитная заявка'!A13:D13</f>
        <v>Mikroqarz summasi: 40 000 000,00 (qirq million so'm) so'm.</v>
      </c>
      <c r="B9" s="227"/>
      <c r="C9" s="227"/>
      <c r="D9" s="227"/>
      <c r="E9" s="227"/>
    </row>
    <row r="10" spans="1:5" ht="21" customHeight="1" x14ac:dyDescent="0.25">
      <c r="A10" s="227" t="str">
        <f>'Кредитная заявка'!A14:D14</f>
        <v>Mikroqarz muddati: 30 (o'ttiz ) oy.</v>
      </c>
      <c r="B10" s="227"/>
      <c r="C10" s="227"/>
      <c r="D10" s="227"/>
      <c r="E10" s="227"/>
    </row>
    <row r="11" spans="1:5" ht="27" customHeight="1" x14ac:dyDescent="0.25">
      <c r="A11" s="227" t="str">
        <f>'Кредитная заявка'!A15:D15</f>
        <v>Mikroqarzdan foydalanganlik uchun foiz stavkasi: yillik  60% (Oltmish) foiz</v>
      </c>
      <c r="B11" s="227"/>
      <c r="C11" s="227"/>
      <c r="D11" s="227"/>
      <c r="E11" s="227"/>
    </row>
    <row r="12" spans="1:5" ht="26.25" customHeight="1" x14ac:dyDescent="0.25">
      <c r="A12" s="227" t="str">
        <f>'Кредитная заявка'!A16:D16</f>
        <v>Mikroqarz bo'yicha asosiy qarz va foizlarni to'lash:</v>
      </c>
      <c r="B12" s="227"/>
      <c r="C12" s="227"/>
      <c r="D12" s="227"/>
      <c r="E12" s="227"/>
    </row>
    <row r="13" spans="1:5" ht="21.75" hidden="1" customHeight="1" x14ac:dyDescent="0.25">
      <c r="A13" s="227" t="str">
        <f>'Кредитная заявка'!A17:D17</f>
        <v xml:space="preserve"> - mikroqarz shartnomasi bo'yicha har oy differensial to'lovlari amalga oshiriladi</v>
      </c>
      <c r="B13" s="227"/>
      <c r="C13" s="227"/>
      <c r="D13" s="227"/>
      <c r="E13" s="227"/>
    </row>
    <row r="14" spans="1:5" hidden="1" x14ac:dyDescent="0.25">
      <c r="A14" s="227" t="str">
        <f>'Кредитная заявка'!A19:D19</f>
        <v xml:space="preserve"> - mikroqarz shartnomasi bo'yicha har oy differensial to'lovlari amalga oshiriladi</v>
      </c>
      <c r="B14" s="227"/>
      <c r="C14" s="227"/>
      <c r="D14" s="227"/>
      <c r="E14" s="227"/>
    </row>
    <row r="15" spans="1:5" ht="23.25" customHeight="1" x14ac:dyDescent="0.25">
      <c r="A15" s="227" t="str">
        <f>IF('Общие данные'!B103="Avtotransport",'Приказ на сделку'!A14:E14,'Приказ на сделку'!A13:E13)</f>
        <v xml:space="preserve"> - mikroqarz shartnomasi bo'yicha har oy differensial to'lovlari amalga oshiriladi</v>
      </c>
      <c r="B15" s="227"/>
      <c r="C15" s="227"/>
      <c r="D15" s="227"/>
      <c r="E15" s="227"/>
    </row>
    <row r="16" spans="1:5" ht="45.75" customHeight="1" x14ac:dyDescent="0.25">
      <c r="A16" s="230"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SHUKUROV SHOKIR ABDIKARIMOVICHga tegishli COBALT ko'rinishidagi transport vositasini quyidagi ma'lumotlarga muvofiq garovga qabul qilinsin:</v>
      </c>
      <c r="B16" s="230"/>
      <c r="C16" s="230"/>
      <c r="D16" s="230"/>
      <c r="E16" s="230"/>
    </row>
    <row r="17" spans="1:5" ht="50.25" hidden="1" customHeight="1" x14ac:dyDescent="0.25">
      <c r="A17" s="227" t="str">
        <f>""&amp;'Общие данные'!C117&amp;"ga tegishli "&amp;'Общие данные'!C126&amp;" ko'rinishidagi ko'chmas mulkni quyidagi ma'lumotlarga muvofiq  garovga qabul qilinsin:"</f>
        <v>0ga tegishli 3 - xonali yakka tartibdagi uy-joy ko'rinishidagi ko'chmas mulkni quyidagi ma'lumotlarga muvofiq  garovga qabul qilinsin:</v>
      </c>
      <c r="B17" s="227"/>
      <c r="C17" s="227"/>
      <c r="D17" s="227"/>
      <c r="E17" s="227"/>
    </row>
    <row r="18" spans="1:5" ht="47.25" hidden="1" customHeight="1" x14ac:dyDescent="0.25">
      <c r="A18" s="227" t="str">
        <f>""&amp;'Общие данные'!B117&amp;"ga tegishli "&amp;'Общие данные'!B125&amp;" ko'rinishidagi transport vositasini quyidagi ma'lumotlarga muvofiq garovga qabul qilinsin:"</f>
        <v>SHUKUROV SHOKIR ABDIKARIMOVICHga tegishli COBALT ko'rinishidagi transport vositasini quyidagi ma'lumotlarga muvofiq garovga qabul qilinsin:</v>
      </c>
      <c r="B18" s="227"/>
      <c r="C18" s="227"/>
      <c r="D18" s="227"/>
      <c r="E18" s="227"/>
    </row>
    <row r="19" spans="1:5" s="37" customFormat="1" ht="60" customHeight="1" outlineLevel="1" x14ac:dyDescent="0.2">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84.75" customHeight="1" outlineLevel="1" x14ac:dyDescent="0.25">
      <c r="A20" s="17" t="str">
        <f>'Акт согласования'!A30</f>
        <v>COBALT</v>
      </c>
      <c r="B20" s="17" t="str">
        <f>'Акт согласования'!B30</f>
        <v>kuzov turi - YENGIL SEDAN, kuzov raqami XWBJF69VEGA010899</v>
      </c>
      <c r="C20" s="17" t="str">
        <f>'Акт согласования'!C30</f>
        <v>dvigatel raqami B15D211163492DJX0086, shassi raqami - RAKAMSIZ</v>
      </c>
      <c r="D20" s="17" t="str">
        <f>'Акт согласования'!D30</f>
        <v>rangi -  OQ OLIMPIYSKAYA BELAYA, ishlab chiqarilgan yili - 2016</v>
      </c>
      <c r="E20" s="17" t="str">
        <f>'Акт согласования'!E30</f>
        <v>60 000 000,00 
(oltmish million so'm)</v>
      </c>
    </row>
    <row r="21" spans="1:5" ht="20.25" customHeight="1" outlineLevel="1" x14ac:dyDescent="0.25">
      <c r="A21" s="227" t="str">
        <f>'Акт согласования'!A22:E22</f>
        <v>-* avtotransport egasi: SHUKUROV SHOKIR ABDIKARIMOVICH</v>
      </c>
      <c r="B21" s="227"/>
      <c r="C21" s="227"/>
      <c r="D21" s="227"/>
      <c r="E21" s="227"/>
    </row>
    <row r="22" spans="1:5" ht="20.25" customHeight="1" outlineLevel="1" x14ac:dyDescent="0.25">
      <c r="A22" s="227" t="str">
        <f>'Акт согласования'!A23:E23</f>
        <v>-* texnik pasport: AAG 0819754 24.01.2023y.</v>
      </c>
      <c r="B22" s="227"/>
      <c r="C22" s="227"/>
      <c r="D22" s="227"/>
      <c r="E22" s="227"/>
    </row>
    <row r="23" spans="1:5" ht="36" customHeight="1" outlineLevel="1" x14ac:dyDescent="0.25">
      <c r="A23" s="227" t="str">
        <f>'Акт согласования'!A24:E24</f>
        <v xml:space="preserve">-* roʻyxatdan oʻtgan manzili/garaj manzili: QORAKO'L TUMANI JIG'ACHI MFY </v>
      </c>
      <c r="B23" s="227"/>
      <c r="C23" s="227"/>
      <c r="D23" s="227"/>
      <c r="E23" s="227"/>
    </row>
    <row r="24" spans="1:5" ht="35.25" customHeight="1" outlineLevel="1" x14ac:dyDescent="0.25">
      <c r="A24" s="227" t="str">
        <f>'Акт согласования'!A25:E25</f>
        <v>-* davlat raqami: 80J851UA</v>
      </c>
      <c r="B24" s="227"/>
      <c r="C24" s="227"/>
      <c r="D24" s="227"/>
      <c r="E24" s="227"/>
    </row>
    <row r="25" spans="1:5" x14ac:dyDescent="0.25">
      <c r="A25" s="227"/>
      <c r="B25" s="227"/>
      <c r="C25" s="227"/>
      <c r="D25" s="227"/>
      <c r="E25" s="227"/>
    </row>
    <row r="26" spans="1:5" s="37" customFormat="1" ht="41.25" hidden="1" customHeight="1" outlineLevel="1" x14ac:dyDescent="0.2">
      <c r="A26" s="39" t="s">
        <v>208</v>
      </c>
      <c r="B26" s="39" t="s">
        <v>265</v>
      </c>
      <c r="C26" s="39" t="s">
        <v>282</v>
      </c>
      <c r="D26" s="39" t="s">
        <v>211</v>
      </c>
      <c r="E26" s="39" t="str">
        <f>'Акт согласования'!E29</f>
        <v>Kelishilgan garov qiymati, so'm</v>
      </c>
    </row>
    <row r="27" spans="1:5" hidden="1" outlineLevel="1" x14ac:dyDescent="0.25">
      <c r="A27" s="17" t="e">
        <f>'Акт согласования'!A33</f>
        <v>#REF!</v>
      </c>
      <c r="B27" s="111" t="e">
        <f>'Акт согласования'!B33</f>
        <v>#REF!</v>
      </c>
      <c r="C27" s="111" t="e">
        <f>'Акт согласования'!C33</f>
        <v>#REF!</v>
      </c>
      <c r="D27" s="111" t="e">
        <f>'Акт согласования'!D33</f>
        <v>#REF!</v>
      </c>
      <c r="E27" s="260" t="str">
        <f>'Акт согласования'!E33</f>
        <v>60 000 000,00 (oltmish million so'm)</v>
      </c>
    </row>
    <row r="28" spans="1:5" hidden="1" outlineLevel="1" x14ac:dyDescent="0.25">
      <c r="A28" s="17">
        <f>'Акт согласования'!A34</f>
        <v>0</v>
      </c>
      <c r="B28" s="111">
        <f>'Акт согласования'!B34</f>
        <v>0</v>
      </c>
      <c r="C28" s="111">
        <f>'Акт согласования'!C34</f>
        <v>0</v>
      </c>
      <c r="D28" s="111">
        <f>'Акт согласования'!D34</f>
        <v>0</v>
      </c>
      <c r="E28" s="260"/>
    </row>
    <row r="29" spans="1:5" hidden="1" outlineLevel="1" x14ac:dyDescent="0.25">
      <c r="A29" s="17" t="e">
        <f>'Акт согласования'!A35</f>
        <v>#REF!</v>
      </c>
      <c r="B29" s="111" t="e">
        <f>'Акт согласования'!B35</f>
        <v>#REF!</v>
      </c>
      <c r="C29" s="111" t="e">
        <f>'Акт согласования'!C35</f>
        <v>#REF!</v>
      </c>
      <c r="D29" s="111" t="e">
        <f>'Акт согласования'!D35</f>
        <v>#REF!</v>
      </c>
      <c r="E29" s="260"/>
    </row>
    <row r="30" spans="1:5" hidden="1" outlineLevel="1" x14ac:dyDescent="0.25">
      <c r="A30" s="17" t="e">
        <f>'Акт согласования'!A36</f>
        <v>#REF!</v>
      </c>
      <c r="B30" s="111" t="e">
        <f>'Акт согласования'!B36</f>
        <v>#REF!</v>
      </c>
      <c r="C30" s="111" t="e">
        <f>'Акт согласования'!C36</f>
        <v>#REF!</v>
      </c>
      <c r="D30" s="111" t="e">
        <f>'Акт согласования'!D36</f>
        <v>#REF!</v>
      </c>
      <c r="E30" s="260"/>
    </row>
    <row r="31" spans="1:5" hidden="1" outlineLevel="1" x14ac:dyDescent="0.25">
      <c r="A31" s="17" t="e">
        <f>'Акт согласования'!A37</f>
        <v>#REF!</v>
      </c>
      <c r="B31" s="111" t="e">
        <f>'Акт согласования'!B37</f>
        <v>#REF!</v>
      </c>
      <c r="C31" s="111" t="e">
        <f>'Акт согласования'!C37</f>
        <v>#REF!</v>
      </c>
      <c r="D31" s="111" t="e">
        <f>'Акт согласования'!D37</f>
        <v>#REF!</v>
      </c>
      <c r="E31" s="260"/>
    </row>
    <row r="32" spans="1:5" hidden="1" outlineLevel="1" x14ac:dyDescent="0.25">
      <c r="A32" s="17" t="e">
        <f>'Акт согласования'!A38</f>
        <v>#REF!</v>
      </c>
      <c r="B32" s="111" t="e">
        <f>'Акт согласования'!B38</f>
        <v>#REF!</v>
      </c>
      <c r="C32" s="111" t="e">
        <f>'Акт согласования'!C38</f>
        <v>#REF!</v>
      </c>
      <c r="D32" s="111" t="e">
        <f>'Акт согласования'!D38</f>
        <v>#REF!</v>
      </c>
      <c r="E32" s="260"/>
    </row>
    <row r="33" spans="1:5" hidden="1" outlineLevel="1" x14ac:dyDescent="0.25">
      <c r="A33" s="17" t="e">
        <f>'Акт согласования'!A39</f>
        <v>#REF!</v>
      </c>
      <c r="B33" s="111" t="e">
        <f>'Акт согласования'!B39</f>
        <v>#REF!</v>
      </c>
      <c r="C33" s="111" t="e">
        <f>'Акт согласования'!C39</f>
        <v>#REF!</v>
      </c>
      <c r="D33" s="111" t="e">
        <f>'Акт согласования'!D39</f>
        <v>#REF!</v>
      </c>
      <c r="E33" s="260"/>
    </row>
    <row r="34" spans="1:5" hidden="1" outlineLevel="1" x14ac:dyDescent="0.25">
      <c r="A34" s="17" t="e">
        <f>'Акт согласования'!A40</f>
        <v>#REF!</v>
      </c>
      <c r="B34" s="111" t="e">
        <f>'Акт согласования'!B40</f>
        <v>#REF!</v>
      </c>
      <c r="C34" s="111" t="e">
        <f>'Акт согласования'!C40</f>
        <v>#REF!</v>
      </c>
      <c r="D34" s="111" t="e">
        <f>'Акт согласования'!D40</f>
        <v>#REF!</v>
      </c>
      <c r="E34" s="260"/>
    </row>
    <row r="35" spans="1:5" hidden="1" outlineLevel="1" x14ac:dyDescent="0.25">
      <c r="A35" s="17" t="e">
        <f>'Акт согласования'!A41</f>
        <v>#REF!</v>
      </c>
      <c r="B35" s="111" t="e">
        <f>'Акт согласования'!B41</f>
        <v>#REF!</v>
      </c>
      <c r="C35" s="111" t="e">
        <f>'Акт согласования'!C41</f>
        <v>#REF!</v>
      </c>
      <c r="D35" s="111" t="e">
        <f>'Акт согласования'!D41</f>
        <v>#REF!</v>
      </c>
      <c r="E35" s="260"/>
    </row>
    <row r="36" spans="1:5" hidden="1" outlineLevel="1" x14ac:dyDescent="0.25">
      <c r="A36" s="17" t="e">
        <f>'Акт согласования'!A42</f>
        <v>#REF!</v>
      </c>
      <c r="B36" s="111" t="e">
        <f>'Акт согласования'!B42</f>
        <v>#REF!</v>
      </c>
      <c r="C36" s="111" t="e">
        <f>'Акт согласования'!C42</f>
        <v>#REF!</v>
      </c>
      <c r="D36" s="111" t="e">
        <f>'Акт согласования'!D42</f>
        <v>#REF!</v>
      </c>
      <c r="E36" s="260"/>
    </row>
    <row r="37" spans="1:5" hidden="1" outlineLevel="1" x14ac:dyDescent="0.25">
      <c r="A37" s="17" t="e">
        <f>'Акт согласования'!A43</f>
        <v>#REF!</v>
      </c>
      <c r="B37" s="17" t="e">
        <f>'Акт согласования'!B43</f>
        <v>#REF!</v>
      </c>
      <c r="C37" s="17" t="e">
        <f>'Акт согласования'!C43</f>
        <v>#REF!</v>
      </c>
      <c r="D37" s="17" t="e">
        <f>'Акт согласования'!D43</f>
        <v>#REF!</v>
      </c>
      <c r="E37" s="260"/>
    </row>
    <row r="38" spans="1:5" s="37" customFormat="1" ht="14.25" hidden="1" outlineLevel="1" x14ac:dyDescent="0.2">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60 000 000,00</v>
      </c>
    </row>
    <row r="39" spans="1:5" s="37" customFormat="1" ht="15" hidden="1" customHeight="1" outlineLevel="1" x14ac:dyDescent="0.2">
      <c r="A39" s="227" t="e">
        <f ca="1">_xlfn.SINGLE('Акт согласования'!#REF!)</f>
        <v>#NAME?</v>
      </c>
      <c r="B39" s="227"/>
      <c r="C39" s="227"/>
      <c r="D39" s="227"/>
      <c r="E39" s="227"/>
    </row>
    <row r="40" spans="1:5" s="37" customFormat="1" hidden="1" outlineLevel="1" x14ac:dyDescent="0.2">
      <c r="A40" s="227" t="e">
        <f ca="1">_xlfn.SINGLE('Акт согласования'!#REF!)</f>
        <v>#NAME?</v>
      </c>
      <c r="B40" s="227"/>
      <c r="C40" s="227"/>
      <c r="D40" s="227"/>
      <c r="E40" s="227"/>
    </row>
    <row r="41" spans="1:5" s="37" customFormat="1" hidden="1" outlineLevel="1" x14ac:dyDescent="0.2">
      <c r="A41" s="227" t="e">
        <f ca="1">_xlfn.SINGLE('Акт согласования'!#REF!)</f>
        <v>#NAME?</v>
      </c>
      <c r="B41" s="227"/>
      <c r="C41" s="227"/>
      <c r="D41" s="227"/>
      <c r="E41" s="227"/>
    </row>
    <row r="42" spans="1:5" s="37" customFormat="1" hidden="1" outlineLevel="1" x14ac:dyDescent="0.2">
      <c r="A42" s="227" t="e">
        <f ca="1">_xlfn.SINGLE('Акт согласования'!#REF!)</f>
        <v>#NAME?</v>
      </c>
      <c r="B42" s="227"/>
      <c r="C42" s="227"/>
      <c r="D42" s="227"/>
      <c r="E42" s="227"/>
    </row>
    <row r="43" spans="1:5" s="37" customFormat="1" collapsed="1" x14ac:dyDescent="0.2">
      <c r="A43" s="227"/>
      <c r="B43" s="227"/>
      <c r="C43" s="227"/>
      <c r="D43" s="227"/>
      <c r="E43" s="227"/>
    </row>
    <row r="44" spans="1:5" s="37" customFormat="1" x14ac:dyDescent="0.2">
      <c r="A44" s="227"/>
      <c r="B44" s="227"/>
      <c r="C44" s="227"/>
      <c r="D44" s="227"/>
      <c r="E44" s="227"/>
    </row>
    <row r="45" spans="1:5" s="37" customFormat="1" hidden="1" x14ac:dyDescent="0.2">
      <c r="A45" s="227"/>
      <c r="B45" s="227"/>
      <c r="C45" s="227"/>
      <c r="D45" s="227"/>
      <c r="E45" s="227"/>
    </row>
    <row r="46" spans="1:5" s="37" customFormat="1" ht="14.25" hidden="1" x14ac:dyDescent="0.2">
      <c r="A46" s="50"/>
      <c r="B46" s="50"/>
      <c r="C46" s="50"/>
      <c r="D46" s="50"/>
      <c r="E46" s="50"/>
    </row>
    <row r="47" spans="1:5" hidden="1" x14ac:dyDescent="0.25">
      <c r="A47" s="227"/>
      <c r="B47" s="227"/>
      <c r="C47" s="227"/>
      <c r="D47" s="227"/>
      <c r="E47" s="227"/>
    </row>
    <row r="48" spans="1:5" ht="15" customHeight="1" x14ac:dyDescent="0.25">
      <c r="A48" s="304" t="s">
        <v>384</v>
      </c>
      <c r="B48" s="304"/>
      <c r="C48" s="304"/>
      <c r="D48" s="314"/>
      <c r="E48" s="314"/>
    </row>
    <row r="49" spans="1:5" ht="15" customHeight="1" x14ac:dyDescent="0.25">
      <c r="A49" s="304" t="s">
        <v>337</v>
      </c>
      <c r="B49" s="304"/>
      <c r="C49" s="304"/>
      <c r="D49" s="314" t="s">
        <v>395</v>
      </c>
      <c r="E49" s="314"/>
    </row>
    <row r="50" spans="1:5" x14ac:dyDescent="0.25">
      <c r="A50" s="227"/>
      <c r="B50" s="227"/>
      <c r="C50" s="227"/>
      <c r="D50" s="227"/>
      <c r="E50" s="227"/>
    </row>
    <row r="51" spans="1:5" x14ac:dyDescent="0.25">
      <c r="A51" s="227"/>
      <c r="B51" s="227"/>
      <c r="C51" s="227"/>
      <c r="D51" s="227"/>
      <c r="E51" s="227"/>
    </row>
    <row r="52" spans="1:5" x14ac:dyDescent="0.25">
      <c r="A52" s="227"/>
      <c r="B52" s="227"/>
      <c r="C52" s="227"/>
      <c r="D52" s="227"/>
      <c r="E52" s="227"/>
    </row>
    <row r="53" spans="1:5" x14ac:dyDescent="0.25">
      <c r="A53" s="227"/>
      <c r="B53" s="227"/>
      <c r="C53" s="227"/>
      <c r="D53" s="227"/>
      <c r="E53" s="227"/>
    </row>
    <row r="54" spans="1:5" x14ac:dyDescent="0.25">
      <c r="A54" s="227"/>
      <c r="B54" s="227"/>
      <c r="C54" s="227"/>
      <c r="D54" s="227"/>
      <c r="E54" s="227"/>
    </row>
    <row r="55" spans="1:5" x14ac:dyDescent="0.25">
      <c r="A55" s="227"/>
      <c r="B55" s="227"/>
      <c r="C55" s="227"/>
      <c r="D55" s="227"/>
      <c r="E55" s="227"/>
    </row>
  </sheetData>
  <mergeCells count="37">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12:E12"/>
    <mergeCell ref="A53:E53"/>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6" zoomScaleSheetLayoutView="100" workbookViewId="0">
      <selection activeCell="B1" sqref="B1"/>
    </sheetView>
  </sheetViews>
  <sheetFormatPr defaultColWidth="9.140625" defaultRowHeight="15" x14ac:dyDescent="0.2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x14ac:dyDescent="0.3"/>
    <row r="2" spans="2:7" ht="62.25" customHeight="1" x14ac:dyDescent="0.35">
      <c r="B2" s="325" t="str">
        <f>'Общие данные'!B148</f>
        <v>«CLEVER MIKROMOLIYA TASHKILOTI» MChJ</v>
      </c>
      <c r="C2" s="326"/>
      <c r="D2" s="326"/>
      <c r="E2" s="326"/>
      <c r="F2" s="327"/>
      <c r="G2" s="41"/>
    </row>
    <row r="3" spans="2:7" x14ac:dyDescent="0.25">
      <c r="B3" s="318"/>
      <c r="C3" s="253"/>
      <c r="D3" s="253"/>
      <c r="E3" s="253"/>
      <c r="F3" s="319"/>
      <c r="G3" s="42"/>
    </row>
    <row r="4" spans="2:7" ht="8.25" customHeight="1" x14ac:dyDescent="0.25">
      <c r="B4" s="54"/>
      <c r="F4" s="55"/>
      <c r="G4" s="42"/>
    </row>
    <row r="5" spans="2:7" ht="12" customHeight="1" x14ac:dyDescent="0.25">
      <c r="B5" s="44"/>
      <c r="C5" s="42"/>
      <c r="D5" s="42"/>
      <c r="E5" s="42"/>
      <c r="F5" s="45"/>
      <c r="G5" s="42"/>
    </row>
    <row r="6" spans="2:7" ht="6.75" customHeight="1" x14ac:dyDescent="0.25">
      <c r="B6" s="44"/>
      <c r="C6" s="42"/>
      <c r="D6" s="42"/>
      <c r="E6" s="42"/>
      <c r="F6" s="45"/>
      <c r="G6" s="42"/>
    </row>
    <row r="7" spans="2:7" ht="6.75" customHeight="1" x14ac:dyDescent="0.25">
      <c r="B7" s="44"/>
      <c r="C7" s="42"/>
      <c r="D7" s="42"/>
      <c r="E7" s="42"/>
      <c r="F7" s="45"/>
      <c r="G7" s="42"/>
    </row>
    <row r="8" spans="2:7" x14ac:dyDescent="0.25">
      <c r="B8" s="44"/>
      <c r="C8" s="42"/>
      <c r="D8" s="42"/>
      <c r="E8" s="42"/>
      <c r="F8" s="45"/>
      <c r="G8" s="42"/>
    </row>
    <row r="9" spans="2:7" x14ac:dyDescent="0.25">
      <c r="B9" s="44"/>
      <c r="C9" s="42"/>
      <c r="D9" s="42"/>
      <c r="E9" s="42"/>
      <c r="F9" s="45"/>
      <c r="G9" s="42"/>
    </row>
    <row r="10" spans="2:7" x14ac:dyDescent="0.25">
      <c r="B10" s="318" t="s">
        <v>27</v>
      </c>
      <c r="C10" s="253"/>
      <c r="D10" s="253"/>
      <c r="E10" s="253"/>
      <c r="F10" s="319"/>
      <c r="G10" s="42"/>
    </row>
    <row r="11" spans="2:7" x14ac:dyDescent="0.25">
      <c r="B11" s="318" t="s">
        <v>27</v>
      </c>
      <c r="C11" s="253"/>
      <c r="D11" s="253"/>
      <c r="E11" s="253"/>
      <c r="F11" s="319"/>
      <c r="G11" s="42"/>
    </row>
    <row r="12" spans="2:7" ht="135" customHeight="1" x14ac:dyDescent="0.8">
      <c r="B12" s="328" t="str">
        <f>'Общие данные'!B5</f>
        <v>SHUKUROV OTABEK SHOKIROVICH</v>
      </c>
      <c r="C12" s="329"/>
      <c r="D12" s="329"/>
      <c r="E12" s="329"/>
      <c r="F12" s="330"/>
      <c r="G12" s="43"/>
    </row>
    <row r="13" spans="2:7" x14ac:dyDescent="0.25">
      <c r="B13" s="318"/>
      <c r="C13" s="253"/>
      <c r="D13" s="253"/>
      <c r="E13" s="253"/>
      <c r="F13" s="319"/>
      <c r="G13" s="42"/>
    </row>
    <row r="14" spans="2:7" x14ac:dyDescent="0.25">
      <c r="B14" s="44"/>
      <c r="C14" s="42"/>
      <c r="D14" s="42"/>
      <c r="E14" s="42"/>
      <c r="F14" s="45"/>
      <c r="G14" s="42"/>
    </row>
    <row r="15" spans="2:7" x14ac:dyDescent="0.25">
      <c r="B15" s="44"/>
      <c r="C15" s="42"/>
      <c r="D15" s="42"/>
      <c r="E15" s="42"/>
      <c r="F15" s="45"/>
      <c r="G15" s="42"/>
    </row>
    <row r="16" spans="2:7" x14ac:dyDescent="0.25">
      <c r="B16" s="44"/>
      <c r="C16" s="42"/>
      <c r="D16" s="42"/>
      <c r="E16" s="42"/>
      <c r="F16" s="45"/>
      <c r="G16" s="42"/>
    </row>
    <row r="17" spans="2:7" x14ac:dyDescent="0.25">
      <c r="B17" s="44"/>
      <c r="C17" s="42"/>
      <c r="D17" s="42"/>
      <c r="E17" s="42"/>
      <c r="F17" s="45"/>
      <c r="G17" s="42"/>
    </row>
    <row r="18" spans="2:7" x14ac:dyDescent="0.25">
      <c r="B18" s="318"/>
      <c r="C18" s="253"/>
      <c r="D18" s="253"/>
      <c r="E18" s="253"/>
      <c r="F18" s="319"/>
      <c r="G18" s="42"/>
    </row>
    <row r="19" spans="2:7" ht="20.25" x14ac:dyDescent="0.3">
      <c r="B19" s="322" t="str">
        <f>""&amp;'Общие данные'!C64&amp;" shartnoma "&amp;'Общие данные'!B74&amp;""</f>
        <v>Mikroqarz shartnoma 6 mart 2025 y.dan №544-QR</v>
      </c>
      <c r="C19" s="323"/>
      <c r="D19" s="323"/>
      <c r="E19" s="323"/>
      <c r="F19" s="324"/>
      <c r="G19" s="42"/>
    </row>
    <row r="20" spans="2:7" x14ac:dyDescent="0.25">
      <c r="B20" s="318"/>
      <c r="C20" s="253"/>
      <c r="D20" s="253"/>
      <c r="E20" s="253"/>
      <c r="F20" s="319"/>
      <c r="G20" s="42"/>
    </row>
    <row r="21" spans="2:7" x14ac:dyDescent="0.25">
      <c r="B21" s="318"/>
      <c r="C21" s="253"/>
      <c r="D21" s="253"/>
      <c r="E21" s="253"/>
      <c r="F21" s="319"/>
      <c r="G21" s="42"/>
    </row>
    <row r="22" spans="2:7" x14ac:dyDescent="0.25">
      <c r="B22" s="318"/>
      <c r="C22" s="253"/>
      <c r="D22" s="253"/>
      <c r="E22" s="253"/>
      <c r="F22" s="319"/>
      <c r="G22" s="42"/>
    </row>
    <row r="23" spans="2:7" x14ac:dyDescent="0.25">
      <c r="B23" s="318"/>
      <c r="C23" s="253"/>
      <c r="D23" s="253"/>
      <c r="E23" s="253"/>
      <c r="F23" s="319"/>
      <c r="G23" s="42"/>
    </row>
    <row r="24" spans="2:7" x14ac:dyDescent="0.25">
      <c r="B24" s="320" t="str">
        <f>" Foiz stavkasi: "&amp;'Общие данные'!B85&amp;"%"</f>
        <v xml:space="preserve"> Foiz stavkasi: 60%</v>
      </c>
      <c r="C24" s="226"/>
      <c r="D24" s="226"/>
      <c r="E24" s="226"/>
      <c r="F24" s="321"/>
      <c r="G24" s="42"/>
    </row>
    <row r="25" spans="2:7" ht="15" customHeight="1" x14ac:dyDescent="0.25">
      <c r="B25" s="320" t="str">
        <f>" "&amp;'Общие данные'!C64&amp;" muddati: "&amp;'Общие данные'!B81&amp;" oy"</f>
        <v xml:space="preserve"> Mikroqarz muddati: 30 oy</v>
      </c>
      <c r="C25" s="226"/>
      <c r="D25" s="226"/>
      <c r="E25" s="226"/>
      <c r="F25" s="321"/>
      <c r="G25" s="42"/>
    </row>
    <row r="26" spans="2:7" x14ac:dyDescent="0.25">
      <c r="B26" s="320" t="str">
        <f>" "&amp;'Общие данные'!C64&amp;" miqdori: "&amp;FIXED('Общие данные'!B75,2)&amp;" so'm"</f>
        <v xml:space="preserve"> Mikroqarz miqdori: 40 000 000,00 so'm</v>
      </c>
      <c r="C26" s="226"/>
      <c r="D26" s="226"/>
      <c r="E26" s="226"/>
      <c r="F26" s="321"/>
      <c r="G26" s="42"/>
    </row>
    <row r="27" spans="2:7" x14ac:dyDescent="0.25">
      <c r="B27" s="318"/>
      <c r="C27" s="253"/>
      <c r="D27" s="253"/>
      <c r="E27" s="253"/>
      <c r="F27" s="319"/>
      <c r="G27" s="42"/>
    </row>
    <row r="28" spans="2:7" hidden="1" x14ac:dyDescent="0.25">
      <c r="G28" s="42"/>
    </row>
    <row r="29" spans="2:7" x14ac:dyDescent="0.25">
      <c r="B29" s="318"/>
      <c r="C29" s="253"/>
      <c r="D29" s="253"/>
      <c r="E29" s="253"/>
      <c r="F29" s="319"/>
      <c r="G29" s="42"/>
    </row>
    <row r="30" spans="2:7" ht="12.75" customHeight="1" x14ac:dyDescent="0.25">
      <c r="B30" s="44"/>
      <c r="C30" s="42"/>
      <c r="D30" s="42"/>
      <c r="E30" s="42"/>
      <c r="F30" s="45"/>
      <c r="G30" s="42"/>
    </row>
    <row r="31" spans="2:7" x14ac:dyDescent="0.25">
      <c r="B31" s="44"/>
      <c r="C31" s="42"/>
      <c r="D31" s="42"/>
      <c r="E31" s="42"/>
      <c r="F31" s="45"/>
      <c r="G31" s="42"/>
    </row>
    <row r="32" spans="2:7" ht="2.25" customHeight="1" x14ac:dyDescent="0.25">
      <c r="B32" s="44"/>
      <c r="C32" s="42"/>
      <c r="D32" s="42"/>
      <c r="E32" s="42"/>
      <c r="F32" s="45"/>
      <c r="G32" s="42"/>
    </row>
    <row r="33" spans="2:7" x14ac:dyDescent="0.25">
      <c r="B33" s="44"/>
      <c r="C33" s="42"/>
      <c r="D33" s="42"/>
      <c r="E33" s="42"/>
      <c r="F33" s="45"/>
      <c r="G33" s="42"/>
    </row>
    <row r="34" spans="2:7" x14ac:dyDescent="0.25">
      <c r="B34" s="44"/>
      <c r="C34" s="42"/>
      <c r="D34" s="42"/>
      <c r="E34" s="42"/>
      <c r="F34" s="45"/>
      <c r="G34" s="42"/>
    </row>
    <row r="35" spans="2:7" x14ac:dyDescent="0.25">
      <c r="B35" s="44"/>
      <c r="C35" s="42"/>
      <c r="D35" s="42"/>
      <c r="E35" s="42"/>
      <c r="F35" s="45"/>
      <c r="G35" s="42"/>
    </row>
    <row r="36" spans="2:7" x14ac:dyDescent="0.25">
      <c r="B36" s="44"/>
      <c r="C36" s="42"/>
      <c r="D36" s="42"/>
      <c r="E36" s="42"/>
      <c r="F36" s="45"/>
      <c r="G36" s="42"/>
    </row>
    <row r="37" spans="2:7" x14ac:dyDescent="0.25">
      <c r="B37" s="44"/>
      <c r="C37" s="42"/>
      <c r="D37" s="42"/>
      <c r="E37" s="42"/>
      <c r="F37" s="45"/>
      <c r="G37" s="42"/>
    </row>
    <row r="38" spans="2:7" x14ac:dyDescent="0.25">
      <c r="B38" s="44"/>
      <c r="C38" s="42"/>
      <c r="D38" s="42"/>
      <c r="E38" s="42"/>
      <c r="F38" s="45"/>
      <c r="G38" s="42"/>
    </row>
    <row r="39" spans="2:7" x14ac:dyDescent="0.25">
      <c r="B39" s="44"/>
      <c r="C39" s="42"/>
      <c r="D39" s="42"/>
      <c r="E39" s="42"/>
      <c r="F39" s="45"/>
      <c r="G39" s="42"/>
    </row>
    <row r="40" spans="2:7" ht="15.75" thickBot="1" x14ac:dyDescent="0.3">
      <c r="B40" s="315" t="str">
        <f>"Toshkent sh., "&amp;'Общие данные'!B70&amp;""</f>
        <v>Toshkent sh., 6 mart 2025 y.</v>
      </c>
      <c r="C40" s="316"/>
      <c r="D40" s="316"/>
      <c r="E40" s="316"/>
      <c r="F40" s="317"/>
      <c r="G40" s="42"/>
    </row>
    <row r="41" spans="2:7" x14ac:dyDescent="0.25">
      <c r="B41" s="253"/>
      <c r="C41" s="253"/>
      <c r="D41" s="253"/>
      <c r="E41" s="253"/>
      <c r="F41" s="253"/>
      <c r="G41" s="42"/>
    </row>
    <row r="42" spans="2:7" x14ac:dyDescent="0.25">
      <c r="B42" s="253"/>
      <c r="C42" s="253"/>
      <c r="D42" s="253"/>
      <c r="E42" s="253"/>
      <c r="F42" s="253"/>
      <c r="G42" s="42"/>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5" customWidth="1"/>
    <col min="2" max="2" width="21.28515625" style="15" customWidth="1"/>
    <col min="3" max="3" width="19.140625" style="15" customWidth="1"/>
    <col min="4" max="5" width="21.28515625" style="15" customWidth="1"/>
    <col min="6" max="16384" width="9.140625" style="15"/>
  </cols>
  <sheetData>
    <row r="2" spans="1:5" x14ac:dyDescent="0.25">
      <c r="A2" s="108" t="s">
        <v>49</v>
      </c>
    </row>
    <row r="3" spans="1:5" x14ac:dyDescent="0.25">
      <c r="A3" s="108" t="s">
        <v>50</v>
      </c>
    </row>
    <row r="6" spans="1:5" ht="20.25" customHeight="1" x14ac:dyDescent="0.25">
      <c r="E6" s="109" t="s">
        <v>36</v>
      </c>
    </row>
    <row r="7" spans="1:5" x14ac:dyDescent="0.25">
      <c r="E7" s="109" t="s">
        <v>51</v>
      </c>
    </row>
    <row r="9" spans="1:5" ht="107.25" customHeight="1" x14ac:dyDescent="0.25">
      <c r="A9" s="332"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SHUKUROV OTABEK SHOKIROVICH  (паспорт: AD9358147 IIV 6230 tomonidan 11.11.2024 yilda berilgan) заключен договор микрозайма 6 mart 2025 y.dan №544-QR, на сумму 40 000 000,00 (qirq million so'm) сум, сроком на 30 (o'ttiz ) месяцев. В качестве своевременного исполнения обязательств по договору Микрозайма 6 mart 2025 y.dan №544-QR планирует предоставить нижеследующее автотранспортного средство марки COBALT принадлежащее на правах собственности SHUKUROV SHOKIR ABDIKARIMOVICH</v>
      </c>
      <c r="B9" s="332"/>
      <c r="C9" s="332"/>
      <c r="D9" s="332"/>
      <c r="E9" s="332"/>
    </row>
    <row r="11" spans="1:5" ht="28.5" x14ac:dyDescent="0.2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x14ac:dyDescent="0.25">
      <c r="A12" s="39" t="str">
        <f>'Приказ на сделку'!A20</f>
        <v>COBALT</v>
      </c>
      <c r="B12" s="39" t="str">
        <f>'Приказ на сделку'!B20</f>
        <v>kuzov turi - YENGIL SEDAN, kuzov raqami XWBJF69VEGA010899</v>
      </c>
      <c r="C12" s="39" t="str">
        <f>'Приказ на сделку'!C20</f>
        <v>dvigatel raqami B15D211163492DJX0086, shassi raqami - RAKAMSIZ</v>
      </c>
      <c r="D12" s="39" t="str">
        <f>'Приказ на сделку'!D20</f>
        <v>rangi -  OQ OLIMPIYSKAYA BELAYA, ishlab chiqarilgan yili - 2016</v>
      </c>
      <c r="E12" s="39" t="str">
        <f>'Приказ на сделку'!E20</f>
        <v>60 000 000,00 
(oltmish million so'm)</v>
      </c>
    </row>
    <row r="13" spans="1:5" x14ac:dyDescent="0.25">
      <c r="A13" s="336" t="str">
        <f>'Приказ на сделку'!A21:E21</f>
        <v>-* avtotransport egasi: SHUKUROV SHOKIR ABDIKARIMOVICH</v>
      </c>
      <c r="B13" s="336"/>
      <c r="C13" s="336"/>
      <c r="D13" s="336"/>
      <c r="E13" s="336"/>
    </row>
    <row r="14" spans="1:5" x14ac:dyDescent="0.25">
      <c r="A14" s="336" t="str">
        <f>'Приказ на сделку'!A22:E22</f>
        <v>-* texnik pasport: AAG 0819754 24.01.2023y.</v>
      </c>
      <c r="B14" s="336"/>
      <c r="C14" s="336"/>
      <c r="D14" s="336"/>
      <c r="E14" s="336"/>
    </row>
    <row r="15" spans="1:5" x14ac:dyDescent="0.25">
      <c r="A15" s="336" t="str">
        <f>'Приказ на сделку'!A23:E23</f>
        <v xml:space="preserve">-* roʻyxatdan oʻtgan manzili/garaj manzili: QORAKO'L TUMANI JIG'ACHI MFY </v>
      </c>
      <c r="B15" s="336"/>
      <c r="C15" s="336"/>
      <c r="D15" s="336"/>
      <c r="E15" s="336"/>
    </row>
    <row r="16" spans="1:5" x14ac:dyDescent="0.25">
      <c r="A16" s="336" t="str">
        <f>'Приказ на сделку'!A24:E24</f>
        <v>-* davlat raqami: 80J851UA</v>
      </c>
      <c r="B16" s="336"/>
      <c r="C16" s="336"/>
      <c r="D16" s="336"/>
      <c r="E16" s="336"/>
    </row>
    <row r="17" spans="1:5" ht="3" customHeight="1" x14ac:dyDescent="0.25"/>
    <row r="19" spans="1:5" ht="59.25" hidden="1" customHeight="1" x14ac:dyDescent="0.25">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x14ac:dyDescent="0.25">
      <c r="A20" s="17" t="e">
        <f>'Акт согласования'!A33</f>
        <v>#REF!</v>
      </c>
      <c r="B20" s="17" t="e">
        <f>'Акт согласования'!B33</f>
        <v>#REF!</v>
      </c>
      <c r="C20" s="17" t="e">
        <f>'Акт согласования'!C33</f>
        <v>#REF!</v>
      </c>
      <c r="D20" s="17" t="e">
        <f>'Акт согласования'!D33</f>
        <v>#REF!</v>
      </c>
      <c r="E20" s="310" t="str">
        <f>""&amp;FIXED('Общие данные'!C136,2)&amp;" ("&amp;'Общие данные'!C137&amp;")"</f>
        <v>60 000 000,00 (oltmish million so'm)</v>
      </c>
    </row>
    <row r="21" spans="1:5" ht="17.25" hidden="1" customHeight="1" x14ac:dyDescent="0.25">
      <c r="A21" s="17">
        <f>'Акт согласования'!A34</f>
        <v>0</v>
      </c>
      <c r="B21" s="17">
        <f>'Акт согласования'!B34</f>
        <v>0</v>
      </c>
      <c r="C21" s="17">
        <f>'Акт согласования'!C34</f>
        <v>0</v>
      </c>
      <c r="D21" s="17">
        <f>'Акт согласования'!D34</f>
        <v>0</v>
      </c>
      <c r="E21" s="311"/>
    </row>
    <row r="22" spans="1:5" ht="17.25" hidden="1" customHeight="1" x14ac:dyDescent="0.25">
      <c r="A22" s="17" t="e">
        <f>'Акт согласования'!A35</f>
        <v>#REF!</v>
      </c>
      <c r="B22" s="17" t="e">
        <f>'Акт согласования'!B35</f>
        <v>#REF!</v>
      </c>
      <c r="C22" s="17" t="e">
        <f>'Акт согласования'!C35</f>
        <v>#REF!</v>
      </c>
      <c r="D22" s="17" t="e">
        <f>'Акт согласования'!D35</f>
        <v>#REF!</v>
      </c>
      <c r="E22" s="311"/>
    </row>
    <row r="23" spans="1:5" ht="17.25" hidden="1" customHeight="1" x14ac:dyDescent="0.25">
      <c r="A23" s="17" t="e">
        <f>'Акт согласования'!A36</f>
        <v>#REF!</v>
      </c>
      <c r="B23" s="17" t="e">
        <f>'Акт согласования'!B36</f>
        <v>#REF!</v>
      </c>
      <c r="C23" s="17" t="e">
        <f>'Акт согласования'!C36</f>
        <v>#REF!</v>
      </c>
      <c r="D23" s="17" t="e">
        <f>'Акт согласования'!D36</f>
        <v>#REF!</v>
      </c>
      <c r="E23" s="311"/>
    </row>
    <row r="24" spans="1:5" ht="17.25" hidden="1" customHeight="1" x14ac:dyDescent="0.25">
      <c r="A24" s="17" t="e">
        <f>'Акт согласования'!A37</f>
        <v>#REF!</v>
      </c>
      <c r="B24" s="17" t="e">
        <f>'Акт согласования'!B37</f>
        <v>#REF!</v>
      </c>
      <c r="C24" s="17" t="e">
        <f>'Акт согласования'!C37</f>
        <v>#REF!</v>
      </c>
      <c r="D24" s="17" t="e">
        <f>'Акт согласования'!D37</f>
        <v>#REF!</v>
      </c>
      <c r="E24" s="311"/>
    </row>
    <row r="25" spans="1:5" ht="15.75" hidden="1" customHeight="1" x14ac:dyDescent="0.25">
      <c r="A25" s="17" t="e">
        <f>'Акт согласования'!A38</f>
        <v>#REF!</v>
      </c>
      <c r="B25" s="17" t="e">
        <f>'Акт согласования'!B38</f>
        <v>#REF!</v>
      </c>
      <c r="C25" s="17" t="e">
        <f>'Акт согласования'!C38</f>
        <v>#REF!</v>
      </c>
      <c r="D25" s="17" t="e">
        <f>'Акт согласования'!D38</f>
        <v>#REF!</v>
      </c>
      <c r="E25" s="311"/>
    </row>
    <row r="26" spans="1:5" ht="17.25" hidden="1" customHeight="1" x14ac:dyDescent="0.25">
      <c r="A26" s="17" t="e">
        <f>'Акт согласования'!A39</f>
        <v>#REF!</v>
      </c>
      <c r="B26" s="17" t="e">
        <f>'Акт согласования'!B39</f>
        <v>#REF!</v>
      </c>
      <c r="C26" s="17" t="e">
        <f>'Акт согласования'!C39</f>
        <v>#REF!</v>
      </c>
      <c r="D26" s="17" t="e">
        <f>'Акт согласования'!D39</f>
        <v>#REF!</v>
      </c>
      <c r="E26" s="311"/>
    </row>
    <row r="27" spans="1:5" ht="17.25" hidden="1" customHeight="1" x14ac:dyDescent="0.25">
      <c r="A27" s="17" t="e">
        <f>'Акт согласования'!A40</f>
        <v>#REF!</v>
      </c>
      <c r="B27" s="17" t="e">
        <f>'Акт согласования'!B40</f>
        <v>#REF!</v>
      </c>
      <c r="C27" s="17" t="e">
        <f>'Акт согласования'!C40</f>
        <v>#REF!</v>
      </c>
      <c r="D27" s="17" t="e">
        <f>'Акт согласования'!D40</f>
        <v>#REF!</v>
      </c>
      <c r="E27" s="311"/>
    </row>
    <row r="28" spans="1:5" ht="17.25" hidden="1" customHeight="1" x14ac:dyDescent="0.25">
      <c r="A28" s="17" t="e">
        <f>'Акт согласования'!A41</f>
        <v>#REF!</v>
      </c>
      <c r="B28" s="17" t="e">
        <f>'Акт согласования'!B41</f>
        <v>#REF!</v>
      </c>
      <c r="C28" s="17" t="e">
        <f>'Акт согласования'!C41</f>
        <v>#REF!</v>
      </c>
      <c r="D28" s="17" t="e">
        <f>'Акт согласования'!D41</f>
        <v>#REF!</v>
      </c>
      <c r="E28" s="311"/>
    </row>
    <row r="29" spans="1:5" ht="17.25" hidden="1" customHeight="1" x14ac:dyDescent="0.25">
      <c r="A29" s="17" t="e">
        <f>'Акт согласования'!A42</f>
        <v>#REF!</v>
      </c>
      <c r="B29" s="17" t="e">
        <f>'Акт согласования'!B42</f>
        <v>#REF!</v>
      </c>
      <c r="C29" s="17" t="e">
        <f>'Акт согласования'!C42</f>
        <v>#REF!</v>
      </c>
      <c r="D29" s="17" t="e">
        <f>'Акт согласования'!D42</f>
        <v>#REF!</v>
      </c>
      <c r="E29" s="311"/>
    </row>
    <row r="30" spans="1:5" ht="17.25" hidden="1" customHeight="1" x14ac:dyDescent="0.25">
      <c r="A30" s="17" t="e">
        <f>'Акт согласования'!A43</f>
        <v>#REF!</v>
      </c>
      <c r="B30" s="17" t="e">
        <f>'Акт согласования'!B43</f>
        <v>#REF!</v>
      </c>
      <c r="C30" s="17" t="e">
        <f>'Акт согласования'!C43</f>
        <v>#REF!</v>
      </c>
      <c r="D30" s="17" t="e">
        <f>'Акт согласования'!D43</f>
        <v>#REF!</v>
      </c>
      <c r="E30" s="312"/>
    </row>
    <row r="31" spans="1:5" ht="17.25" hidden="1" customHeight="1" x14ac:dyDescent="0.25">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60 000 000,00</v>
      </c>
    </row>
    <row r="32" spans="1:5" ht="18.75" hidden="1" customHeight="1" x14ac:dyDescent="0.25">
      <c r="A32" s="332" t="e">
        <f ca="1">_xlfn.SINGLE('Акт согласования'!#REF!)</f>
        <v>#NAME?</v>
      </c>
      <c r="B32" s="332"/>
      <c r="C32" s="332"/>
      <c r="D32" s="332"/>
      <c r="E32" s="332"/>
    </row>
    <row r="33" spans="1:5" ht="24.75" hidden="1" customHeight="1" x14ac:dyDescent="0.25">
      <c r="A33" s="332" t="e">
        <f ca="1">_xlfn.SINGLE('Акт согласования'!#REF!)</f>
        <v>#NAME?</v>
      </c>
      <c r="B33" s="332"/>
      <c r="C33" s="332"/>
      <c r="D33" s="332"/>
      <c r="E33" s="332"/>
    </row>
    <row r="34" spans="1:5" ht="30.75" hidden="1" customHeight="1" x14ac:dyDescent="0.25">
      <c r="A34" s="332" t="e">
        <f ca="1">_xlfn.SINGLE('Акт согласования'!#REF!)</f>
        <v>#NAME?</v>
      </c>
      <c r="B34" s="332"/>
      <c r="C34" s="332"/>
      <c r="D34" s="332"/>
      <c r="E34" s="332"/>
    </row>
    <row r="35" spans="1:5" ht="15" hidden="1" customHeight="1" x14ac:dyDescent="0.25">
      <c r="A35" s="332" t="e">
        <f ca="1">_xlfn.SINGLE('Акт согласования'!#REF!)</f>
        <v>#NAME?</v>
      </c>
      <c r="B35" s="332"/>
      <c r="C35" s="332"/>
      <c r="D35" s="332"/>
      <c r="E35" s="332"/>
    </row>
    <row r="36" spans="1:5" x14ac:dyDescent="0.25">
      <c r="A36" s="22"/>
      <c r="B36" s="22"/>
      <c r="C36" s="22"/>
      <c r="D36" s="22"/>
      <c r="E36" s="22"/>
    </row>
    <row r="37" spans="1:5" s="130" customFormat="1" ht="51" customHeight="1" x14ac:dyDescent="0.25">
      <c r="A37" s="335"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5"/>
      <c r="C37" s="335"/>
      <c r="D37" s="335"/>
      <c r="E37" s="335"/>
    </row>
    <row r="38" spans="1:5" ht="40.5" customHeight="1" x14ac:dyDescent="0.25">
      <c r="A38" s="332" t="str">
        <f>'Акт согласования'!A47:E47</f>
        <v>Shu bilan birga, garov predmetining kelishilgan garov qiymati deganda ushbu mulk garov sifatida taqdim etilgan/qabul qilingan qiymati tushuniladi.</v>
      </c>
      <c r="B38" s="332"/>
      <c r="C38" s="332"/>
      <c r="D38" s="332"/>
      <c r="E38" s="332"/>
    </row>
    <row r="39" spans="1:5" ht="39" customHeight="1" x14ac:dyDescent="0.25">
      <c r="A39" s="332"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6 mart 2025 y.dan №544-QR, при сохранении запрета.</v>
      </c>
      <c r="B39" s="332"/>
      <c r="C39" s="332"/>
      <c r="D39" s="332"/>
      <c r="E39" s="332"/>
    </row>
    <row r="40" spans="1:5" x14ac:dyDescent="0.25">
      <c r="A40" s="333"/>
      <c r="B40" s="333"/>
      <c r="C40" s="333"/>
      <c r="D40" s="333"/>
      <c r="E40" s="333"/>
    </row>
    <row r="41" spans="1:5" x14ac:dyDescent="0.25">
      <c r="A41" s="334" t="s">
        <v>37</v>
      </c>
      <c r="B41" s="334"/>
      <c r="C41" s="334"/>
      <c r="D41" s="334"/>
      <c r="E41" s="334"/>
    </row>
    <row r="42" spans="1:5" x14ac:dyDescent="0.25">
      <c r="A42" s="333"/>
      <c r="B42" s="333"/>
      <c r="C42" s="333"/>
      <c r="D42" s="333"/>
      <c r="E42" s="333"/>
    </row>
    <row r="43" spans="1:5" x14ac:dyDescent="0.25">
      <c r="A43" s="334" t="s">
        <v>38</v>
      </c>
      <c r="B43" s="334"/>
      <c r="C43" s="334"/>
      <c r="D43" s="334"/>
      <c r="E43" s="334"/>
    </row>
    <row r="44" spans="1:5" ht="28.5" customHeight="1" x14ac:dyDescent="0.25">
      <c r="A44" s="331" t="s">
        <v>39</v>
      </c>
      <c r="B44" s="331"/>
      <c r="C44" s="331"/>
      <c r="D44" s="331"/>
      <c r="E44" s="11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A10" sqref="A10:B10"/>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x14ac:dyDescent="0.2">
      <c r="A1" s="31"/>
      <c r="B1" s="31"/>
      <c r="C1" s="31"/>
      <c r="D1" s="31"/>
      <c r="E1" s="31"/>
      <c r="F1" s="31"/>
      <c r="G1" s="31"/>
      <c r="H1" s="31"/>
      <c r="I1" s="31"/>
    </row>
    <row r="2" spans="1:9" x14ac:dyDescent="0.2">
      <c r="A2" s="344" t="str">
        <f>""&amp;" "&amp;'Общие данные'!B74&amp;"-sonli "&amp;" "&amp;'Общие данные'!C64&amp;" shartnomasi bo‘yicha
 garovga qo‘yilgan mol-mulkni tekshirish bo’yicha "&amp;'Общие данные'!B5&amp;" bilan tuzilgan dalolatnomasi"</f>
        <v xml:space="preserve"> 6 mart 2025 y.dan №544-QR-sonli  Mikroqarz shartnomasi bo‘yicha
 garovga qo‘yilgan mol-mulkni tekshirish bo’yicha SHUKUROV OTABEK SHOKIROVICH bilan tuzilgan dalolatnomasi</v>
      </c>
      <c r="B2" s="344"/>
      <c r="C2" s="344"/>
      <c r="D2" s="344"/>
      <c r="E2" s="344"/>
      <c r="F2" s="344"/>
      <c r="G2" s="344"/>
      <c r="H2" s="344"/>
      <c r="I2" s="31"/>
    </row>
    <row r="3" spans="1:9" x14ac:dyDescent="0.2">
      <c r="A3" s="344"/>
      <c r="B3" s="344"/>
      <c r="C3" s="344"/>
      <c r="D3" s="344"/>
      <c r="E3" s="344"/>
      <c r="F3" s="344"/>
      <c r="G3" s="344"/>
      <c r="H3" s="344"/>
      <c r="I3" s="31"/>
    </row>
    <row r="5" spans="1:9" x14ac:dyDescent="0.2">
      <c r="A5" s="24" t="s">
        <v>205</v>
      </c>
      <c r="F5" s="159"/>
      <c r="H5" s="143" t="str">
        <f>TEXT('Общие данные'!D2,"ДД.ММ.ГГГГ")</f>
        <v>02.09.2025</v>
      </c>
    </row>
    <row r="7" spans="1:9" ht="45" customHeight="1" x14ac:dyDescent="0.2">
      <c r="A7" s="343"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Qorako'l filiali boshlig'ii Egamberdiyeva D.I., jismoniy shaxs  SHUKUROV OTABEK SHOKIROVICH  6 mart 2025 y.dan №544-QR-sonli mikroqarz shartnomasi bo‘yicha garovga qo‘yilgan mol-mulkni ko‘zdan kechirdim</v>
      </c>
      <c r="B7" s="343"/>
      <c r="C7" s="343"/>
      <c r="D7" s="343"/>
      <c r="E7" s="343"/>
      <c r="F7" s="343"/>
      <c r="G7" s="343"/>
      <c r="H7" s="343"/>
    </row>
    <row r="8" spans="1:9" ht="19.5" customHeight="1" x14ac:dyDescent="0.2">
      <c r="A8" s="338" t="s">
        <v>278</v>
      </c>
      <c r="B8" s="338"/>
      <c r="C8" s="338"/>
      <c r="D8" s="338"/>
      <c r="E8" s="338"/>
      <c r="F8" s="338"/>
      <c r="G8" s="338"/>
      <c r="H8" s="338"/>
    </row>
    <row r="9" spans="1:9" s="144" customFormat="1" ht="32.25" customHeight="1" x14ac:dyDescent="0.25">
      <c r="A9" s="339" t="str">
        <f>'Акт согласования'!A20</f>
        <v>Nomi</v>
      </c>
      <c r="B9" s="340"/>
      <c r="C9" s="339" t="str">
        <f>'Акт согласования'!B20</f>
        <v>Kuzov turi  va kuzov raqami*</v>
      </c>
      <c r="D9" s="340"/>
      <c r="E9" s="339" t="str">
        <f>'Акт согласования'!D20</f>
        <v>Dvigatel va shassi raqami*</v>
      </c>
      <c r="F9" s="340"/>
      <c r="G9" s="339" t="str">
        <f>'Акт согласования'!E20</f>
        <v>Ishlab chiqarilgan yili va rangi**</v>
      </c>
      <c r="H9" s="340"/>
    </row>
    <row r="10" spans="1:9" s="142" customFormat="1" ht="58.5" customHeight="1" x14ac:dyDescent="0.2">
      <c r="A10" s="341" t="str">
        <f>'Акт согласования'!A21</f>
        <v>COBALT</v>
      </c>
      <c r="B10" s="341"/>
      <c r="C10" s="341" t="str">
        <f>'Акт согласования'!B21</f>
        <v>kuzov turi - YENGIL SEDAN, kuzov raqami XWBJF69VEGA010899</v>
      </c>
      <c r="D10" s="341"/>
      <c r="E10" s="341" t="str">
        <f>'Акт согласования'!D21</f>
        <v>dvigatel raqami B15D211163492DJX0086, shassi raqami - RAKAMSIZ</v>
      </c>
      <c r="F10" s="341"/>
      <c r="G10" s="341" t="str">
        <f>'Акт согласования'!E21</f>
        <v>rangi -  OQ OLIMPIYSKAYA BELAYA, ishlab chiqarilgan yili - 2016</v>
      </c>
      <c r="H10" s="341"/>
    </row>
    <row r="11" spans="1:9" ht="19.5" customHeight="1" x14ac:dyDescent="0.2">
      <c r="A11" s="342" t="str">
        <f>'Акт согласования'!A22:E22</f>
        <v>-* avtotransport egasi: SHUKUROV SHOKIR ABDIKARIMOVICH</v>
      </c>
      <c r="B11" s="342"/>
      <c r="C11" s="342"/>
      <c r="D11" s="342"/>
      <c r="E11" s="342"/>
      <c r="F11" s="342"/>
      <c r="G11" s="342"/>
      <c r="H11" s="342"/>
    </row>
    <row r="12" spans="1:9" ht="19.5" customHeight="1" x14ac:dyDescent="0.2">
      <c r="A12" s="342" t="str">
        <f>'Акт согласования'!A23:E23</f>
        <v>-* texnik pasport: AAG 0819754 24.01.2023y.</v>
      </c>
      <c r="B12" s="342"/>
      <c r="C12" s="342"/>
      <c r="D12" s="342"/>
      <c r="E12" s="342"/>
      <c r="F12" s="342"/>
      <c r="G12" s="342"/>
      <c r="H12" s="342"/>
    </row>
    <row r="13" spans="1:9" ht="19.5" customHeight="1" x14ac:dyDescent="0.2">
      <c r="A13" s="342" t="str">
        <f>'Акт согласования'!A24:E24</f>
        <v xml:space="preserve">-* roʻyxatdan oʻtgan manzili/garaj manzili: QORAKO'L TUMANI JIG'ACHI MFY </v>
      </c>
      <c r="B13" s="342"/>
      <c r="C13" s="342"/>
      <c r="D13" s="342"/>
      <c r="E13" s="342"/>
      <c r="F13" s="342"/>
      <c r="G13" s="342"/>
      <c r="H13" s="342"/>
    </row>
    <row r="14" spans="1:9" ht="19.5" customHeight="1" x14ac:dyDescent="0.2">
      <c r="A14" s="342" t="str">
        <f>'Акт согласования'!A25:E25</f>
        <v>-* davlat raqami: 80J851UA</v>
      </c>
      <c r="B14" s="342"/>
      <c r="C14" s="342"/>
      <c r="D14" s="342"/>
      <c r="E14" s="342"/>
      <c r="F14" s="342"/>
      <c r="G14" s="342"/>
      <c r="H14" s="342"/>
    </row>
    <row r="15" spans="1:9" ht="33.75" customHeight="1" x14ac:dyDescent="0.2">
      <c r="A15" s="345" t="str">
        <f>+"Shu bilan birga, yuqoridagi mulkning kelishilgan garov qiymati "&amp;'Акт согласования'!E30</f>
        <v>Shu bilan birga, yuqoridagi mulkning kelishilgan garov qiymati 60 000 000,00 
(oltmish million so'm)</v>
      </c>
      <c r="B15" s="345"/>
      <c r="C15" s="345"/>
      <c r="D15" s="345"/>
      <c r="E15" s="345"/>
      <c r="F15" s="345"/>
      <c r="G15" s="345"/>
      <c r="H15" s="345"/>
    </row>
    <row r="17" spans="1:8" ht="27" customHeight="1" x14ac:dyDescent="0.2">
      <c r="A17" s="337" t="s">
        <v>279</v>
      </c>
      <c r="B17" s="337"/>
      <c r="C17" s="337"/>
      <c r="D17" s="337"/>
      <c r="E17" s="337"/>
      <c r="F17" s="337"/>
      <c r="G17" s="337"/>
      <c r="H17" s="337"/>
    </row>
    <row r="21" spans="1:8" s="31" customFormat="1" x14ac:dyDescent="0.2"/>
    <row r="22" spans="1:8" s="31" customFormat="1" x14ac:dyDescent="0.2">
      <c r="A22" s="31" t="str">
        <f>'Общие данные'!A150</f>
        <v>Qorako'l filiali boshlig'i</v>
      </c>
      <c r="H22" s="145" t="str">
        <f>'Общие данные'!B150</f>
        <v>Egamberdiyeva D.I.</v>
      </c>
    </row>
    <row r="23" spans="1:8" s="31" customFormat="1" ht="32.25" customHeight="1" x14ac:dyDescent="0.2">
      <c r="H23" s="145"/>
    </row>
    <row r="24" spans="1:8" s="31" customFormat="1" ht="16.5" customHeight="1" x14ac:dyDescent="0.2">
      <c r="A24" s="31" t="s">
        <v>280</v>
      </c>
      <c r="H24" s="31" t="str">
        <f>'Общие данные'!B160</f>
        <v>Jumanazarov B.T.</v>
      </c>
    </row>
    <row r="25" spans="1:8" s="31" customFormat="1" ht="60" customHeight="1" x14ac:dyDescent="0.2"/>
    <row r="26" spans="1:8" s="31" customFormat="1" x14ac:dyDescent="0.2">
      <c r="A26" s="31" t="s">
        <v>281</v>
      </c>
      <c r="H26" s="145" t="str">
        <f>'Общие данные'!B7</f>
        <v>SHUKUROV O.SH</v>
      </c>
    </row>
    <row r="27" spans="1:8" s="31" customFormat="1" x14ac:dyDescent="0.2"/>
    <row r="28" spans="1:8" s="31" customFormat="1" x14ac:dyDescent="0.2"/>
    <row r="29" spans="1:8" s="31" customFormat="1" x14ac:dyDescent="0.2"/>
    <row r="30" spans="1:8" s="31" customFormat="1" x14ac:dyDescent="0.2"/>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1" zoomScale="115" zoomScaleNormal="100" zoomScaleSheetLayoutView="115" workbookViewId="0">
      <selection activeCell="A10" sqref="A10:B10"/>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44" t="str">
        <f>""&amp;" "&amp;'Общие данные'!B74&amp;"-sonli "&amp;" "&amp;'Общие данные'!C64&amp;" shartnomasi bo‘yicha
 garovga qo‘yilgan mol-mulkni tekshirish bo’yicha "&amp;'Общие данные'!B5&amp;" bilan tuzilgan dalolatnomasi"</f>
        <v xml:space="preserve"> 6 mart 2025 y.dan №544-QR-sonli  Mikroqarz shartnomasi bo‘yicha
 garovga qo‘yilgan mol-mulkni tekshirish bo’yicha SHUKUROV OTABEK SHOKIROVICH bilan tuzilgan dalolatnomasi</v>
      </c>
      <c r="B2" s="344"/>
      <c r="C2" s="344"/>
      <c r="D2" s="344"/>
      <c r="E2" s="344"/>
      <c r="F2" s="344"/>
      <c r="G2" s="344"/>
      <c r="H2" s="344"/>
      <c r="I2" s="31"/>
    </row>
    <row r="3" spans="1:9" x14ac:dyDescent="0.2">
      <c r="A3" s="344"/>
      <c r="B3" s="344"/>
      <c r="C3" s="344"/>
      <c r="D3" s="344"/>
      <c r="E3" s="344"/>
      <c r="F3" s="344"/>
      <c r="G3" s="344"/>
      <c r="H3" s="344"/>
      <c r="I3" s="31"/>
    </row>
    <row r="5" spans="1:9" x14ac:dyDescent="0.2">
      <c r="A5" s="24" t="s">
        <v>205</v>
      </c>
      <c r="H5" s="143" t="str">
        <f>TEXT(+'Общие данные'!B2+360,"ДД.ММ.ГГГГ")</f>
        <v>01.03.2026</v>
      </c>
    </row>
    <row r="7" spans="1:9" ht="45" customHeight="1" x14ac:dyDescent="0.2">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SHUKUROV OTABEK SHOKIROVICH  6 mart 2025 y.dan №544-QR-sonli Mikroqarz shartnomasi bo‘yicha garovga qo‘yilgan mol-mulkni ko‘zdan kechirdim</v>
      </c>
      <c r="B7" s="343"/>
      <c r="C7" s="343"/>
      <c r="D7" s="343"/>
      <c r="E7" s="343"/>
      <c r="F7" s="343"/>
      <c r="G7" s="343"/>
      <c r="H7" s="343"/>
    </row>
    <row r="8" spans="1:9" ht="19.5" customHeight="1" x14ac:dyDescent="0.2">
      <c r="A8" s="338" t="s">
        <v>278</v>
      </c>
      <c r="B8" s="338"/>
      <c r="C8" s="338"/>
      <c r="D8" s="338"/>
      <c r="E8" s="338"/>
      <c r="F8" s="338"/>
      <c r="G8" s="338"/>
      <c r="H8" s="338"/>
    </row>
    <row r="9" spans="1:9" s="144" customFormat="1" ht="32.25" customHeight="1" x14ac:dyDescent="0.25">
      <c r="A9" s="339" t="str">
        <f>' Акт мониторинга 1'!A9</f>
        <v>Nomi</v>
      </c>
      <c r="B9" s="340"/>
      <c r="C9" s="339" t="str">
        <f>' Акт мониторинга 1'!C9</f>
        <v>Kuzov turi  va kuzov raqami*</v>
      </c>
      <c r="D9" s="340"/>
      <c r="E9" s="339" t="str">
        <f>' Акт мониторинга 1'!E9</f>
        <v>Dvigatel va shassi raqami*</v>
      </c>
      <c r="F9" s="340"/>
      <c r="G9" s="339" t="str">
        <f>' Акт мониторинга 1'!G9</f>
        <v>Ishlab chiqarilgan yili va rangi**</v>
      </c>
      <c r="H9" s="340"/>
    </row>
    <row r="10" spans="1:9" s="142" customFormat="1" ht="58.5" customHeight="1" x14ac:dyDescent="0.2">
      <c r="A10" s="341" t="str">
        <f>' Акт мониторинга 1'!A10</f>
        <v>COBALT</v>
      </c>
      <c r="B10" s="341"/>
      <c r="C10" s="341" t="str">
        <f>' Акт мониторинга 1'!C10</f>
        <v>kuzov turi - YENGIL SEDAN, kuzov raqami XWBJF69VEGA010899</v>
      </c>
      <c r="D10" s="341"/>
      <c r="E10" s="341" t="str">
        <f>' Акт мониторинга 1'!E10</f>
        <v>dvigatel raqami B15D211163492DJX0086, shassi raqami - RAKAMSIZ</v>
      </c>
      <c r="F10" s="341"/>
      <c r="G10" s="341" t="str">
        <f>' Акт мониторинга 1'!G10</f>
        <v>rangi -  OQ OLIMPIYSKAYA BELAYA, ishlab chiqarilgan yili - 2016</v>
      </c>
      <c r="H10" s="341"/>
    </row>
    <row r="11" spans="1:9" ht="19.5" customHeight="1" x14ac:dyDescent="0.2">
      <c r="A11" s="342" t="str">
        <f>'Акт согласования'!A22:E22</f>
        <v>-* avtotransport egasi: SHUKUROV SHOKIR ABDIKARIMOVICH</v>
      </c>
      <c r="B11" s="342"/>
      <c r="C11" s="342"/>
      <c r="D11" s="342"/>
      <c r="E11" s="342"/>
      <c r="F11" s="342"/>
      <c r="G11" s="342"/>
      <c r="H11" s="342"/>
    </row>
    <row r="12" spans="1:9" ht="19.5" customHeight="1" x14ac:dyDescent="0.2">
      <c r="A12" s="342" t="str">
        <f>'Акт согласования'!A23:E23</f>
        <v>-* texnik pasport: AAG 0819754 24.01.2023y.</v>
      </c>
      <c r="B12" s="342"/>
      <c r="C12" s="342"/>
      <c r="D12" s="342"/>
      <c r="E12" s="342"/>
      <c r="F12" s="342"/>
      <c r="G12" s="342"/>
      <c r="H12" s="342"/>
    </row>
    <row r="13" spans="1:9" ht="19.5" customHeight="1" x14ac:dyDescent="0.2">
      <c r="A13" s="342" t="str">
        <f>'Акт согласования'!A24:E24</f>
        <v xml:space="preserve">-* roʻyxatdan oʻtgan manzili/garaj manzili: QORAKO'L TUMANI JIG'ACHI MFY </v>
      </c>
      <c r="B13" s="342"/>
      <c r="C13" s="342"/>
      <c r="D13" s="342"/>
      <c r="E13" s="342"/>
      <c r="F13" s="342"/>
      <c r="G13" s="342"/>
      <c r="H13" s="342"/>
    </row>
    <row r="14" spans="1:9" ht="19.5" customHeight="1" x14ac:dyDescent="0.2">
      <c r="A14" s="342" t="str">
        <f>'Акт согласования'!A25:E25</f>
        <v>-* davlat raqami: 80J851UA</v>
      </c>
      <c r="B14" s="342"/>
      <c r="C14" s="342"/>
      <c r="D14" s="342"/>
      <c r="E14" s="342"/>
      <c r="F14" s="342"/>
      <c r="G14" s="342"/>
      <c r="H14" s="342"/>
    </row>
    <row r="15" spans="1:9" ht="33.75" customHeight="1" x14ac:dyDescent="0.2">
      <c r="A15" s="345" t="str">
        <f>+"Shu bilan birga, yuqoridagi mulkning kelishilgan garov qiymati "&amp;'Акт согласования'!E30</f>
        <v>Shu bilan birga, yuqoridagi mulkning kelishilgan garov qiymati 60 000 000,00 
(oltmish million so'm)</v>
      </c>
      <c r="B15" s="345"/>
      <c r="C15" s="345"/>
      <c r="D15" s="345"/>
      <c r="E15" s="345"/>
      <c r="F15" s="345"/>
      <c r="G15" s="345"/>
      <c r="H15" s="345"/>
    </row>
    <row r="17" spans="1:8" ht="35.25" customHeight="1" x14ac:dyDescent="0.2">
      <c r="A17" s="337" t="s">
        <v>279</v>
      </c>
      <c r="B17" s="337"/>
      <c r="C17" s="337"/>
      <c r="D17" s="337"/>
      <c r="E17" s="337"/>
      <c r="F17" s="337"/>
      <c r="G17" s="337"/>
      <c r="H17" s="337"/>
    </row>
    <row r="21" spans="1:8" s="31" customFormat="1" x14ac:dyDescent="0.2"/>
    <row r="22" spans="1:8" s="31" customFormat="1" x14ac:dyDescent="0.2">
      <c r="A22" s="31" t="str">
        <f>'Общие данные'!A150</f>
        <v>Qorako'l filiali boshlig'i</v>
      </c>
      <c r="H22" s="145" t="str">
        <f>'Общие данные'!B150</f>
        <v>Egamberdiyeva D.I.</v>
      </c>
    </row>
    <row r="23" spans="1:8" s="31" customFormat="1" ht="32.25" customHeight="1" x14ac:dyDescent="0.2">
      <c r="H23" s="145"/>
    </row>
    <row r="24" spans="1:8" s="31" customFormat="1" ht="16.5" customHeight="1" x14ac:dyDescent="0.2">
      <c r="A24" s="31" t="s">
        <v>280</v>
      </c>
      <c r="H24" s="31" t="str">
        <f>'Общие данные'!B160</f>
        <v>Jumanazarov B.T.</v>
      </c>
    </row>
    <row r="25" spans="1:8" s="31" customFormat="1" ht="60" customHeight="1" x14ac:dyDescent="0.2"/>
    <row r="26" spans="1:8" s="31" customFormat="1" x14ac:dyDescent="0.2">
      <c r="A26" s="31" t="s">
        <v>281</v>
      </c>
      <c r="H26" s="145" t="str">
        <f>'Общие данные'!B7</f>
        <v>SHUKUROV O.SH</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A10" sqref="A10:B10"/>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44" t="str">
        <f>""&amp;" "&amp;'Общие данные'!B74&amp;"-sonli "&amp;" "&amp;'Общие данные'!C64&amp;" shartnomasi bo‘yicha
 garovga qo‘yilgan mol-mulkni tekshirish bo’yicha "&amp;'Общие данные'!B5&amp;" bilan tuzilgan dalolatnomasi"</f>
        <v xml:space="preserve"> 6 mart 2025 y.dan №544-QR-sonli  Mikroqarz shartnomasi bo‘yicha
 garovga qo‘yilgan mol-mulkni tekshirish bo’yicha SHUKUROV OTABEK SHOKIROVICH bilan tuzilgan dalolatnomasi</v>
      </c>
      <c r="B2" s="344"/>
      <c r="C2" s="344"/>
      <c r="D2" s="344"/>
      <c r="E2" s="344"/>
      <c r="F2" s="344"/>
      <c r="G2" s="344"/>
      <c r="H2" s="344"/>
      <c r="I2" s="31"/>
    </row>
    <row r="3" spans="1:9" x14ac:dyDescent="0.2">
      <c r="A3" s="344"/>
      <c r="B3" s="344"/>
      <c r="C3" s="344"/>
      <c r="D3" s="344"/>
      <c r="E3" s="344"/>
      <c r="F3" s="344"/>
      <c r="G3" s="344"/>
      <c r="H3" s="344"/>
      <c r="I3" s="31"/>
    </row>
    <row r="5" spans="1:9" x14ac:dyDescent="0.2">
      <c r="A5" s="24" t="s">
        <v>205</v>
      </c>
      <c r="H5" s="143" t="str">
        <f>TEXT(+'Общие данные'!B2+540,"ДД.ММ.ГГГГ")</f>
        <v>28.08.2026</v>
      </c>
    </row>
    <row r="7" spans="1:9" ht="45" customHeight="1" x14ac:dyDescent="0.2">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SHUKUROV OTABEK SHOKIROVICH  6 mart 2025 y.dan №544-QR-sonli Mikroqarz shartnomasi bo‘yicha garovga qo‘yilgan mol-mulkni ko‘zdan kechirdim</v>
      </c>
      <c r="B7" s="343"/>
      <c r="C7" s="343"/>
      <c r="D7" s="343"/>
      <c r="E7" s="343"/>
      <c r="F7" s="343"/>
      <c r="G7" s="343"/>
      <c r="H7" s="343"/>
    </row>
    <row r="8" spans="1:9" ht="19.5" customHeight="1" x14ac:dyDescent="0.2">
      <c r="A8" s="338" t="s">
        <v>278</v>
      </c>
      <c r="B8" s="338"/>
      <c r="C8" s="338"/>
      <c r="D8" s="338"/>
      <c r="E8" s="338"/>
      <c r="F8" s="338"/>
      <c r="G8" s="338"/>
      <c r="H8" s="338"/>
    </row>
    <row r="9" spans="1:9" s="144" customFormat="1" ht="32.25" customHeight="1" x14ac:dyDescent="0.25">
      <c r="A9" s="339" t="str">
        <f>' Акт мониторинга 1'!A9</f>
        <v>Nomi</v>
      </c>
      <c r="B9" s="340"/>
      <c r="C9" s="339" t="str">
        <f>' Акт мониторинга 1'!C9</f>
        <v>Kuzov turi  va kuzov raqami*</v>
      </c>
      <c r="D9" s="340"/>
      <c r="E9" s="339" t="str">
        <f>' Акт мониторинга 1'!E9</f>
        <v>Dvigatel va shassi raqami*</v>
      </c>
      <c r="F9" s="340"/>
      <c r="G9" s="339" t="str">
        <f>' Акт мониторинга 1'!G9</f>
        <v>Ishlab chiqarilgan yili va rangi**</v>
      </c>
      <c r="H9" s="340"/>
    </row>
    <row r="10" spans="1:9" s="142" customFormat="1" ht="58.5" customHeight="1" x14ac:dyDescent="0.2">
      <c r="A10" s="346" t="str">
        <f>' Акт мониторинга 1'!A10</f>
        <v>COBALT</v>
      </c>
      <c r="B10" s="347"/>
      <c r="C10" s="346" t="str">
        <f>' Акт мониторинга 1'!C10</f>
        <v>kuzov turi - YENGIL SEDAN, kuzov raqami XWBJF69VEGA010899</v>
      </c>
      <c r="D10" s="347"/>
      <c r="E10" s="346" t="str">
        <f>' Акт мониторинга 1'!E10</f>
        <v>dvigatel raqami B15D211163492DJX0086, shassi raqami - RAKAMSIZ</v>
      </c>
      <c r="F10" s="347"/>
      <c r="G10" s="346" t="str">
        <f>' Акт мониторинга 1'!G10</f>
        <v>rangi -  OQ OLIMPIYSKAYA BELAYA, ishlab chiqarilgan yili - 2016</v>
      </c>
      <c r="H10" s="347"/>
    </row>
    <row r="11" spans="1:9" ht="19.5" customHeight="1" x14ac:dyDescent="0.2">
      <c r="A11" s="342" t="str">
        <f>'Акт согласования'!A22:E22</f>
        <v>-* avtotransport egasi: SHUKUROV SHOKIR ABDIKARIMOVICH</v>
      </c>
      <c r="B11" s="342"/>
      <c r="C11" s="342"/>
      <c r="D11" s="342"/>
      <c r="E11" s="342"/>
      <c r="F11" s="342"/>
      <c r="G11" s="342"/>
      <c r="H11" s="342"/>
    </row>
    <row r="12" spans="1:9" ht="19.5" customHeight="1" x14ac:dyDescent="0.2">
      <c r="A12" s="342" t="str">
        <f>'Акт согласования'!A23:E23</f>
        <v>-* texnik pasport: AAG 0819754 24.01.2023y.</v>
      </c>
      <c r="B12" s="342"/>
      <c r="C12" s="342"/>
      <c r="D12" s="342"/>
      <c r="E12" s="342"/>
      <c r="F12" s="342"/>
      <c r="G12" s="342"/>
      <c r="H12" s="342"/>
    </row>
    <row r="13" spans="1:9" ht="19.5" customHeight="1" x14ac:dyDescent="0.2">
      <c r="A13" s="342" t="str">
        <f>'Акт согласования'!A24:E24</f>
        <v xml:space="preserve">-* roʻyxatdan oʻtgan manzili/garaj manzili: QORAKO'L TUMANI JIG'ACHI MFY </v>
      </c>
      <c r="B13" s="342"/>
      <c r="C13" s="342"/>
      <c r="D13" s="342"/>
      <c r="E13" s="342"/>
      <c r="F13" s="342"/>
      <c r="G13" s="342"/>
      <c r="H13" s="342"/>
    </row>
    <row r="14" spans="1:9" ht="19.5" customHeight="1" x14ac:dyDescent="0.2">
      <c r="A14" s="342" t="str">
        <f>'Акт согласования'!A25:E25</f>
        <v>-* davlat raqami: 80J851UA</v>
      </c>
      <c r="B14" s="342"/>
      <c r="C14" s="342"/>
      <c r="D14" s="342"/>
      <c r="E14" s="342"/>
      <c r="F14" s="342"/>
      <c r="G14" s="342"/>
      <c r="H14" s="342"/>
    </row>
    <row r="15" spans="1:9" ht="33.75" customHeight="1" x14ac:dyDescent="0.2">
      <c r="A15" s="345" t="str">
        <f>+"Shu bilan birga, yuqoridagi mulkning kelishilgan garov qiymati "&amp;'Акт согласования'!E30</f>
        <v>Shu bilan birga, yuqoridagi mulkning kelishilgan garov qiymati 60 000 000,00 
(oltmish million so'm)</v>
      </c>
      <c r="B15" s="345"/>
      <c r="C15" s="345"/>
      <c r="D15" s="345"/>
      <c r="E15" s="345"/>
      <c r="F15" s="345"/>
      <c r="G15" s="345"/>
      <c r="H15" s="345"/>
    </row>
    <row r="17" spans="1:8" s="142" customFormat="1" ht="32.25" customHeight="1" x14ac:dyDescent="0.2">
      <c r="A17" s="337" t="s">
        <v>279</v>
      </c>
      <c r="B17" s="337"/>
      <c r="C17" s="337"/>
      <c r="D17" s="337"/>
      <c r="E17" s="337"/>
      <c r="F17" s="337"/>
      <c r="G17" s="337"/>
      <c r="H17" s="337"/>
    </row>
    <row r="21" spans="1:8" s="31" customFormat="1" x14ac:dyDescent="0.2"/>
    <row r="22" spans="1:8" s="31" customFormat="1" x14ac:dyDescent="0.2">
      <c r="A22" s="31" t="str">
        <f>'Общие данные'!A150</f>
        <v>Qorako'l filiali boshlig'i</v>
      </c>
      <c r="H22" s="145" t="str">
        <f>'Общие данные'!B150</f>
        <v>Egamberdiyeva D.I.</v>
      </c>
    </row>
    <row r="23" spans="1:8" s="31" customFormat="1" ht="32.25" customHeight="1" x14ac:dyDescent="0.2">
      <c r="H23" s="145"/>
    </row>
    <row r="24" spans="1:8" s="31" customFormat="1" ht="16.5" customHeight="1" x14ac:dyDescent="0.2">
      <c r="A24" s="31" t="s">
        <v>280</v>
      </c>
      <c r="H24" s="31" t="str">
        <f>'Общие данные'!B160</f>
        <v>Jumanazarov B.T.</v>
      </c>
    </row>
    <row r="25" spans="1:8" s="31" customFormat="1" ht="60" customHeight="1" x14ac:dyDescent="0.2"/>
    <row r="26" spans="1:8" s="31" customFormat="1" x14ac:dyDescent="0.2">
      <c r="A26" s="31" t="s">
        <v>281</v>
      </c>
      <c r="H26" s="145" t="str">
        <f>'Общие данные'!B7</f>
        <v>SHUKUROV O.SH</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zoomScaleNormal="100" zoomScaleSheetLayoutView="100" workbookViewId="0">
      <selection activeCell="G1" sqref="G1"/>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44" t="str">
        <f>""&amp;" "&amp;'Общие данные'!B74&amp;"-sonli "&amp;" "&amp;'Общие данные'!C64&amp;" shartnomasi bo‘yicha
 garovga qo‘yilgan mol-mulkni tekshirish bo’yicha "&amp;'Общие данные'!B5&amp;" bilan tuzilgan dalolatnomasi"</f>
        <v xml:space="preserve"> 6 mart 2025 y.dan №544-QR-sonli  Mikroqarz shartnomasi bo‘yicha
 garovga qo‘yilgan mol-mulkni tekshirish bo’yicha SHUKUROV OTABEK SHOKIROVICH bilan tuzilgan dalolatnomasi</v>
      </c>
      <c r="B2" s="344"/>
      <c r="C2" s="344"/>
      <c r="D2" s="344"/>
      <c r="E2" s="344"/>
      <c r="F2" s="344"/>
      <c r="G2" s="344"/>
      <c r="H2" s="344"/>
      <c r="I2" s="31"/>
    </row>
    <row r="3" spans="1:9" x14ac:dyDescent="0.2">
      <c r="A3" s="344"/>
      <c r="B3" s="344"/>
      <c r="C3" s="344"/>
      <c r="D3" s="344"/>
      <c r="E3" s="344"/>
      <c r="F3" s="344"/>
      <c r="G3" s="344"/>
      <c r="H3" s="344"/>
      <c r="I3" s="31"/>
    </row>
    <row r="5" spans="1:9" x14ac:dyDescent="0.2">
      <c r="A5" s="24" t="s">
        <v>205</v>
      </c>
      <c r="H5" s="143" t="str">
        <f>TEXT(+'Общие данные'!B2+720,"ДД.ММ.ГГГГ")</f>
        <v>24.02.2027</v>
      </c>
    </row>
    <row r="7" spans="1:9" ht="45" customHeight="1" x14ac:dyDescent="0.2">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Qorako'l filiali boshlig'ii Egamberdiyeva D.I., jismoniy shaxs  SHUKUROV OTABEK SHOKIROVICH  6 mart 2025 y.dan №544-QR-sonli Mikroqarz shartnomasi bo‘yicha garovga qo‘yilgan mol-mulkni ko‘zdan kechirdim</v>
      </c>
      <c r="B7" s="343"/>
      <c r="C7" s="343"/>
      <c r="D7" s="343"/>
      <c r="E7" s="343"/>
      <c r="F7" s="343"/>
      <c r="G7" s="343"/>
      <c r="H7" s="343"/>
    </row>
    <row r="8" spans="1:9" ht="19.5" customHeight="1" x14ac:dyDescent="0.2">
      <c r="A8" s="338" t="s">
        <v>278</v>
      </c>
      <c r="B8" s="338"/>
      <c r="C8" s="338"/>
      <c r="D8" s="338"/>
      <c r="E8" s="338"/>
      <c r="F8" s="338"/>
      <c r="G8" s="338"/>
      <c r="H8" s="338"/>
    </row>
    <row r="9" spans="1:9" s="144" customFormat="1" ht="32.25" customHeight="1" x14ac:dyDescent="0.25">
      <c r="A9" s="339" t="str">
        <f>' Акт мониторинга 1'!A9</f>
        <v>Nomi</v>
      </c>
      <c r="B9" s="340"/>
      <c r="C9" s="339" t="str">
        <f>' Акт мониторинга 1'!C9</f>
        <v>Kuzov turi  va kuzov raqami*</v>
      </c>
      <c r="D9" s="340"/>
      <c r="E9" s="339" t="str">
        <f>' Акт мониторинга 1'!E9</f>
        <v>Dvigatel va shassi raqami*</v>
      </c>
      <c r="F9" s="340"/>
      <c r="G9" s="339" t="str">
        <f>' Акт мониторинга 1'!G9</f>
        <v>Ishlab chiqarilgan yili va rangi**</v>
      </c>
      <c r="H9" s="340"/>
    </row>
    <row r="10" spans="1:9" s="142" customFormat="1" ht="58.5" customHeight="1" x14ac:dyDescent="0.2">
      <c r="A10" s="341" t="str">
        <f>' Акт мониторинга 1'!A10</f>
        <v>COBALT</v>
      </c>
      <c r="B10" s="341"/>
      <c r="C10" s="341" t="str">
        <f>' Акт мониторинга 1'!C10</f>
        <v>kuzov turi - YENGIL SEDAN, kuzov raqami XWBJF69VEGA010899</v>
      </c>
      <c r="D10" s="341"/>
      <c r="E10" s="341" t="str">
        <f>' Акт мониторинга 1'!E10</f>
        <v>dvigatel raqami B15D211163492DJX0086, shassi raqami - RAKAMSIZ</v>
      </c>
      <c r="F10" s="341"/>
      <c r="G10" s="341" t="str">
        <f>' Акт мониторинга 1'!G10</f>
        <v>rangi -  OQ OLIMPIYSKAYA BELAYA, ishlab chiqarilgan yili - 2016</v>
      </c>
      <c r="H10" s="341"/>
    </row>
    <row r="11" spans="1:9" ht="19.5" customHeight="1" x14ac:dyDescent="0.2">
      <c r="A11" s="342" t="str">
        <f>'Акт согласования'!A22:E22</f>
        <v>-* avtotransport egasi: SHUKUROV SHOKIR ABDIKARIMOVICH</v>
      </c>
      <c r="B11" s="342"/>
      <c r="C11" s="342"/>
      <c r="D11" s="342"/>
      <c r="E11" s="342"/>
      <c r="F11" s="342"/>
      <c r="G11" s="342"/>
      <c r="H11" s="342"/>
    </row>
    <row r="12" spans="1:9" ht="19.5" customHeight="1" x14ac:dyDescent="0.2">
      <c r="A12" s="342" t="str">
        <f>'Акт согласования'!A23:E23</f>
        <v>-* texnik pasport: AAG 0819754 24.01.2023y.</v>
      </c>
      <c r="B12" s="342"/>
      <c r="C12" s="342"/>
      <c r="D12" s="342"/>
      <c r="E12" s="342"/>
      <c r="F12" s="342"/>
      <c r="G12" s="342"/>
      <c r="H12" s="342"/>
    </row>
    <row r="13" spans="1:9" ht="19.5" customHeight="1" x14ac:dyDescent="0.2">
      <c r="A13" s="342" t="str">
        <f>'Акт согласования'!A24:E24</f>
        <v xml:space="preserve">-* roʻyxatdan oʻtgan manzili/garaj manzili: QORAKO'L TUMANI JIG'ACHI MFY </v>
      </c>
      <c r="B13" s="342"/>
      <c r="C13" s="342"/>
      <c r="D13" s="342"/>
      <c r="E13" s="342"/>
      <c r="F13" s="342"/>
      <c r="G13" s="342"/>
      <c r="H13" s="342"/>
    </row>
    <row r="14" spans="1:9" ht="19.5" customHeight="1" x14ac:dyDescent="0.2">
      <c r="A14" s="342" t="str">
        <f>'Акт согласования'!A25:E25</f>
        <v>-* davlat raqami: 80J851UA</v>
      </c>
      <c r="B14" s="342"/>
      <c r="C14" s="342"/>
      <c r="D14" s="342"/>
      <c r="E14" s="342"/>
      <c r="F14" s="342"/>
      <c r="G14" s="342"/>
      <c r="H14" s="342"/>
    </row>
    <row r="15" spans="1:9" ht="33.75" customHeight="1" x14ac:dyDescent="0.2">
      <c r="A15" s="345" t="str">
        <f>+"Shu bilan birga, yuqoridagi mulkning kelishilgan garov qiymati "&amp;'Акт согласования'!E30</f>
        <v>Shu bilan birga, yuqoridagi mulkning kelishilgan garov qiymati 60 000 000,00 
(oltmish million so'm)</v>
      </c>
      <c r="B15" s="345"/>
      <c r="C15" s="345"/>
      <c r="D15" s="345"/>
      <c r="E15" s="345"/>
      <c r="F15" s="345"/>
      <c r="G15" s="345"/>
      <c r="H15" s="345"/>
    </row>
    <row r="17" spans="1:8" ht="28.5" customHeight="1" x14ac:dyDescent="0.2">
      <c r="A17" s="337" t="s">
        <v>279</v>
      </c>
      <c r="B17" s="337"/>
      <c r="C17" s="337"/>
      <c r="D17" s="337"/>
      <c r="E17" s="337"/>
      <c r="F17" s="337"/>
      <c r="G17" s="337"/>
      <c r="H17" s="337"/>
    </row>
    <row r="21" spans="1:8" s="31" customFormat="1" x14ac:dyDescent="0.2"/>
    <row r="22" spans="1:8" s="31" customFormat="1" x14ac:dyDescent="0.2">
      <c r="A22" s="31" t="str">
        <f>'Общие данные'!A150</f>
        <v>Qorako'l filiali boshlig'i</v>
      </c>
      <c r="H22" s="145" t="str">
        <f>'Общие данные'!B150</f>
        <v>Egamberdiyeva D.I.</v>
      </c>
    </row>
    <row r="23" spans="1:8" s="31" customFormat="1" ht="32.25" customHeight="1" x14ac:dyDescent="0.2">
      <c r="H23" s="145"/>
    </row>
    <row r="24" spans="1:8" s="31" customFormat="1" ht="16.5" customHeight="1" x14ac:dyDescent="0.2">
      <c r="A24" s="31" t="s">
        <v>280</v>
      </c>
      <c r="H24" s="31" t="str">
        <f>'Общие данные'!B160</f>
        <v>Jumanazarov B.T.</v>
      </c>
    </row>
    <row r="25" spans="1:8" s="31" customFormat="1" ht="60" customHeight="1" x14ac:dyDescent="0.2"/>
    <row r="26" spans="1:8" s="31" customFormat="1" x14ac:dyDescent="0.2">
      <c r="A26" s="31" t="s">
        <v>281</v>
      </c>
      <c r="H26" s="145" t="str">
        <f>'Общие данные'!B7</f>
        <v>SHUKUROV O.SH</v>
      </c>
    </row>
    <row r="27" spans="1:8" s="31" customFormat="1" x14ac:dyDescent="0.2"/>
    <row r="28" spans="1:8" s="31" customFormat="1" x14ac:dyDescent="0.2"/>
    <row r="29" spans="1:8" s="31" customFormat="1" x14ac:dyDescent="0.2"/>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Акт согласования</vt:lpstr>
      <vt:lpstr>заявление залогодателя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m.taylakov</cp:lastModifiedBy>
  <cp:lastPrinted>2025-01-09T09:55:47Z</cp:lastPrinted>
  <dcterms:created xsi:type="dcterms:W3CDTF">2015-06-05T18:19:34Z</dcterms:created>
  <dcterms:modified xsi:type="dcterms:W3CDTF">2025-03-06T12:19:10Z</dcterms:modified>
</cp:coreProperties>
</file>