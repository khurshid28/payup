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C:\Users\Admin\PycharmProjects\payup\media\docx_org_templates\mikroqarz\standart\"/>
    </mc:Choice>
  </mc:AlternateContent>
  <xr:revisionPtr revIDLastSave="0" documentId="13_ncr:1_{1D32D6A7-DE5F-43E0-B653-8E9EFD505F37}" xr6:coauthVersionLast="47" xr6:coauthVersionMax="47" xr10:uidLastSave="{00000000-0000-0000-0000-000000000000}"/>
  <bookViews>
    <workbookView xWindow="-120" yWindow="-120" windowWidth="29040" windowHeight="15840" tabRatio="915" activeTab="9" xr2:uid="{00000000-000D-0000-FFFF-FFFF00000000}"/>
  </bookViews>
  <sheets>
    <sheet name="Протокол  (2)" sheetId="23" r:id="rId1"/>
    <sheet name="График дифференц" sheetId="15" state="hidden" r:id="rId2"/>
    <sheet name="Данные для послед. Залога" sheetId="21" state="hidden" r:id="rId3"/>
    <sheet name="Общие данные" sheetId="1" r:id="rId4"/>
    <sheet name="График аннуитет." sheetId="12" state="hidden" r:id="rId5"/>
    <sheet name="Анкета Клиента" sheetId="4" r:id="rId6"/>
    <sheet name="Анкета 2" sheetId="22" r:id="rId7"/>
    <sheet name="Кредитная заявка" sheetId="2" r:id="rId8"/>
    <sheet name="Мажбуриятнома " sheetId="24" r:id="rId9"/>
    <sheet name="Заключение КК" sheetId="3" r:id="rId10"/>
    <sheet name="договор" sheetId="19" r:id="rId11"/>
    <sheet name="График" sheetId="16" r:id="rId12"/>
    <sheet name="заявление залогодателя" sheetId="13" r:id="rId13"/>
    <sheet name="Акт согласования" sheetId="7" r:id="rId14"/>
    <sheet name="Приказ на сделку" sheetId="8" r:id="rId15"/>
    <sheet name="обложка" sheetId="9" r:id="rId16"/>
    <sheet name="Письмо" sheetId="20" state="hidden" r:id="rId17"/>
    <sheet name=" Акт мониторинга 1" sheetId="26" r:id="rId18"/>
    <sheet name=" Акт мониторинга 2" sheetId="27" r:id="rId19"/>
    <sheet name=" Акт мониторинга 3" sheetId="28" r:id="rId20"/>
    <sheet name=" Акт мониторинга 4" sheetId="29" r:id="rId21"/>
  </sheets>
  <externalReferences>
    <externalReference r:id="rId22"/>
  </externalReferences>
  <definedNames>
    <definedName name="mos">'[1]Общие данные'!$C$23:$D$23</definedName>
    <definedName name="mulk">'[1]Общие данные'!$C$24:$W$24</definedName>
    <definedName name="_xlnm.Print_Area" localSheetId="13">'Акт согласования'!$A$1:$E$63</definedName>
    <definedName name="_xlnm.Print_Area" localSheetId="5">'Анкета Клиента'!$A$1:$F$36</definedName>
    <definedName name="_xlnm.Print_Area" localSheetId="11">График!$A$1:$F$62</definedName>
    <definedName name="_xlnm.Print_Area" localSheetId="4">'График аннуитет.'!$A$1:$F$63</definedName>
    <definedName name="_xlnm.Print_Area" localSheetId="10">договор!$A$1:$B$133</definedName>
    <definedName name="_xlnm.Print_Area" localSheetId="9">'Заключение КК'!$A$1:$E$58</definedName>
    <definedName name="_xlnm.Print_Area" localSheetId="12">'заявление залогодателя'!$A$3:$B$20</definedName>
    <definedName name="_xlnm.Print_Area" localSheetId="7">'Кредитная заявка'!$A$1:$D$40</definedName>
    <definedName name="_xlnm.Print_Area" localSheetId="15">обложка!$A$1:$G$42</definedName>
    <definedName name="_xlnm.Print_Area" localSheetId="0">'Протокол  (2)'!$A$1:$E$39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4" i="3" l="1"/>
  <c r="C56" i="3"/>
  <c r="C55" i="3"/>
  <c r="C54" i="3"/>
  <c r="B56" i="3"/>
  <c r="B55" i="3"/>
  <c r="B133" i="1" l="1"/>
  <c r="B127" i="1" l="1"/>
  <c r="B65" i="1" l="1"/>
  <c r="F27" i="4"/>
  <c r="A21" i="3" s="1"/>
  <c r="D59" i="7"/>
  <c r="A59" i="16"/>
  <c r="A126" i="19"/>
  <c r="A129" i="19"/>
  <c r="A61" i="16" s="1"/>
  <c r="B127" i="19"/>
  <c r="A52" i="7"/>
  <c r="B7" i="13"/>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16" i="1"/>
  <c r="C122" i="1" s="1"/>
  <c r="C114" i="1"/>
  <c r="C120" i="1" s="1"/>
  <c r="C113" i="1"/>
  <c r="C119" i="1" s="1"/>
  <c r="C112" i="1"/>
  <c r="C118" i="1" s="1"/>
  <c r="C111" i="1"/>
  <c r="C117" i="1" s="1"/>
  <c r="A62" i="7"/>
  <c r="A61" i="7"/>
  <c r="F61" i="7"/>
  <c r="A25" i="7"/>
  <c r="A23" i="7"/>
  <c r="H24" i="27" l="1"/>
  <c r="A9" i="26"/>
  <c r="A9" i="29" s="1"/>
  <c r="A9" i="27" l="1"/>
  <c r="A9" i="28"/>
  <c r="I126" i="1"/>
  <c r="A48" i="3"/>
  <c r="A35" i="3"/>
  <c r="E30" i="3"/>
  <c r="A30" i="3"/>
  <c r="A33" i="3"/>
  <c r="D29" i="7" l="1"/>
  <c r="D30" i="3" s="1"/>
  <c r="F130" i="1"/>
  <c r="E133" i="1"/>
  <c r="E130" i="1"/>
  <c r="D20" i="7"/>
  <c r="E20" i="7"/>
  <c r="G9" i="26" s="1"/>
  <c r="B20" i="7"/>
  <c r="G9" i="28" l="1"/>
  <c r="G9" i="27"/>
  <c r="G9" i="29"/>
  <c r="B29" i="7"/>
  <c r="B30" i="3" s="1"/>
  <c r="C9" i="26"/>
  <c r="C29" i="7"/>
  <c r="C30" i="3" s="1"/>
  <c r="E9" i="26"/>
  <c r="E9" i="29" l="1"/>
  <c r="E9" i="28"/>
  <c r="E9" i="27"/>
  <c r="C9" i="29"/>
  <c r="C9" i="28"/>
  <c r="C9" i="27"/>
  <c r="B76" i="1"/>
  <c r="H24" i="29" l="1"/>
  <c r="H24" i="28"/>
  <c r="A22" i="26"/>
  <c r="H24" i="26"/>
  <c r="A51" i="3"/>
  <c r="A37" i="3"/>
  <c r="A1" i="3"/>
  <c r="D17" i="23"/>
  <c r="E17" i="23" s="1"/>
  <c r="A1" i="23"/>
  <c r="A39" i="23"/>
  <c r="A38" i="23"/>
  <c r="D58" i="16"/>
  <c r="A110" i="1" l="1"/>
  <c r="A109" i="1"/>
  <c r="A108" i="1"/>
  <c r="A107" i="1"/>
  <c r="C22" i="1"/>
  <c r="H9" i="23"/>
  <c r="A57" i="16"/>
  <c r="A18" i="23" l="1"/>
  <c r="A7" i="23"/>
  <c r="B49" i="1"/>
  <c r="B59" i="1" s="1"/>
  <c r="A16" i="4" l="1"/>
  <c r="A17" i="4"/>
  <c r="A7" i="24"/>
  <c r="B27" i="1"/>
  <c r="B119" i="19" s="1"/>
  <c r="B34" i="1"/>
  <c r="B116" i="1"/>
  <c r="B122" i="1" s="1"/>
  <c r="A24" i="7" s="1"/>
  <c r="A34" i="3" s="1"/>
  <c r="B114" i="1"/>
  <c r="B113" i="1"/>
  <c r="B112" i="1"/>
  <c r="D62" i="7" s="1"/>
  <c r="B111" i="1"/>
  <c r="B8" i="13" s="1"/>
  <c r="A19" i="13" l="1"/>
  <c r="B45" i="1"/>
  <c r="B58" i="1"/>
  <c r="A63" i="7"/>
  <c r="A51" i="7"/>
  <c r="B6" i="13"/>
  <c r="D2" i="2"/>
  <c r="C76" i="1"/>
  <c r="A34" i="23"/>
  <c r="A30" i="2" l="1"/>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D64" i="1"/>
  <c r="A22" i="19" s="1"/>
  <c r="A1" i="1"/>
  <c r="A79" i="1"/>
  <c r="A85" i="1"/>
  <c r="A2" i="1"/>
  <c r="A81" i="1"/>
  <c r="A86" i="1"/>
  <c r="A75" i="1"/>
  <c r="A82" i="1"/>
  <c r="A89" i="1"/>
  <c r="A78" i="1"/>
  <c r="A84" i="1"/>
  <c r="A47" i="16" l="1"/>
  <c r="A13" i="2"/>
  <c r="A16" i="2"/>
  <c r="A21" i="2"/>
  <c r="A14" i="23"/>
  <c r="A4" i="2"/>
  <c r="B26" i="9"/>
  <c r="A22" i="23"/>
  <c r="A14" i="19"/>
  <c r="A15" i="2"/>
  <c r="A24" i="23"/>
  <c r="A21" i="23"/>
  <c r="A40" i="19"/>
  <c r="A23" i="23"/>
  <c r="B25" i="9"/>
  <c r="A21" i="19"/>
  <c r="A13" i="19"/>
  <c r="A14" i="2"/>
  <c r="A26" i="3"/>
  <c r="A61" i="19"/>
  <c r="A23" i="19"/>
  <c r="A11" i="19"/>
  <c r="B117" i="1"/>
  <c r="A22" i="7" s="1"/>
  <c r="B118" i="1"/>
  <c r="A18" i="8" l="1"/>
  <c r="A32" i="3"/>
  <c r="H7" i="23"/>
  <c r="A2" i="23" s="1"/>
  <c r="B120" i="1" l="1"/>
  <c r="B119" i="1"/>
  <c r="A120" i="19" l="1"/>
  <c r="A53" i="16" s="1"/>
  <c r="A30" i="4"/>
  <c r="B122" i="19"/>
  <c r="D55" i="16" s="1"/>
  <c r="A15" i="4"/>
  <c r="A14" i="4"/>
  <c r="A13" i="4"/>
  <c r="A7" i="3"/>
  <c r="C8" i="15"/>
  <c r="J12" i="15"/>
  <c r="A10" i="4" l="1"/>
  <c r="A9" i="4" s="1"/>
  <c r="D59" i="16"/>
  <c r="B124" i="19"/>
  <c r="D57" i="16" s="1"/>
  <c r="B123" i="19"/>
  <c r="D56" i="16" s="1"/>
  <c r="D52" i="16"/>
  <c r="B117" i="19"/>
  <c r="D51" i="16" s="1"/>
  <c r="A123" i="19" l="1"/>
  <c r="A56" i="16" s="1"/>
  <c r="A122" i="19"/>
  <c r="A55" i="16" s="1"/>
  <c r="A121" i="19"/>
  <c r="A54" i="16" s="1"/>
  <c r="A119" i="19"/>
  <c r="A52" i="16" s="1"/>
  <c r="E26" i="8" l="1"/>
  <c r="B24" i="9"/>
  <c r="B2" i="9"/>
  <c r="A22" i="29"/>
  <c r="A22" i="28"/>
  <c r="H5" i="29"/>
  <c r="H5" i="28"/>
  <c r="H5" i="27"/>
  <c r="A22" i="27"/>
  <c r="H22" i="26"/>
  <c r="D2" i="1"/>
  <c r="H5" i="26" s="1"/>
  <c r="A24" i="13"/>
  <c r="A22" i="13"/>
  <c r="A34" i="2"/>
  <c r="A29" i="4"/>
  <c r="A28" i="4"/>
  <c r="A20" i="4"/>
  <c r="A7" i="4"/>
  <c r="A11" i="24"/>
  <c r="A14" i="7"/>
  <c r="A13" i="7"/>
  <c r="A2" i="7"/>
  <c r="A8" i="3"/>
  <c r="A5" i="3"/>
  <c r="A4" i="3"/>
  <c r="A11" i="8"/>
  <c r="A10" i="8"/>
  <c r="A9" i="8"/>
  <c r="A12" i="2"/>
  <c r="A11" i="2"/>
  <c r="A7" i="2"/>
  <c r="B164" i="1"/>
  <c r="H126" i="1"/>
  <c r="I125" i="1"/>
  <c r="F125" i="1" s="1"/>
  <c r="H125" i="1"/>
  <c r="C125" i="1"/>
  <c r="B9" i="1"/>
  <c r="B8" i="1"/>
  <c r="B136" i="1"/>
  <c r="B137" i="1" s="1"/>
  <c r="E21" i="7"/>
  <c r="B130" i="1"/>
  <c r="D21" i="7" s="1"/>
  <c r="E10" i="26" s="1"/>
  <c r="B21" i="7"/>
  <c r="C10" i="26" s="1"/>
  <c r="B11" i="1" l="1"/>
  <c r="B13" i="1" s="1"/>
  <c r="G10" i="26"/>
  <c r="D30" i="7"/>
  <c r="D31" i="3" s="1"/>
  <c r="E10" i="28"/>
  <c r="E10" i="27"/>
  <c r="E10" i="29"/>
  <c r="C10" i="28"/>
  <c r="C10" i="27"/>
  <c r="C10" i="29"/>
  <c r="C126" i="1"/>
  <c r="A17" i="7" s="1"/>
  <c r="A21" i="7"/>
  <c r="A10" i="26" s="1"/>
  <c r="C137" i="1"/>
  <c r="B138" i="1"/>
  <c r="A6" i="2"/>
  <c r="E30" i="7"/>
  <c r="E31" i="3" s="1"/>
  <c r="A48" i="7"/>
  <c r="A15" i="7"/>
  <c r="E125" i="1"/>
  <c r="A27" i="3"/>
  <c r="B9" i="13"/>
  <c r="A20" i="3"/>
  <c r="A27" i="2"/>
  <c r="A28" i="2"/>
  <c r="F126" i="1"/>
  <c r="E126" i="1"/>
  <c r="B10" i="1"/>
  <c r="A8" i="8" s="1"/>
  <c r="A28" i="3" l="1"/>
  <c r="A24" i="2"/>
  <c r="A17" i="8"/>
  <c r="G10" i="28"/>
  <c r="G10" i="29"/>
  <c r="G10" i="27"/>
  <c r="A16" i="8"/>
  <c r="A25" i="2"/>
  <c r="A16" i="7"/>
  <c r="A18" i="7" s="1"/>
  <c r="A19" i="7" s="1"/>
  <c r="A10" i="27"/>
  <c r="A10" i="28"/>
  <c r="A10" i="29"/>
  <c r="A29" i="3"/>
  <c r="A26" i="23" s="1"/>
  <c r="A38" i="3"/>
  <c r="B12" i="1"/>
  <c r="A15" i="13" l="1"/>
  <c r="A14" i="13"/>
  <c r="A21" i="4"/>
  <c r="A10" i="2"/>
  <c r="A9" i="2"/>
  <c r="A19" i="4"/>
  <c r="A13" i="13" l="1"/>
  <c r="B66" i="1"/>
  <c r="A1" i="19" s="1"/>
  <c r="H26" i="29"/>
  <c r="H26" i="28"/>
  <c r="H26" i="27"/>
  <c r="H22" i="29"/>
  <c r="H22" i="28"/>
  <c r="H22" i="27"/>
  <c r="H26" i="26"/>
  <c r="D56" i="7" l="1"/>
  <c r="A56" i="7"/>
  <c r="A132" i="19"/>
  <c r="B102" i="1"/>
  <c r="R124" i="1" l="1"/>
  <c r="R125" i="1" s="1"/>
  <c r="N126" i="1" s="1"/>
  <c r="A25" i="13"/>
  <c r="A26" i="13" s="1"/>
  <c r="A28" i="13" s="1"/>
  <c r="A20" i="13" s="1"/>
  <c r="C63" i="7" s="1"/>
  <c r="Q124" i="1"/>
  <c r="Q125" i="1" s="1"/>
  <c r="N125" i="1" s="1"/>
  <c r="B24" i="4" l="1"/>
  <c r="B67" i="1" l="1"/>
  <c r="C78" i="1" s="1"/>
  <c r="C79" i="1" s="1"/>
  <c r="C80" i="1" s="1"/>
  <c r="B79" i="1" s="1"/>
  <c r="B80" i="1" s="1"/>
  <c r="B145" i="1" l="1"/>
  <c r="B143" i="1"/>
  <c r="C18" i="1" l="1"/>
  <c r="B20" i="1" l="1"/>
  <c r="C115" i="1" s="1"/>
  <c r="C20" i="1"/>
  <c r="A5" i="19" s="1"/>
  <c r="B115" i="1" l="1"/>
  <c r="B121" i="1" s="1"/>
  <c r="C121" i="1"/>
  <c r="B121" i="19"/>
  <c r="D53" i="16" s="1"/>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36" i="1"/>
  <c r="D49" i="7" l="1"/>
  <c r="E33" i="7"/>
  <c r="A38" i="20"/>
  <c r="A37" i="20"/>
  <c r="B19" i="20"/>
  <c r="C19" i="20"/>
  <c r="D19" i="20"/>
  <c r="E19" i="20"/>
  <c r="A19" i="20"/>
  <c r="L5" i="15" l="1"/>
  <c r="I8" i="15" l="1"/>
  <c r="E20" i="20"/>
  <c r="B26" i="4"/>
  <c r="B27" i="4" s="1"/>
  <c r="A33" i="20" l="1"/>
  <c r="C19" i="1"/>
  <c r="B21" i="1" l="1"/>
  <c r="A6" i="3" s="1"/>
  <c r="C21" i="1"/>
  <c r="B8" i="15"/>
  <c r="R43" i="15" s="1"/>
  <c r="C5" i="22"/>
  <c r="A33" i="22" s="1"/>
  <c r="B43" i="15" l="1"/>
  <c r="O43" i="15"/>
  <c r="P43" i="15" s="1"/>
  <c r="Q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B32" i="16" s="1"/>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H41" i="12"/>
  <c r="G41" i="12"/>
  <c r="G42" i="12"/>
  <c r="G10" i="15"/>
  <c r="H10" i="15"/>
  <c r="H9" i="15"/>
  <c r="G13" i="15"/>
  <c r="G12" i="15"/>
  <c r="H12" i="15"/>
  <c r="H11" i="15"/>
  <c r="G11" i="15"/>
  <c r="I67" i="1"/>
  <c r="G67" i="1"/>
  <c r="A117" i="19" l="1"/>
  <c r="A51" i="16" s="1"/>
  <c r="F67" i="1" l="1"/>
  <c r="E67" i="1"/>
  <c r="A20" i="2" s="1"/>
  <c r="C67" i="1"/>
  <c r="C65" i="1"/>
  <c r="C66" i="1" l="1"/>
  <c r="I66" i="1"/>
  <c r="G66" i="1"/>
  <c r="D67" i="1"/>
  <c r="B144"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65" i="1"/>
  <c r="A4" i="8" s="1"/>
  <c r="B142" i="1"/>
  <c r="E4" i="7" s="1"/>
  <c r="A39" i="20"/>
  <c r="B40" i="9"/>
  <c r="A19" i="2"/>
  <c r="D60" i="15"/>
  <c r="A58" i="15"/>
  <c r="A56" i="15"/>
  <c r="D52" i="15"/>
  <c r="D48" i="15"/>
  <c r="A48" i="15"/>
  <c r="A25" i="23" l="1"/>
  <c r="A14" i="8"/>
  <c r="A7" i="7"/>
  <c r="A10" i="7"/>
  <c r="A26" i="7"/>
  <c r="A15" i="3"/>
  <c r="H27" i="15"/>
  <c r="G27" i="15"/>
  <c r="G28" i="15"/>
  <c r="H28" i="15"/>
  <c r="G30" i="15"/>
  <c r="G31" i="15"/>
  <c r="H30" i="15"/>
  <c r="G29" i="15"/>
  <c r="H29" i="15"/>
  <c r="G26" i="15"/>
  <c r="H26" i="15"/>
  <c r="H24" i="15"/>
  <c r="G24" i="15"/>
  <c r="G25" i="15"/>
  <c r="A6" i="7" l="1"/>
  <c r="F2" i="15"/>
  <c r="B62" i="1" l="1"/>
  <c r="D55" i="15" l="1"/>
  <c r="D52" i="7"/>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A40" i="8"/>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41" i="8"/>
  <c r="A34" i="20"/>
  <c r="A42" i="8"/>
  <c r="A35" i="20"/>
  <c r="D34" i="8"/>
  <c r="C29" i="8"/>
  <c r="D27" i="8"/>
  <c r="D36" i="8"/>
  <c r="C32" i="8"/>
  <c r="D33" i="8"/>
  <c r="B32" i="8"/>
  <c r="D28" i="8"/>
  <c r="D37" i="8"/>
  <c r="C36" i="8"/>
  <c r="C33" i="8"/>
  <c r="D30" i="8"/>
  <c r="C28" i="8"/>
  <c r="C37" i="8"/>
  <c r="B36" i="8"/>
  <c r="D32" i="8"/>
  <c r="D29" i="8"/>
  <c r="B28" i="8"/>
  <c r="B37" i="8"/>
  <c r="C38" i="8"/>
  <c r="D31" i="8"/>
  <c r="D35" i="8"/>
  <c r="D38" i="8"/>
  <c r="C34" i="8"/>
  <c r="C31" i="8"/>
  <c r="C30" i="8"/>
  <c r="C27" i="8"/>
  <c r="C35" i="8"/>
  <c r="B34" i="8"/>
  <c r="B33" i="8"/>
  <c r="B31" i="8"/>
  <c r="B30" i="8"/>
  <c r="B29" i="8"/>
  <c r="B27" i="8"/>
  <c r="B35" i="8"/>
  <c r="B38" i="8"/>
  <c r="A34" i="8"/>
  <c r="A33" i="8"/>
  <c r="A32" i="8"/>
  <c r="A31" i="8"/>
  <c r="A30" i="8"/>
  <c r="A29" i="8"/>
  <c r="A28" i="8"/>
  <c r="A27" i="8"/>
  <c r="A37" i="8"/>
  <c r="A36" i="8"/>
  <c r="A35" i="8"/>
  <c r="A38" i="8"/>
  <c r="C142" i="1"/>
  <c r="A9" i="20" l="1"/>
  <c r="N123" i="1"/>
  <c r="E44" i="7"/>
  <c r="E31" i="20" s="1"/>
  <c r="E27" i="8" l="1"/>
  <c r="A23" i="2"/>
  <c r="A39" i="8"/>
  <c r="A32" i="20"/>
  <c r="E38" i="8"/>
  <c r="D60" i="12"/>
  <c r="A58" i="12"/>
  <c r="A56" i="12"/>
  <c r="D52" i="12"/>
  <c r="D48" i="12"/>
  <c r="A48" i="12"/>
  <c r="C8" i="12"/>
  <c r="C9" i="16" s="1"/>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L9" i="15" l="1"/>
  <c r="E9" i="15" s="1"/>
  <c r="J14" i="15"/>
  <c r="K14" i="15" s="1"/>
  <c r="J13" i="15"/>
  <c r="K13" i="15" s="1"/>
  <c r="J17" i="15"/>
  <c r="K17" i="15" s="1"/>
  <c r="I17" i="15" s="1"/>
  <c r="J18" i="15" s="1"/>
  <c r="K18" i="15" s="1"/>
  <c r="I18" i="15" s="1"/>
  <c r="J19" i="15" s="1"/>
  <c r="K19" i="15" s="1"/>
  <c r="I19" i="15" s="1"/>
  <c r="J16" i="15"/>
  <c r="K16" i="15" s="1"/>
  <c r="J15" i="15"/>
  <c r="K15" i="15" s="1"/>
  <c r="D9" i="15" l="1"/>
  <c r="C10" i="15" s="1"/>
  <c r="I20" i="15"/>
  <c r="J20" i="15"/>
  <c r="K20" i="15" s="1"/>
  <c r="L10" i="15" l="1"/>
  <c r="E10" i="15" s="1"/>
  <c r="M9" i="15"/>
  <c r="F9" i="15" s="1"/>
  <c r="J21" i="15"/>
  <c r="K21" i="15" s="1"/>
  <c r="I21" i="15" s="1"/>
  <c r="J22" i="15" s="1"/>
  <c r="K22" i="15" s="1"/>
  <c r="I22" i="15" l="1"/>
  <c r="I23" i="15" s="1"/>
  <c r="I24" i="15" s="1"/>
  <c r="D10" i="15"/>
  <c r="J25" i="15" l="1"/>
  <c r="K25" i="15" s="1"/>
  <c r="I25" i="15" s="1"/>
  <c r="I26" i="15" s="1"/>
  <c r="I27" i="15" s="1"/>
  <c r="J24" i="15"/>
  <c r="K24" i="15" s="1"/>
  <c r="J23" i="15"/>
  <c r="K23" i="15" s="1"/>
  <c r="M10" i="15"/>
  <c r="F10" i="15" s="1"/>
  <c r="C11" i="15"/>
  <c r="J27" i="15" l="1"/>
  <c r="K27" i="15" s="1"/>
  <c r="J28" i="15"/>
  <c r="K28" i="15" s="1"/>
  <c r="I28" i="15" s="1"/>
  <c r="I29" i="15" s="1"/>
  <c r="I30" i="15" s="1"/>
  <c r="J31" i="15" s="1"/>
  <c r="K31" i="15" s="1"/>
  <c r="I31" i="15" s="1"/>
  <c r="J32" i="15" s="1"/>
  <c r="K32" i="15" s="1"/>
  <c r="J26" i="15"/>
  <c r="K26" i="15" s="1"/>
  <c r="L11" i="15"/>
  <c r="E11" i="15" s="1"/>
  <c r="J29" i="15" l="1"/>
  <c r="K29" i="15" s="1"/>
  <c r="I32" i="15"/>
  <c r="I33" i="15" s="1"/>
  <c r="D11" i="15"/>
  <c r="J30" i="15"/>
  <c r="K30" i="15" s="1"/>
  <c r="J34" i="15" l="1"/>
  <c r="K34" i="15" s="1"/>
  <c r="I34" i="15" s="1"/>
  <c r="J35" i="15" s="1"/>
  <c r="K35" i="15" s="1"/>
  <c r="I35" i="15" s="1"/>
  <c r="J33" i="15"/>
  <c r="K33" i="15" s="1"/>
  <c r="M11" i="15"/>
  <c r="F11" i="15" s="1"/>
  <c r="C12" i="15"/>
  <c r="L12" i="15" l="1"/>
  <c r="E12" i="15" s="1"/>
  <c r="I36" i="15"/>
  <c r="J36" i="15"/>
  <c r="K36" i="15" s="1"/>
  <c r="D12" i="15" l="1"/>
  <c r="J37" i="15"/>
  <c r="K37" i="15" s="1"/>
  <c r="I37" i="15" s="1"/>
  <c r="C13" i="15" l="1"/>
  <c r="M12" i="15"/>
  <c r="F12" i="15" s="1"/>
  <c r="I38" i="15"/>
  <c r="J38" i="15"/>
  <c r="K38" i="15" s="1"/>
  <c r="L13" i="15" l="1"/>
  <c r="E13" i="15" s="1"/>
  <c r="J39" i="15"/>
  <c r="K39" i="15" s="1"/>
  <c r="I39" i="15" s="1"/>
  <c r="D13" i="15" l="1"/>
  <c r="J40" i="15"/>
  <c r="K40" i="15" s="1"/>
  <c r="I40" i="15" s="1"/>
  <c r="C14" i="15" l="1"/>
  <c r="M13" i="15"/>
  <c r="F13" i="15" s="1"/>
  <c r="J41" i="15"/>
  <c r="K41" i="15" s="1"/>
  <c r="I41" i="15" s="1"/>
  <c r="L14" i="15" l="1"/>
  <c r="E14" i="15" s="1"/>
  <c r="D14" i="15"/>
  <c r="J42" i="15"/>
  <c r="K42" i="15" s="1"/>
  <c r="I42" i="15" s="1"/>
  <c r="J43" i="15" s="1"/>
  <c r="K43" i="15" s="1"/>
  <c r="I43" i="15" s="1"/>
  <c r="C15" i="15" l="1"/>
  <c r="M14" i="15"/>
  <c r="F14" i="15" s="1"/>
  <c r="L15" i="15" l="1"/>
  <c r="E15" i="15" s="1"/>
  <c r="D15" i="15" l="1"/>
  <c r="M15" i="15" l="1"/>
  <c r="F15" i="15" s="1"/>
  <c r="C16" i="15"/>
  <c r="L16" i="15" l="1"/>
  <c r="E16" i="15" s="1"/>
  <c r="D16" i="15" l="1"/>
  <c r="M16" i="15" l="1"/>
  <c r="F16" i="15" s="1"/>
  <c r="C17" i="15"/>
  <c r="L17" i="15" l="1"/>
  <c r="E17" i="15" s="1"/>
  <c r="D17" i="15" l="1"/>
  <c r="M17" i="15" l="1"/>
  <c r="F17" i="15" s="1"/>
  <c r="C18" i="15"/>
  <c r="L18" i="15" l="1"/>
  <c r="E18" i="15" s="1"/>
  <c r="D18" i="15" l="1"/>
  <c r="C19" i="15" s="1"/>
  <c r="L19" i="15" s="1"/>
  <c r="E19" i="15" s="1"/>
  <c r="M18" i="15" l="1"/>
  <c r="F18" i="15" s="1"/>
  <c r="D19" i="15"/>
  <c r="M19" i="15" l="1"/>
  <c r="F19" i="15" s="1"/>
  <c r="C20" i="15"/>
  <c r="L20" i="15" l="1"/>
  <c r="E20" i="15" s="1"/>
  <c r="D20" i="15" l="1"/>
  <c r="M20" i="15" l="1"/>
  <c r="F20" i="15" s="1"/>
  <c r="C21" i="15"/>
  <c r="L21" i="15" l="1"/>
  <c r="E21" i="15" s="1"/>
  <c r="D21" i="15" l="1"/>
  <c r="M21" i="15" l="1"/>
  <c r="F21" i="15" s="1"/>
  <c r="C22" i="15"/>
  <c r="L22" i="15" l="1"/>
  <c r="E22" i="15" s="1"/>
  <c r="D22" i="15" l="1"/>
  <c r="M22" i="15" l="1"/>
  <c r="F22" i="15" s="1"/>
  <c r="C23" i="15"/>
  <c r="L23" i="15" l="1"/>
  <c r="E23" i="15" s="1"/>
  <c r="D23" i="15" l="1"/>
  <c r="M23" i="15" l="1"/>
  <c r="F23" i="15" s="1"/>
  <c r="C24" i="15"/>
  <c r="L24" i="15" l="1"/>
  <c r="E24" i="15" s="1"/>
  <c r="D24" i="15" l="1"/>
  <c r="M24" i="15" l="1"/>
  <c r="F24" i="15" s="1"/>
  <c r="C25" i="15"/>
  <c r="L25" i="15" l="1"/>
  <c r="E25" i="15" s="1"/>
  <c r="D25" i="15" l="1"/>
  <c r="M25" i="15" s="1"/>
  <c r="F25" i="15" s="1"/>
  <c r="C26" i="15" l="1"/>
  <c r="L26" i="15" s="1"/>
  <c r="D26" i="15" s="1"/>
  <c r="E26" i="15" l="1"/>
  <c r="M26" i="15" s="1"/>
  <c r="F26" i="15" s="1"/>
  <c r="C27" i="15"/>
  <c r="L27" i="15" l="1"/>
  <c r="D27" i="15" s="1"/>
  <c r="C28" i="15" s="1"/>
  <c r="E27" i="15" l="1"/>
  <c r="M27" i="15" s="1"/>
  <c r="F27" i="15" s="1"/>
  <c r="L28" i="15"/>
  <c r="D28" i="15" s="1"/>
  <c r="C29" i="15" s="1"/>
  <c r="E28" i="15" l="1"/>
  <c r="M28" i="15" s="1"/>
  <c r="F28" i="15" s="1"/>
  <c r="L29" i="15"/>
  <c r="D29" i="15" s="1"/>
  <c r="E29" i="15" l="1"/>
  <c r="M29" i="15" s="1"/>
  <c r="F29" i="15" s="1"/>
  <c r="C30" i="15"/>
  <c r="L30" i="15" l="1"/>
  <c r="D30" i="15" s="1"/>
  <c r="E30" i="15" l="1"/>
  <c r="M30" i="15" s="1"/>
  <c r="F30" i="15" s="1"/>
  <c r="C31" i="15"/>
  <c r="L31" i="15" l="1"/>
  <c r="D31" i="15" s="1"/>
  <c r="E31" i="15" l="1"/>
  <c r="M31" i="15" s="1"/>
  <c r="F31" i="15" s="1"/>
  <c r="C32" i="15"/>
  <c r="L32" i="15" l="1"/>
  <c r="E32" i="15" s="1"/>
  <c r="D32" i="15" l="1"/>
  <c r="M32" i="15" s="1"/>
  <c r="F32" i="15" s="1"/>
  <c r="C33" i="15" l="1"/>
  <c r="L33" i="15" s="1"/>
  <c r="E33" i="15" s="1"/>
  <c r="D33" i="15" l="1"/>
  <c r="M33" i="15" l="1"/>
  <c r="F33" i="15" s="1"/>
  <c r="C34" i="15"/>
  <c r="L34" i="15" l="1"/>
  <c r="E34" i="15" s="1"/>
  <c r="D34" i="15" l="1"/>
  <c r="C35" i="15" s="1"/>
  <c r="L35" i="15" s="1"/>
  <c r="E35" i="15" s="1"/>
  <c r="M34" i="15" l="1"/>
  <c r="F34" i="15" s="1"/>
  <c r="D35" i="15"/>
  <c r="M35" i="15" s="1"/>
  <c r="F35" i="15" s="1"/>
  <c r="C36" i="15" l="1"/>
  <c r="L36" i="15" s="1"/>
  <c r="E36" i="15" s="1"/>
  <c r="D36" i="15" l="1"/>
  <c r="M36" i="15" s="1"/>
  <c r="F36" i="15" s="1"/>
  <c r="C37" i="15" l="1"/>
  <c r="L37" i="15" s="1"/>
  <c r="E37" i="15" s="1"/>
  <c r="D37" i="15" l="1"/>
  <c r="M37" i="15" l="1"/>
  <c r="F37" i="15" s="1"/>
  <c r="C38" i="15"/>
  <c r="L38" i="15" l="1"/>
  <c r="D38" i="15" s="1"/>
  <c r="E38" i="15" l="1"/>
  <c r="M38" i="15" s="1"/>
  <c r="F38" i="15" s="1"/>
  <c r="C39" i="15"/>
  <c r="L39" i="15" l="1"/>
  <c r="E39" i="15" s="1"/>
  <c r="D39" i="15" l="1"/>
  <c r="M39" i="15" l="1"/>
  <c r="F39" i="15" s="1"/>
  <c r="C40" i="15"/>
  <c r="L40" i="15" l="1"/>
  <c r="E40" i="15" s="1"/>
  <c r="D40" i="15" l="1"/>
  <c r="M40" i="15" l="1"/>
  <c r="F40" i="15" s="1"/>
  <c r="C41" i="15"/>
  <c r="L41" i="15" l="1"/>
  <c r="E41" i="15" s="1"/>
  <c r="D41" i="15" l="1"/>
  <c r="C42" i="15" s="1"/>
  <c r="L42" i="15" s="1"/>
  <c r="E42" i="15" s="1"/>
  <c r="M41" i="15" l="1"/>
  <c r="F41" i="15" s="1"/>
  <c r="D42" i="15"/>
  <c r="M42" i="15" s="1"/>
  <c r="F42" i="15" s="1"/>
  <c r="C43" i="15" l="1"/>
  <c r="L43" i="15" s="1"/>
  <c r="E43" i="15" s="1"/>
  <c r="E44" i="15" s="1"/>
  <c r="D43" i="15" l="1"/>
  <c r="M43" i="15" s="1"/>
  <c r="F43" i="15" s="1"/>
  <c r="F44" i="15" s="1"/>
  <c r="D44" i="15" l="1"/>
  <c r="F9" i="16" l="1"/>
  <c r="D9" i="16" l="1"/>
  <c r="F10" i="16"/>
  <c r="C10" i="16" l="1"/>
  <c r="F11" i="16"/>
  <c r="F12" i="16" l="1"/>
  <c r="E10" i="16"/>
  <c r="F13" i="16" l="1"/>
  <c r="D10" i="16"/>
  <c r="C11" i="16" l="1"/>
  <c r="F14" i="16"/>
  <c r="F15" i="16" l="1"/>
  <c r="E11" i="16"/>
  <c r="D11" i="16" l="1"/>
  <c r="F16" i="16"/>
  <c r="F17" i="16" l="1"/>
  <c r="C12" i="16"/>
  <c r="F18" i="16" l="1"/>
  <c r="E12" i="16"/>
  <c r="D12" i="16" l="1"/>
  <c r="F19" i="16"/>
  <c r="C13" i="16" l="1"/>
  <c r="E13" i="16" l="1"/>
  <c r="D13" i="16" l="1"/>
  <c r="C14" i="16" l="1"/>
  <c r="E14" i="16" l="1"/>
  <c r="D14" i="16" l="1"/>
  <c r="C15" i="16" l="1"/>
  <c r="E15" i="16" l="1"/>
  <c r="D15" i="16" l="1"/>
  <c r="C16" i="16" l="1"/>
  <c r="E16" i="16" l="1"/>
  <c r="D16" i="16" l="1"/>
  <c r="C17" i="16" l="1"/>
  <c r="E17" i="16" l="1"/>
  <c r="D17" i="16" l="1"/>
  <c r="C18" i="16" l="1"/>
  <c r="E18" i="16" l="1"/>
  <c r="D18" i="16" l="1"/>
  <c r="C19" i="16" l="1"/>
  <c r="E19" i="16" l="1"/>
  <c r="D19" i="16" l="1"/>
  <c r="C20" i="16" l="1"/>
  <c r="C21" i="16" l="1"/>
  <c r="D20" i="16"/>
  <c r="C22" i="16" l="1"/>
  <c r="D21" i="16"/>
  <c r="C23" i="16" l="1"/>
  <c r="D22" i="16"/>
  <c r="D23" i="16" l="1"/>
  <c r="C24" i="16"/>
  <c r="C25" i="16" l="1"/>
  <c r="D24" i="16"/>
  <c r="D25" i="16" l="1"/>
  <c r="C26" i="16" l="1"/>
  <c r="D26" i="16" l="1"/>
  <c r="C27" i="16" l="1"/>
  <c r="C28" i="16" l="1"/>
  <c r="D27" i="16"/>
  <c r="C29" i="16" l="1"/>
  <c r="D28" i="16"/>
  <c r="C30" i="16" l="1"/>
  <c r="D29" i="16"/>
  <c r="D30" i="16" l="1"/>
  <c r="C31" i="16"/>
  <c r="D31" i="16" l="1"/>
  <c r="C32" i="16"/>
  <c r="C33" i="16" l="1"/>
  <c r="D32" i="16"/>
  <c r="C34" i="16" l="1"/>
  <c r="D33" i="16"/>
  <c r="D34" i="16" l="1"/>
  <c r="C35" i="16" l="1"/>
  <c r="C36" i="16" l="1"/>
  <c r="D35" i="16"/>
  <c r="C37" i="16" l="1"/>
  <c r="D36" i="16"/>
  <c r="C38" i="16" l="1"/>
  <c r="D37" i="16"/>
  <c r="D38" i="16" l="1"/>
  <c r="C39" i="16"/>
  <c r="C40" i="16" l="1"/>
  <c r="D39" i="16"/>
  <c r="D40" i="16" l="1"/>
  <c r="C41" i="16" l="1"/>
  <c r="D41" i="16" l="1"/>
  <c r="C42" i="16"/>
  <c r="D42" i="16" l="1"/>
  <c r="C43" i="16" l="1"/>
  <c r="D43" i="16" l="1"/>
  <c r="C44" i="16" l="1"/>
  <c r="E44" i="16" l="1"/>
  <c r="D44" i="16"/>
  <c r="D45" i="16" s="1"/>
  <c r="F44" i="16" l="1"/>
  <c r="F20" i="16"/>
  <c r="F21" i="16"/>
  <c r="F22" i="16"/>
  <c r="F23" i="16"/>
  <c r="F24" i="16"/>
  <c r="F25" i="16"/>
  <c r="F26" i="16"/>
  <c r="F27" i="16"/>
  <c r="F28" i="16"/>
  <c r="F29" i="16"/>
  <c r="F30" i="16"/>
  <c r="F31" i="16"/>
  <c r="F32" i="16"/>
  <c r="F33" i="16"/>
  <c r="F34" i="16"/>
  <c r="F35" i="16"/>
  <c r="F36" i="16"/>
  <c r="F37" i="16"/>
  <c r="F38" i="16"/>
  <c r="F39" i="16"/>
  <c r="F40" i="16"/>
  <c r="F41" i="16"/>
  <c r="F42" i="16"/>
  <c r="F43" i="16"/>
  <c r="E20" i="16"/>
  <c r="C63" i="1" s="1"/>
  <c r="C60" i="1" s="1"/>
  <c r="E21" i="16"/>
  <c r="E22" i="16"/>
  <c r="E23" i="16"/>
  <c r="E24" i="16"/>
  <c r="E25" i="16"/>
  <c r="E26" i="16"/>
  <c r="E27" i="16"/>
  <c r="E28" i="16"/>
  <c r="E29" i="16"/>
  <c r="E30" i="16"/>
  <c r="E31" i="16"/>
  <c r="E32" i="16"/>
  <c r="E33" i="16"/>
  <c r="E34" i="16"/>
  <c r="E35" i="16"/>
  <c r="E36" i="16"/>
  <c r="E37" i="16"/>
  <c r="E38" i="16"/>
  <c r="E39" i="16"/>
  <c r="E40" i="16"/>
  <c r="E41" i="16"/>
  <c r="E42" i="16"/>
  <c r="E43" i="16"/>
  <c r="B90" i="1"/>
  <c r="A24" i="3" s="1"/>
  <c r="A23" i="3" l="1"/>
  <c r="A22" i="3" s="1"/>
  <c r="F45" i="16"/>
  <c r="E45" i="16"/>
  <c r="F8" i="12"/>
  <c r="F9" i="12" l="1"/>
  <c r="D8" i="12"/>
  <c r="C9" i="12" l="1"/>
  <c r="F10" i="12"/>
  <c r="F11" i="12" l="1"/>
  <c r="E9" i="12"/>
  <c r="D9" i="12" l="1"/>
  <c r="F12" i="12"/>
  <c r="F13" i="12" l="1"/>
  <c r="C10" i="12"/>
  <c r="E10" i="12" l="1"/>
  <c r="F14" i="12"/>
  <c r="F15" i="12" l="1"/>
  <c r="D10" i="12"/>
  <c r="C11" i="12" l="1"/>
  <c r="F16" i="12"/>
  <c r="E11" i="12" l="1"/>
  <c r="F17" i="12"/>
  <c r="F18" i="12" l="1"/>
  <c r="D11" i="12"/>
  <c r="C12" i="12" l="1"/>
  <c r="E12" i="12" l="1"/>
  <c r="D12" i="12" l="1"/>
  <c r="C13" i="12" l="1"/>
  <c r="E13" i="12" l="1"/>
  <c r="D13" i="12" l="1"/>
  <c r="C14" i="12" s="1"/>
  <c r="E14" i="12" l="1"/>
  <c r="D14" i="12" s="1"/>
  <c r="C15" i="12" s="1"/>
  <c r="E15" i="12" l="1"/>
  <c r="D15" i="12" s="1"/>
  <c r="C16" i="12" s="1"/>
  <c r="E16" i="12" l="1"/>
  <c r="D16" i="12" s="1"/>
  <c r="C17" i="12" s="1"/>
  <c r="E17" i="12" l="1"/>
  <c r="D17" i="12" s="1"/>
  <c r="C18" i="12" s="1"/>
  <c r="E18" i="12" l="1"/>
  <c r="D18" i="12" s="1"/>
  <c r="C19" i="12" s="1"/>
  <c r="E19" i="12" l="1"/>
  <c r="F19" i="12" l="1"/>
  <c r="D19" i="12" s="1"/>
  <c r="C20" i="12" s="1"/>
  <c r="E20" i="12" s="1"/>
  <c r="F20" i="12" l="1"/>
  <c r="F21" i="12" s="1"/>
  <c r="F22" i="12" s="1"/>
  <c r="D20" i="12" l="1"/>
  <c r="C21" i="12" s="1"/>
  <c r="F23" i="12"/>
  <c r="F24" i="12" l="1"/>
  <c r="E21" i="12"/>
  <c r="D21" i="12" l="1"/>
  <c r="F25" i="12"/>
  <c r="F26" i="12" l="1"/>
  <c r="C22" i="12"/>
  <c r="E22" i="12" l="1"/>
  <c r="F27" i="12"/>
  <c r="F28" i="12" l="1"/>
  <c r="D22" i="12"/>
  <c r="C23" i="12" l="1"/>
  <c r="F29" i="12"/>
  <c r="F30" i="12" l="1"/>
  <c r="E23" i="12"/>
  <c r="D23" i="12" l="1"/>
  <c r="F31" i="12"/>
  <c r="F32" i="12" l="1"/>
  <c r="C24" i="12"/>
  <c r="E24" i="12" l="1"/>
  <c r="F33" i="12"/>
  <c r="F34" i="12" l="1"/>
  <c r="D24" i="12"/>
  <c r="C25" i="12" l="1"/>
  <c r="F35" i="12"/>
  <c r="F36" i="12" l="1"/>
  <c r="E25" i="12"/>
  <c r="D25" i="12" s="1"/>
  <c r="C26" i="12" s="1"/>
  <c r="E26" i="12" l="1"/>
  <c r="D26" i="12" s="1"/>
  <c r="C27" i="12" s="1"/>
  <c r="F37" i="12"/>
  <c r="E27" i="12" l="1"/>
  <c r="D27" i="12" s="1"/>
  <c r="C28" i="12" s="1"/>
  <c r="F38" i="12"/>
  <c r="E28" i="12" l="1"/>
  <c r="D28" i="12" s="1"/>
  <c r="C29" i="12" s="1"/>
  <c r="F39" i="12"/>
  <c r="E29" i="12" l="1"/>
  <c r="D29" i="12" s="1"/>
  <c r="C30" i="12" s="1"/>
  <c r="E30" i="12" l="1"/>
  <c r="D30" i="12" s="1"/>
  <c r="C31" i="12" s="1"/>
  <c r="E31" i="12" l="1"/>
  <c r="D31" i="12" s="1"/>
  <c r="C32" i="12" s="1"/>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s="1"/>
  <c r="E40" i="12" l="1"/>
  <c r="F40" i="12" l="1"/>
  <c r="D40" i="12" s="1"/>
  <c r="C41" i="12" s="1"/>
  <c r="E41" i="12" s="1"/>
  <c r="F41" i="12"/>
  <c r="D41" i="12" l="1"/>
  <c r="C42" i="12"/>
  <c r="E42" i="12" l="1"/>
  <c r="F42" i="12" l="1"/>
  <c r="D42" i="12" s="1"/>
  <c r="C43" i="12" s="1"/>
  <c r="D43" i="12" s="1"/>
  <c r="D44" i="12" s="1"/>
  <c r="E43" i="12" l="1"/>
  <c r="E44" i="12" s="1"/>
  <c r="F43" i="12" l="1"/>
  <c r="F44" i="12" s="1"/>
  <c r="B39" i="1"/>
  <c r="B39"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<sst xmlns="http://schemas.openxmlformats.org/spreadsheetml/2006/main" count="593" uniqueCount="435">
  <si>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</si>
  <si>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</si>
  <si>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</si>
  <si>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</si>
  <si>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</si>
  <si>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</si>
  <si>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</si>
  <si>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</si>
  <si>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</si>
  <si>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</si>
  <si>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</si>
  <si>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</si>
  <si>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</si>
  <si>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</si>
  <si>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</si>
  <si>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</si>
  <si>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</si>
  <si>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</si>
  <si>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</si>
  <si>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</si>
  <si>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</si>
  <si>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</si>
  <si>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</si>
  <si>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</si>
  <si>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</si>
  <si>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</si>
  <si>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</si>
  <si>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</si>
  <si>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</si>
  <si>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</si>
  <si>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</si>
  <si>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</si>
  <si>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</si>
  <si>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</si>
  <si>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</si>
  <si>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</si>
  <si>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</si>
  <si>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</si>
  <si>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</si>
  <si>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</si>
  <si>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</si>
  <si>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</si>
  <si>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</si>
  <si>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</si>
  <si>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</si>
  <si>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</si>
  <si>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</si>
  <si>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</si>
  <si>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</si>
  <si>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</si>
  <si>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</si>
  <si>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</si>
  <si>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</si>
  <si>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</si>
  <si>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</si>
  <si>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</si>
  <si>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</si>
  <si>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</si>
  <si>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</si>
  <si>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</si>
  <si>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</si>
  <si>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</si>
  <si>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</si>
  <si>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</si>
  <si>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</si>
  <si>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</si>
  <si>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</si>
  <si>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</si>
  <si>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</si>
  <si>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</si>
  <si>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</si>
  <si>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</si>
  <si>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</si>
  <si>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</si>
  <si>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</si>
  <si>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</si>
  <si>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</si>
  <si>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</si>
  <si>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</si>
  <si>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</si>
  <si>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</si>
  <si>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</si>
  <si>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</si>
  <si>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</si>
  <si>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</si>
  <si>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</si>
  <si>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</si>
  <si>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</si>
  <si>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</si>
  <si>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</si>
  <si>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</si>
  <si>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</si>
  <si>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</si>
  <si>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</si>
  <si>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</si>
  <si>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</si>
  <si>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</si>
  <si>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</si>
  <si>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</si>
  <si>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</si>
  <si>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</si>
  <si>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</si>
  <si>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</si>
  <si>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</si>
  <si>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</si>
  <si>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</si>
  <si>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</si>
  <si>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</si>
  <si>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</si>
  <si>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</si>
  <si>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</si>
  <si>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</si>
  <si>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</si>
  <si>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</si>
  <si>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</si>
  <si>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</si>
  <si>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</si>
  <si>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</si>
  <si>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</si>
  <si>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</si>
  <si>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</si>
  <si>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</si>
  <si>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</si>
  <si>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</si>
  <si>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</si>
  <si>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</si>
  <si>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</si>
  <si>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</si>
  <si>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</si>
  <si>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</si>
  <si>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</si>
  <si>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</si>
  <si>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</si>
  <si>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</si>
  <si>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</si>
  <si>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</si>
  <si>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</si>
  <si>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</si>
  <si>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</si>
  <si>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</si>
  <si>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</si>
  <si>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</si>
  <si>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</si>
  <si>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</si>
  <si>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</si>
  <si>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</si>
  <si>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</si>
  <si>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</si>
  <si>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</si>
  <si>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</si>
  <si>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</si>
  <si>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</si>
  <si>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</si>
  <si>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</si>
  <si>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</si>
  <si>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</si>
  <si>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</si>
  <si>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</si>
  <si>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</si>
  <si>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</si>
  <si>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</si>
  <si>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</si>
  <si>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</si>
  <si>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</si>
  <si>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</si>
  <si>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</si>
  <si>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</si>
  <si>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</si>
  <si>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</si>
  <si>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</si>
  <si>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</si>
  <si>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</si>
  <si>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</si>
  <si>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</si>
  <si>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</si>
  <si>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</si>
  <si>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</si>
  <si>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</si>
  <si>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</si>
  <si>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</si>
  <si>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</si>
  <si>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</si>
  <si>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</si>
  <si>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</si>
  <si>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</si>
  <si>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</si>
  <si>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</si>
  <si>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</si>
  <si>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</si>
  <si>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</si>
  <si>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</si>
  <si>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</si>
  <si>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</si>
  <si>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</si>
  <si>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</si>
  <si>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</si>
  <si>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</si>
  <si>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</si>
  <si>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</si>
  <si>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</si>
  <si>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</si>
  <si>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</si>
  <si>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</si>
  <si>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</si>
  <si>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</si>
  <si>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</si>
  <si>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</si>
  <si>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</si>
  <si>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</si>
  <si>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Umumiy maydoni</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</si>
  <si>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</si>
  <si>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</si>
  <si>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</si>
  <si>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</si>
  <si>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</si>
  <si>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</si>
  <si>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</si>
  <si>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</si>
  <si>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</si>
  <si>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</si>
  <si>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</si>
  <si>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</si>
  <si>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</si>
  <si>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</si>
  <si>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</si>
  <si>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</si>
  <si>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</si>
  <si>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</si>
  <si>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</si>
  <si>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</si>
  <si>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</si>
  <si>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</si>
  <si>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</si>
  <si>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</si>
  <si>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</si>
  <si>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</si>
  <si>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</si>
  <si>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</si>
  <si>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</si>
  <si>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</si>
  <si>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</si>
  <si>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</si>
  <si>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</si>
  <si>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</si>
  <si>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</si>
  <si>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</si>
  <si>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</si>
  <si>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</si>
  <si>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</si>
  <si>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</si>
  <si>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</si>
  <si>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</si>
  <si>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</si>
  <si>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</si>
  <si>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</si>
  <si>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</si>
  <si>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</si>
  <si>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</si>
  <si>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</si>
  <si>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</si>
  <si>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</si>
  <si>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</si>
  <si>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</si>
  <si>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</si>
  <si>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</si>
  <si>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</si>
  <si>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</si>
  <si>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</si>
  <si>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</si>
  <si>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</si>
  <si>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</si>
  <si>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</si>
  <si>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</si>
  <si>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</si>
  <si>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</si>
  <si>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</si>
  <si>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</si>
  <si>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</si>
  <si>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</si>
  <si>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</si>
  <si>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</si>
  <si>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</si>
  <si>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</si>
  <si>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</si>
  <si>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</si>
  <si>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</si>
  <si>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</si>
  <si>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</si>
  <si>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</si>
  <si>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</si>
  <si>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</si>
  <si>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</si>
  <si>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</si>
  <si>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</si>
  <si>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</si>
  <si>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</si>
  <si>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</si>
  <si>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</si>
  <si>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</si>
  <si>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</si>
  <si>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</si>
  <si>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</si>
  <si>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</si>
  <si>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</si>
  <si>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</si>
  <si>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</si>
  <si>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</si>
  <si>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</si>
  <si>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</si>
  <si>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</si>
  <si>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</si>
  <si>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</si>
  <si>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</si>
  <si>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</si>
  <si>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</si>
  <si>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</si>
  <si>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</si>
  <si>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</si>
  <si>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</si>
  <si>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</si>
  <si>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</si>
  <si>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</si>
  <si>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</si>
  <si>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</si>
  <si>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</si>
  <si>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</si>
  <si>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</si>
  <si>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</si>
  <si>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</si>
  <si>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</si>
  <si>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</si>
  <si>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</si>
  <si>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</si>
  <si>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</si>
  <si>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</si>
  <si>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Ijrochi direktori</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</si>
  <si>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</si>
  <si>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</si>
  <si>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</si>
  <si>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</si>
  <si>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</si>
  <si>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</si>
  <si>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</si>
  <si>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</si>
  <si>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</si>
  <si>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</si>
  <si>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</si>
  <si>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</si>
  <si>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</si>
  <si>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</si>
  <si>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</si>
  <si>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</si>
  <si>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</si>
  <si>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</si>
  <si>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</si>
  <si>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</si>
  <si>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</si>
  <si>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</si>
  <si>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</si>
  <si>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</si>
  <si>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</si>
  <si>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</si>
  <si>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</si>
  <si>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</si>
  <si>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</si>
  <si>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</si>
  <si>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</si>
  <si>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</si>
  <si>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</si>
  <si>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</si>
  <si>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</si>
  <si>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</si>
  <si>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</si>
  <si>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</si>
  <si>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</si>
  <si>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</si>
  <si>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</si>
  <si>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</si>
  <si>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</si>
  <si>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</si>
  <si>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</si>
  <si>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</si>
  <si>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Abduraximov N.K</t>
  </si>
  <si>
    <t>37,39</t>
  </si>
  <si>
    <t>16.12.2020 yildan №14:13:02:01:03:1179:0006:058</t>
  </si>
  <si>
    <t>13.12.2020 yildan 1718238/R-A1419303</t>
  </si>
  <si>
    <t>№ kadastr raqami</t>
  </si>
  <si>
    <t>Foydalanishga topshirilgan yili</t>
  </si>
  <si>
    <t xml:space="preserve"> sanasidan</t>
  </si>
  <si>
    <t>`</t>
  </si>
  <si>
    <t>i</t>
  </si>
  <si>
    <t>yu</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</si>
  <si>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</si>
  <si>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60</t>
  </si>
  <si>
    <t>Oltmish</t>
  </si>
  <si>
    <t>Йиллик фойз 50 фойздан утиб кетмаслиги керак</t>
  </si>
  <si>
    <t>100</t>
  </si>
  <si>
    <t>bir yuz</t>
  </si>
  <si>
    <t>Mikroqarz shartnomasining bir nusxasini oldim _______________</t>
  </si>
  <si>
    <t>1. Abduraximov N.K.</t>
  </si>
  <si>
    <t>Mijoz quyidagi majburiyatlarga ega : TOSHKЕNT Sh., "KAPITALBANK" AT BANKINING YAGONA FILIALI 174 661 821.46 so`m. Ayni paytda muddati o'tgan qarzdorligi mavjud emas. O‘rtacha oylik to‘lov 6 725 664.14 so‘mni tashkil qiladi.</t>
  </si>
  <si>
    <t>2014</t>
  </si>
  <si>
    <t>11.03.2025</t>
  </si>
  <si>
    <t>NUTFULLAYEV AKBARJON AXMEDOVICH</t>
  </si>
  <si>
    <t>NUTFULLAYEV A.A.</t>
  </si>
  <si>
    <t>14.09.1989 y</t>
  </si>
  <si>
    <t>AA 9481167</t>
  </si>
  <si>
    <t>BUXORO VILOYATI BUXORO SHAHAR TADBIRKOR KO'CHASI 12-UY</t>
  </si>
  <si>
    <t>91 408 76 67 UZI</t>
  </si>
  <si>
    <t>GOR VODAKANAL</t>
  </si>
  <si>
    <t>BUXORO SHAHRI</t>
  </si>
  <si>
    <t>91 408 76 67  UZI</t>
  </si>
  <si>
    <t>88 305 76 67 AYOLI</t>
  </si>
  <si>
    <t>88 870 76 67 AKASI</t>
  </si>
  <si>
    <t>o'ttiz olti</t>
  </si>
  <si>
    <t>AAG   2346592  13.09.2023y</t>
  </si>
  <si>
    <t>CHANGAN CHANGAN SC 1027SB</t>
  </si>
  <si>
    <t>80T312WA</t>
  </si>
  <si>
    <t>YUK BORTLI TENT</t>
  </si>
  <si>
    <t>LSCAB23D8EG228387</t>
  </si>
  <si>
    <t>JL466Q1%E61H022801</t>
  </si>
  <si>
    <t>OQ BELIY</t>
  </si>
  <si>
    <t>BUXORO VILOYATI BUXORO SHAHAR IIB</t>
  </si>
  <si>
    <t>BUXORO VILOYATI RO' va IOB</t>
  </si>
  <si>
    <t>URINDIKLAR SONI 5TA</t>
  </si>
  <si>
    <t>Kreditlash bo’limi boshlig’i</t>
  </si>
  <si>
    <t>№ -AL</t>
  </si>
  <si>
    <t>Olmaliq filiali boshlig'i</t>
  </si>
  <si>
    <t>Yerjanov Vladimir Yusupovich</t>
  </si>
  <si>
    <t>V. Yerjanov</t>
  </si>
  <si>
    <t>B. Mominov</t>
  </si>
  <si>
    <t>N. Abduraximov</t>
  </si>
  <si>
    <t>B. Jumanazarov</t>
  </si>
  <si>
    <t>Imzolaganlar ro'yxati:</t>
  </si>
  <si>
    <t>Ijrochi direktor: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</si>
</sst>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_-;\-* #\ ##0.00_-;_-* &quot;-&quot;??_-;_-@_-"/>
  </numFmts>
  <fonts count="62">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i/>
      <sz val="11"/>
      <color rgb="FFFF0000"/>
      <name val="Arial"/>
      <family val="2"/>
      <charset val="204"/>
    </font>
    <font>
      <sz val="11"/>
      <color theme="1"/>
      <name val="Arial"/>
      <family val="2"/>
      <charset val="204"/>
    </font>
    <font>
      <sz val="11"/>
      <color theme="1"/>
      <name val="Calibri"/>
      <charset val="134"/>
      <scheme val="minor"/>
    </font>
    <font>
      <sz val="11"/>
      <color theme="1"/>
      <name val="Calibri"/>
      <charset val="204"/>
      <scheme val="minor"/>
    </font>
    <font>
      <sz val="11"/>
      <name val="Calibri"/>
      <charset val="204"/>
    </font>
  </fonts>
  <fills count="12">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s>
  <cellStyleXfs count="1786">
    <xf numFmtId="0" fontId="0"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55" fillId="0" borderId="0">
      <alignment vertical="center"/>
    </xf>
    <xf numFmtId="0" fontId="55" fillId="0" borderId="0">
      <alignment vertical="center"/>
    </xf>
    <xf numFmtId="43" fontId="6"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41"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60" fillId="0" borderId="0"/>
    <xf numFmtId="170" fontId="59" fillId="0" borderId="0" applyFont="0" applyFill="0" applyBorder="0" applyAlignment="0" applyProtection="0"/>
    <xf numFmtId="170" fontId="59" fillId="0" borderId="0" applyFont="0" applyFill="0" applyBorder="0" applyAlignment="0" applyProtection="0"/>
    <xf numFmtId="0" fontId="60" fillId="0" borderId="0"/>
    <xf numFmtId="170" fontId="59" fillId="0" borderId="0" applyFont="0" applyFill="0" applyBorder="0" applyAlignment="0" applyProtection="0"/>
    <xf numFmtId="170" fontId="59" fillId="0" borderId="0" applyFont="0" applyFill="0" applyBorder="0" applyAlignment="0" applyProtection="0"/>
    <xf numFmtId="0" fontId="61" fillId="0" borderId="0">
      <alignment vertical="center"/>
    </xf>
    <xf numFmtId="0" fontId="60" fillId="0" borderId="0"/>
    <xf numFmtId="170" fontId="59" fillId="0" borderId="0" applyFont="0" applyFill="0" applyBorder="0" applyAlignment="0" applyProtection="0"/>
    <xf numFmtId="0" fontId="60" fillId="0" borderId="0"/>
    <xf numFmtId="0" fontId="60" fillId="0" borderId="0"/>
    <xf numFmtId="0" fontId="60" fillId="0" borderId="0"/>
    <xf numFmtId="0" fontId="60" fillId="0" borderId="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0" fontId="61" fillId="0" borderId="0">
      <alignment vertical="center"/>
    </xf>
    <xf numFmtId="170" fontId="59" fillId="0" borderId="0" applyFont="0" applyFill="0" applyBorder="0" applyAlignment="0" applyProtection="0"/>
    <xf numFmtId="0" fontId="60" fillId="0" borderId="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9" fontId="5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cellStyleXfs>
  <cellXfs count="362">
    <xf numFmtId="0" fontId="0" fillId="0" borderId="0" xfId="0"/>
    <xf numFmtId="0" fontId="7" fillId="0" borderId="1" xfId="0" applyFont="1" applyBorder="1" applyAlignment="1">
      <alignment vertical="center" wrapText="1"/>
    </xf>
    <xf numFmtId="49" fontId="7" fillId="0" borderId="1" xfId="0" applyNumberFormat="1" applyFont="1" applyBorder="1" applyAlignment="1">
      <alignment vertical="center" wrapText="1"/>
    </xf>
    <xf numFmtId="0" fontId="8" fillId="2" borderId="1" xfId="0" applyFont="1" applyFill="1" applyBorder="1" applyAlignment="1">
      <alignment vertical="center" wrapText="1"/>
    </xf>
    <xf numFmtId="165" fontId="7" fillId="0" borderId="1" xfId="0" applyNumberFormat="1" applyFont="1" applyBorder="1" applyAlignment="1">
      <alignment vertical="center" wrapText="1"/>
    </xf>
    <xf numFmtId="43" fontId="7" fillId="0" borderId="1" xfId="1" applyFont="1" applyBorder="1" applyAlignment="1">
      <alignment vertical="center" wrapText="1"/>
    </xf>
    <xf numFmtId="0" fontId="9" fillId="0" borderId="0" xfId="0" applyFont="1"/>
    <xf numFmtId="0" fontId="9" fillId="0" borderId="0" xfId="0" applyFont="1" applyAlignment="1">
      <alignment horizontal="right"/>
    </xf>
    <xf numFmtId="0" fontId="11" fillId="2" borderId="1" xfId="0" applyFont="1" applyFill="1" applyBorder="1" applyAlignment="1">
      <alignment horizontal="left" vertical="center" wrapText="1"/>
    </xf>
    <xf numFmtId="0" fontId="11" fillId="2" borderId="1" xfId="0" applyFont="1" applyFill="1" applyBorder="1" applyAlignment="1">
      <alignment horizontal="center" vertical="center" wrapText="1"/>
    </xf>
    <xf numFmtId="0" fontId="14" fillId="0" borderId="0" xfId="0" applyFont="1" applyAlignment="1" applyProtection="1">
      <alignment horizontal="center" vertical="top"/>
      <protection hidden="1"/>
    </xf>
    <xf numFmtId="0" fontId="12" fillId="0" borderId="0" xfId="0" applyFont="1" applyAlignment="1" applyProtection="1">
      <alignment horizontal="center" vertical="center"/>
      <protection hidden="1"/>
    </xf>
    <xf numFmtId="0" fontId="14" fillId="0" borderId="0" xfId="0" applyFont="1" applyAlignment="1" applyProtection="1">
      <alignment horizontal="center" vertical="center"/>
      <protection hidden="1"/>
    </xf>
    <xf numFmtId="0" fontId="10" fillId="0" borderId="0" xfId="0" applyFont="1"/>
    <xf numFmtId="0" fontId="10" fillId="0" borderId="0" xfId="0" applyFont="1" applyAlignment="1">
      <alignment horizontal="right"/>
    </xf>
    <xf numFmtId="0" fontId="15" fillId="0" borderId="0" xfId="0" applyFont="1"/>
    <xf numFmtId="0" fontId="15" fillId="0" borderId="0" xfId="0" applyFont="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xf numFmtId="0" fontId="15" fillId="0" borderId="0" xfId="0" applyFont="1" applyAlignment="1">
      <alignment horizontal="justify" vertical="top" wrapText="1"/>
    </xf>
    <xf numFmtId="0" fontId="15" fillId="0" borderId="0" xfId="0" applyFont="1" applyAlignment="1">
      <alignment wrapText="1"/>
    </xf>
    <xf numFmtId="164" fontId="7" fillId="0" borderId="1" xfId="0" applyNumberFormat="1" applyFont="1" applyBorder="1" applyAlignment="1">
      <alignment vertical="center" wrapText="1"/>
    </xf>
    <xf numFmtId="0" fontId="15" fillId="0" borderId="0" xfId="0" applyFont="1" applyAlignment="1">
      <alignment vertical="top" wrapText="1"/>
    </xf>
    <xf numFmtId="0" fontId="15" fillId="0" borderId="0" xfId="0" applyFont="1" applyAlignment="1">
      <alignment vertical="center" wrapText="1"/>
    </xf>
    <xf numFmtId="0" fontId="18" fillId="0" borderId="0" xfId="0" applyFont="1"/>
    <xf numFmtId="0" fontId="17" fillId="0" borderId="1" xfId="0" applyFont="1" applyBorder="1" applyAlignment="1">
      <alignment horizontal="center" vertical="center" wrapText="1"/>
    </xf>
    <xf numFmtId="0" fontId="17" fillId="0" borderId="0" xfId="0" applyFont="1" applyAlignment="1">
      <alignment horizontal="center" vertical="center" wrapText="1"/>
    </xf>
    <xf numFmtId="0" fontId="18" fillId="0" borderId="1" xfId="0" applyFont="1" applyBorder="1" applyAlignment="1">
      <alignment horizontal="center" vertical="top" wrapText="1"/>
    </xf>
    <xf numFmtId="43" fontId="18" fillId="0" borderId="1" xfId="1" applyFont="1" applyBorder="1" applyAlignment="1">
      <alignment horizontal="center" vertical="top" wrapText="1"/>
    </xf>
    <xf numFmtId="0" fontId="17" fillId="0" borderId="1" xfId="0" applyFont="1" applyBorder="1" applyAlignment="1">
      <alignment horizontal="center" vertical="top" wrapText="1"/>
    </xf>
    <xf numFmtId="43" fontId="17" fillId="0" borderId="1" xfId="0" applyNumberFormat="1" applyFont="1" applyBorder="1" applyAlignment="1">
      <alignment horizontal="center" vertical="top" wrapText="1"/>
    </xf>
    <xf numFmtId="0" fontId="17" fillId="0" borderId="0" xfId="0" applyFont="1"/>
    <xf numFmtId="0" fontId="9" fillId="0" borderId="0" xfId="0" applyFont="1" applyAlignment="1">
      <alignment horizontal="left"/>
    </xf>
    <xf numFmtId="14" fontId="15" fillId="0" borderId="1" xfId="0" applyNumberFormat="1" applyFont="1" applyBorder="1"/>
    <xf numFmtId="43" fontId="15" fillId="0" borderId="1" xfId="1" applyFont="1" applyBorder="1"/>
    <xf numFmtId="14" fontId="15" fillId="0" borderId="0" xfId="0" applyNumberFormat="1" applyFont="1"/>
    <xf numFmtId="43" fontId="15" fillId="0" borderId="0" xfId="1" applyFont="1" applyBorder="1"/>
    <xf numFmtId="0" fontId="16" fillId="0" borderId="0" xfId="0" applyFont="1"/>
    <xf numFmtId="0" fontId="16" fillId="0" borderId="0" xfId="0" applyFont="1" applyAlignment="1">
      <alignment horizontal="right"/>
    </xf>
    <xf numFmtId="0" fontId="16" fillId="0" borderId="1" xfId="0" applyFont="1" applyBorder="1" applyAlignment="1">
      <alignment horizontal="center" vertical="center" wrapText="1"/>
    </xf>
    <xf numFmtId="0" fontId="16" fillId="0" borderId="0" xfId="0" applyFont="1" applyAlignment="1">
      <alignment horizontal="center"/>
    </xf>
    <xf numFmtId="0" fontId="23" fillId="0" borderId="0" xfId="0" applyFont="1" applyAlignment="1">
      <alignment horizontal="center" wrapText="1"/>
    </xf>
    <xf numFmtId="0" fontId="15" fillId="0" borderId="0" xfId="0" applyFont="1" applyAlignment="1">
      <alignment horizontal="center" wrapText="1"/>
    </xf>
    <xf numFmtId="0" fontId="22" fillId="0" borderId="0" xfId="0" applyFont="1" applyAlignment="1">
      <alignment horizontal="center" wrapText="1"/>
    </xf>
    <xf numFmtId="0" fontId="15" fillId="0" borderId="8" xfId="0" applyFont="1" applyBorder="1" applyAlignment="1">
      <alignment horizontal="center" wrapText="1"/>
    </xf>
    <xf numFmtId="0" fontId="15" fillId="0" borderId="9" xfId="0" applyFont="1" applyBorder="1" applyAlignment="1">
      <alignment horizontal="center" wrapText="1"/>
    </xf>
    <xf numFmtId="0" fontId="16" fillId="0" borderId="1" xfId="0" applyFont="1" applyBorder="1"/>
    <xf numFmtId="14" fontId="16" fillId="0" borderId="1" xfId="0" applyNumberFormat="1" applyFont="1" applyBorder="1"/>
    <xf numFmtId="43" fontId="16" fillId="0" borderId="1" xfId="1" applyFont="1" applyBorder="1"/>
    <xf numFmtId="0" fontId="7" fillId="4" borderId="1" xfId="0" applyFont="1" applyFill="1" applyBorder="1" applyAlignment="1">
      <alignment vertical="center" wrapText="1"/>
    </xf>
    <xf numFmtId="0" fontId="16" fillId="0" borderId="0" xfId="0" applyFont="1" applyAlignment="1">
      <alignment horizontal="center" vertical="center" wrapText="1"/>
    </xf>
    <xf numFmtId="43" fontId="28" fillId="0" borderId="1" xfId="1" applyFont="1" applyBorder="1"/>
    <xf numFmtId="43" fontId="7" fillId="4" borderId="1" xfId="1" applyFont="1" applyFill="1" applyBorder="1" applyAlignment="1">
      <alignment vertical="center" wrapText="1"/>
    </xf>
    <xf numFmtId="0" fontId="15" fillId="0" borderId="0" xfId="0" applyFont="1" applyAlignment="1">
      <alignment horizontal="left" vertical="top" wrapText="1"/>
    </xf>
    <xf numFmtId="0" fontId="15" fillId="0" borderId="8" xfId="0" applyFont="1" applyBorder="1" applyAlignment="1">
      <alignment wrapText="1"/>
    </xf>
    <xf numFmtId="0" fontId="15" fillId="0" borderId="9" xfId="0" applyFont="1" applyBorder="1" applyAlignment="1">
      <alignment wrapText="1"/>
    </xf>
    <xf numFmtId="49" fontId="9" fillId="0" borderId="0" xfId="0" applyNumberFormat="1" applyFont="1" applyAlignment="1">
      <alignment horizontal="right"/>
    </xf>
    <xf numFmtId="49" fontId="7" fillId="4" borderId="1" xfId="0" applyNumberFormat="1" applyFont="1" applyFill="1" applyBorder="1" applyAlignment="1">
      <alignment vertical="center" wrapText="1"/>
    </xf>
    <xf numFmtId="165" fontId="27" fillId="2" borderId="1" xfId="0" applyNumberFormat="1" applyFont="1" applyFill="1" applyBorder="1" applyAlignment="1">
      <alignment vertical="center" wrapText="1"/>
    </xf>
    <xf numFmtId="165" fontId="7" fillId="2" borderId="1" xfId="0" applyNumberFormat="1" applyFont="1" applyFill="1" applyBorder="1" applyAlignment="1">
      <alignment vertical="center" wrapText="1"/>
    </xf>
    <xf numFmtId="0" fontId="7"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2" fillId="4" borderId="1" xfId="0" applyFont="1" applyFill="1" applyBorder="1"/>
    <xf numFmtId="0" fontId="10" fillId="0" borderId="0" xfId="0" applyFont="1" applyAlignment="1">
      <alignment horizontal="center" vertical="center" wrapText="1"/>
    </xf>
    <xf numFmtId="0" fontId="10" fillId="0" borderId="0" xfId="0" applyFont="1" applyAlignment="1">
      <alignment horizontal="center"/>
    </xf>
    <xf numFmtId="0" fontId="9" fillId="0" borderId="0" xfId="0" applyFont="1" applyAlignment="1">
      <alignment horizontal="center" vertical="center"/>
    </xf>
    <xf numFmtId="0" fontId="10" fillId="0" borderId="0" xfId="0" applyFont="1" applyAlignment="1">
      <alignment horizontal="center" vertical="center"/>
    </xf>
    <xf numFmtId="43" fontId="7" fillId="4" borderId="3" xfId="1" applyFont="1" applyFill="1" applyBorder="1" applyAlignment="1">
      <alignment vertical="center" wrapText="1"/>
    </xf>
    <xf numFmtId="0" fontId="8" fillId="2" borderId="1" xfId="0" applyFont="1" applyFill="1" applyBorder="1" applyAlignment="1">
      <alignment horizontal="right" vertical="center" wrapText="1"/>
    </xf>
    <xf numFmtId="0" fontId="9" fillId="0" borderId="0" xfId="0" applyFont="1" applyAlignment="1">
      <alignment horizontal="center" vertical="center" wrapText="1"/>
    </xf>
    <xf numFmtId="0" fontId="9" fillId="0" borderId="0" xfId="0" applyFont="1" applyAlignment="1">
      <alignment vertical="top" wrapText="1"/>
    </xf>
    <xf numFmtId="0" fontId="9" fillId="0" borderId="0" xfId="0" applyFont="1" applyAlignment="1">
      <alignment horizontal="center" wrapText="1"/>
    </xf>
    <xf numFmtId="0" fontId="10" fillId="0" borderId="0" xfId="0" applyFont="1" applyAlignment="1">
      <alignment horizontal="center" wrapText="1"/>
    </xf>
    <xf numFmtId="0" fontId="19" fillId="0" borderId="0" xfId="0" applyFont="1" applyAlignment="1">
      <alignment horizontal="center"/>
    </xf>
    <xf numFmtId="0" fontId="9" fillId="0" borderId="0" xfId="0" applyFont="1" applyAlignment="1">
      <alignment vertical="top"/>
    </xf>
    <xf numFmtId="0" fontId="7" fillId="6" borderId="1" xfId="0" applyFont="1" applyFill="1" applyBorder="1" applyAlignment="1">
      <alignment vertical="center" wrapText="1"/>
    </xf>
    <xf numFmtId="165" fontId="7" fillId="2" borderId="1" xfId="0" applyNumberFormat="1" applyFont="1" applyFill="1" applyBorder="1" applyAlignment="1">
      <alignment horizontal="left" vertical="center" wrapText="1"/>
    </xf>
    <xf numFmtId="14" fontId="7" fillId="6" borderId="1" xfId="0" applyNumberFormat="1" applyFont="1" applyFill="1" applyBorder="1" applyAlignment="1">
      <alignment vertical="center" wrapText="1"/>
    </xf>
    <xf numFmtId="165" fontId="7" fillId="6" borderId="1" xfId="0" applyNumberFormat="1" applyFont="1" applyFill="1" applyBorder="1" applyAlignment="1">
      <alignment vertical="center" wrapText="1"/>
    </xf>
    <xf numFmtId="0" fontId="7" fillId="7" borderId="1" xfId="0" applyFont="1" applyFill="1" applyBorder="1" applyAlignment="1">
      <alignment vertical="center" wrapText="1"/>
    </xf>
    <xf numFmtId="9" fontId="7" fillId="7" borderId="1" xfId="0" applyNumberFormat="1" applyFont="1" applyFill="1" applyBorder="1" applyAlignment="1">
      <alignment vertical="center" wrapText="1"/>
    </xf>
    <xf numFmtId="49" fontId="7" fillId="7" borderId="1" xfId="1" applyNumberFormat="1" applyFont="1" applyFill="1" applyBorder="1" applyAlignment="1">
      <alignment vertical="center" wrapText="1"/>
    </xf>
    <xf numFmtId="40" fontId="7" fillId="7" borderId="1" xfId="1" applyNumberFormat="1" applyFont="1" applyFill="1" applyBorder="1" applyAlignment="1">
      <alignment vertical="center" wrapText="1"/>
    </xf>
    <xf numFmtId="0" fontId="8" fillId="2" borderId="1" xfId="0" applyFont="1" applyFill="1" applyBorder="1" applyAlignment="1">
      <alignment horizontal="center" vertical="center" wrapText="1"/>
    </xf>
    <xf numFmtId="49" fontId="7" fillId="4" borderId="1" xfId="0" applyNumberFormat="1" applyFont="1" applyFill="1" applyBorder="1" applyAlignment="1">
      <alignment horizontal="left" vertical="center" wrapText="1"/>
    </xf>
    <xf numFmtId="0" fontId="35" fillId="0" borderId="0" xfId="0" applyFont="1"/>
    <xf numFmtId="0" fontId="28" fillId="0" borderId="0" xfId="0" applyFont="1"/>
    <xf numFmtId="0" fontId="35" fillId="0" borderId="0" xfId="0" applyFont="1" applyAlignment="1">
      <alignment horizontal="right"/>
    </xf>
    <xf numFmtId="164" fontId="28" fillId="0" borderId="0" xfId="0" applyNumberFormat="1" applyFont="1"/>
    <xf numFmtId="166" fontId="28" fillId="0" borderId="0" xfId="0" applyNumberFormat="1" applyFont="1"/>
    <xf numFmtId="0" fontId="28" fillId="0" borderId="1" xfId="0" applyFont="1" applyBorder="1" applyAlignment="1">
      <alignment horizontal="center" vertical="center" wrapText="1"/>
    </xf>
    <xf numFmtId="0" fontId="28" fillId="0" borderId="0" xfId="0" applyFont="1" applyAlignment="1">
      <alignment horizontal="center" vertical="center" wrapText="1"/>
    </xf>
    <xf numFmtId="0" fontId="28" fillId="0" borderId="1" xfId="0" applyFont="1" applyBorder="1"/>
    <xf numFmtId="14" fontId="28" fillId="0" borderId="1" xfId="0" applyNumberFormat="1" applyFont="1" applyBorder="1"/>
    <xf numFmtId="167" fontId="28" fillId="0" borderId="0" xfId="0" applyNumberFormat="1" applyFont="1"/>
    <xf numFmtId="0" fontId="35" fillId="0" borderId="1" xfId="0" applyFont="1" applyBorder="1"/>
    <xf numFmtId="14" fontId="35" fillId="0" borderId="1" xfId="0" applyNumberFormat="1" applyFont="1" applyBorder="1"/>
    <xf numFmtId="43" fontId="35" fillId="0" borderId="1" xfId="1" applyFont="1" applyBorder="1"/>
    <xf numFmtId="14" fontId="28" fillId="0" borderId="0" xfId="0" applyNumberFormat="1" applyFont="1"/>
    <xf numFmtId="43" fontId="28" fillId="0" borderId="0" xfId="1" applyFont="1" applyBorder="1"/>
    <xf numFmtId="14" fontId="27" fillId="5" borderId="0" xfId="0" applyNumberFormat="1" applyFont="1" applyFill="1"/>
    <xf numFmtId="0" fontId="27" fillId="5" borderId="0" xfId="0" applyFont="1" applyFill="1"/>
    <xf numFmtId="0" fontId="27" fillId="0" borderId="0" xfId="0" applyFont="1"/>
    <xf numFmtId="168" fontId="38" fillId="5" borderId="0" xfId="0" applyNumberFormat="1" applyFont="1" applyFill="1"/>
    <xf numFmtId="0" fontId="27" fillId="4" borderId="0" xfId="0" applyFont="1" applyFill="1"/>
    <xf numFmtId="1" fontId="27" fillId="5" borderId="0" xfId="0" applyNumberFormat="1" applyFont="1" applyFill="1"/>
    <xf numFmtId="49" fontId="28" fillId="0" borderId="0" xfId="0" applyNumberFormat="1" applyFont="1" applyAlignment="1">
      <alignment horizontal="right"/>
    </xf>
    <xf numFmtId="0" fontId="39" fillId="0" borderId="0" xfId="0" applyFont="1" applyAlignment="1">
      <alignment vertical="center"/>
    </xf>
    <xf numFmtId="0" fontId="40" fillId="0" borderId="0" xfId="0" applyFont="1" applyAlignment="1">
      <alignment horizontal="right" vertical="center"/>
    </xf>
    <xf numFmtId="0" fontId="40" fillId="0" borderId="0" xfId="0" applyFont="1" applyAlignment="1">
      <alignment horizontal="right" vertical="center" wrapText="1"/>
    </xf>
    <xf numFmtId="43" fontId="15" fillId="0" borderId="1" xfId="1" applyFont="1" applyBorder="1" applyAlignment="1">
      <alignment horizontal="center" vertical="top" wrapText="1"/>
    </xf>
    <xf numFmtId="0" fontId="41" fillId="7" borderId="1" xfId="0" applyFont="1" applyFill="1" applyBorder="1"/>
    <xf numFmtId="0" fontId="41"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7" fillId="4" borderId="1" xfId="0" applyFont="1" applyFill="1" applyBorder="1"/>
    <xf numFmtId="0" fontId="41"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9" fillId="0" borderId="0" xfId="0" applyFont="1" applyAlignment="1">
      <alignment horizontal="right"/>
    </xf>
    <xf numFmtId="0" fontId="29" fillId="0" borderId="0" xfId="0" applyFont="1" applyAlignment="1">
      <alignment horizontal="justify"/>
    </xf>
    <xf numFmtId="0" fontId="29" fillId="0" borderId="0" xfId="0" applyFont="1" applyAlignment="1">
      <alignment horizontal="justify" vertical="center"/>
    </xf>
    <xf numFmtId="0" fontId="29" fillId="0" borderId="1" xfId="0" applyFont="1" applyBorder="1" applyAlignment="1">
      <alignment horizontal="justify"/>
    </xf>
    <xf numFmtId="0" fontId="29" fillId="0" borderId="0" xfId="0" applyFont="1" applyAlignment="1">
      <alignment horizontal="justify" vertical="center" wrapText="1"/>
    </xf>
    <xf numFmtId="0" fontId="29" fillId="0" borderId="0" xfId="0" applyFont="1" applyAlignment="1">
      <alignment horizontal="left"/>
    </xf>
    <xf numFmtId="0" fontId="29" fillId="0" borderId="11" xfId="0" applyFont="1" applyBorder="1" applyAlignment="1">
      <alignment horizontal="center"/>
    </xf>
    <xf numFmtId="0" fontId="29" fillId="0" borderId="0" xfId="0" applyFont="1" applyAlignment="1">
      <alignment horizontal="center"/>
    </xf>
    <xf numFmtId="0" fontId="7" fillId="3" borderId="1" xfId="0" applyFont="1" applyFill="1" applyBorder="1" applyAlignment="1">
      <alignment horizontal="center" vertical="center" wrapText="1"/>
    </xf>
    <xf numFmtId="0" fontId="15" fillId="0" borderId="0" xfId="0" applyFont="1" applyAlignment="1">
      <alignment vertical="top"/>
    </xf>
    <xf numFmtId="0" fontId="31" fillId="0" borderId="0" xfId="0" applyFont="1" applyAlignment="1">
      <alignment horizontal="justify" vertical="top" wrapText="1"/>
    </xf>
    <xf numFmtId="0" fontId="16" fillId="0" borderId="0" xfId="0" applyFont="1" applyAlignment="1">
      <alignment horizontal="left" vertical="center" wrapText="1"/>
    </xf>
    <xf numFmtId="0" fontId="16" fillId="0" borderId="0" xfId="0" applyFont="1" applyAlignment="1">
      <alignment horizontal="right" vertical="center" wrapText="1"/>
    </xf>
    <xf numFmtId="0" fontId="0" fillId="0" borderId="0" xfId="0" applyAlignment="1">
      <alignment horizontal="left" vertical="center"/>
    </xf>
    <xf numFmtId="0" fontId="15" fillId="0" borderId="0" xfId="0" applyFont="1" applyAlignment="1">
      <alignment horizontal="left" vertical="center" wrapText="1"/>
    </xf>
    <xf numFmtId="0" fontId="15" fillId="0" borderId="0" xfId="0" applyFont="1" applyAlignment="1">
      <alignment horizontal="right"/>
    </xf>
    <xf numFmtId="0" fontId="8" fillId="6" borderId="1" xfId="0" applyFont="1" applyFill="1" applyBorder="1" applyAlignment="1">
      <alignment horizontal="left" vertical="center" wrapText="1"/>
    </xf>
    <xf numFmtId="0" fontId="8" fillId="6" borderId="1" xfId="0" applyFont="1" applyFill="1" applyBorder="1" applyAlignment="1">
      <alignment vertical="center" wrapText="1"/>
    </xf>
    <xf numFmtId="0" fontId="11" fillId="4" borderId="1" xfId="0" applyFont="1" applyFill="1" applyBorder="1" applyAlignment="1">
      <alignment horizontal="center" vertical="center" wrapText="1"/>
    </xf>
    <xf numFmtId="0" fontId="18" fillId="0" borderId="0" xfId="0" applyFont="1" applyAlignment="1">
      <alignment wrapText="1"/>
    </xf>
    <xf numFmtId="165" fontId="18" fillId="0" borderId="0" xfId="0" applyNumberFormat="1" applyFont="1"/>
    <xf numFmtId="0" fontId="17" fillId="0" borderId="0" xfId="0" applyFont="1" applyAlignment="1">
      <alignment vertical="center" wrapText="1"/>
    </xf>
    <xf numFmtId="0" fontId="17" fillId="0" borderId="0" xfId="0" applyFont="1" applyAlignment="1">
      <alignment horizontal="left"/>
    </xf>
    <xf numFmtId="0" fontId="10" fillId="0" borderId="0" xfId="0" applyFont="1" applyAlignment="1">
      <alignment horizontal="left"/>
    </xf>
    <xf numFmtId="0" fontId="7" fillId="4" borderId="3" xfId="0" applyFont="1" applyFill="1" applyBorder="1" applyAlignment="1">
      <alignment vertical="center" wrapText="1"/>
    </xf>
    <xf numFmtId="49" fontId="11" fillId="4" borderId="1" xfId="0" applyNumberFormat="1" applyFont="1" applyFill="1" applyBorder="1" applyAlignment="1">
      <alignment horizontal="center" vertical="center" wrapText="1"/>
    </xf>
    <xf numFmtId="164" fontId="7" fillId="4" borderId="1" xfId="0" applyNumberFormat="1" applyFont="1" applyFill="1" applyBorder="1" applyAlignment="1">
      <alignment vertical="center" wrapText="1"/>
    </xf>
    <xf numFmtId="0" fontId="18" fillId="0" borderId="0" xfId="0" applyFont="1" applyAlignment="1">
      <alignment horizontal="center" vertical="top" wrapText="1"/>
    </xf>
    <xf numFmtId="0" fontId="43" fillId="2" borderId="1" xfId="0" applyFont="1" applyFill="1" applyBorder="1" applyAlignment="1">
      <alignment vertical="center" wrapText="1"/>
    </xf>
    <xf numFmtId="0" fontId="7" fillId="9" borderId="1" xfId="0" applyFont="1" applyFill="1" applyBorder="1" applyAlignment="1">
      <alignment vertical="center" wrapText="1"/>
    </xf>
    <xf numFmtId="0" fontId="5" fillId="0" borderId="0" xfId="0" applyFont="1"/>
    <xf numFmtId="0" fontId="44" fillId="0" borderId="0" xfId="0" applyFont="1" applyAlignment="1">
      <alignment vertical="center"/>
    </xf>
    <xf numFmtId="0" fontId="45" fillId="0" borderId="0" xfId="0" applyFont="1" applyAlignment="1">
      <alignment wrapText="1"/>
    </xf>
    <xf numFmtId="0" fontId="9" fillId="0" borderId="0" xfId="0" applyFont="1" applyAlignment="1">
      <alignment wrapText="1"/>
    </xf>
    <xf numFmtId="0" fontId="47" fillId="0" borderId="0" xfId="0" applyFont="1"/>
    <xf numFmtId="0" fontId="48" fillId="0" borderId="0" xfId="0" applyFont="1"/>
    <xf numFmtId="0" fontId="10" fillId="0" borderId="0" xfId="0" applyFont="1" applyAlignment="1">
      <alignment horizontal="left" vertical="center" wrapText="1"/>
    </xf>
    <xf numFmtId="0" fontId="9" fillId="0" borderId="0" xfId="0" applyFont="1" applyAlignment="1">
      <alignment horizontal="left" vertical="top" wrapText="1"/>
    </xf>
    <xf numFmtId="0" fontId="33" fillId="0" borderId="0" xfId="0" applyFont="1" applyAlignment="1">
      <alignment horizontal="left"/>
    </xf>
    <xf numFmtId="0" fontId="10" fillId="0" borderId="0" xfId="0" applyFont="1" applyAlignment="1">
      <alignment horizontal="left" vertical="top" wrapText="1"/>
    </xf>
    <xf numFmtId="49" fontId="9" fillId="0" borderId="0" xfId="0" applyNumberFormat="1" applyFont="1" applyAlignment="1">
      <alignment horizontal="left" vertical="top" wrapText="1"/>
    </xf>
    <xf numFmtId="0" fontId="46" fillId="0" borderId="0" xfId="0" applyFont="1" applyAlignment="1">
      <alignment vertical="top" wrapText="1"/>
    </xf>
    <xf numFmtId="0" fontId="46" fillId="0" borderId="4" xfId="0" applyFont="1" applyBorder="1" applyAlignment="1">
      <alignment vertical="top" wrapText="1"/>
    </xf>
    <xf numFmtId="0" fontId="46" fillId="0" borderId="18" xfId="0" applyFont="1" applyBorder="1" applyAlignment="1">
      <alignment vertical="top" wrapText="1"/>
    </xf>
    <xf numFmtId="0" fontId="31" fillId="0" borderId="18" xfId="0" applyFont="1" applyBorder="1" applyAlignment="1">
      <alignment horizontal="justify" vertical="top" wrapText="1"/>
    </xf>
    <xf numFmtId="0" fontId="7" fillId="5" borderId="1" xfId="0" applyFont="1" applyFill="1" applyBorder="1" applyAlignment="1">
      <alignment vertical="center" wrapText="1"/>
    </xf>
    <xf numFmtId="0" fontId="15" fillId="0" borderId="0" xfId="0" applyFont="1" applyAlignment="1">
      <alignment horizontal="left"/>
    </xf>
    <xf numFmtId="0" fontId="10" fillId="0" borderId="0" xfId="0" applyFont="1" applyAlignment="1">
      <alignment horizontal="right" wrapText="1"/>
    </xf>
    <xf numFmtId="14" fontId="7" fillId="3" borderId="1" xfId="0" applyNumberFormat="1" applyFont="1" applyFill="1" applyBorder="1" applyAlignment="1">
      <alignment horizontal="center" vertical="center" wrapText="1"/>
    </xf>
    <xf numFmtId="0" fontId="50" fillId="2" borderId="1" xfId="0" applyFont="1" applyFill="1" applyBorder="1" applyAlignment="1">
      <alignment horizontal="left" vertical="center" wrapText="1"/>
    </xf>
    <xf numFmtId="0" fontId="50" fillId="2" borderId="1" xfId="0" applyFont="1" applyFill="1" applyBorder="1" applyAlignment="1">
      <alignment vertical="center" wrapText="1"/>
    </xf>
    <xf numFmtId="0" fontId="9" fillId="0" borderId="0" xfId="0" applyFont="1" applyAlignment="1">
      <alignment horizontal="center"/>
    </xf>
    <xf numFmtId="0" fontId="30" fillId="4" borderId="1" xfId="0" applyFont="1" applyFill="1" applyBorder="1" applyAlignment="1">
      <alignment vertical="center" wrapText="1"/>
    </xf>
    <xf numFmtId="0" fontId="51" fillId="4" borderId="1" xfId="0" applyFont="1" applyFill="1" applyBorder="1" applyAlignment="1">
      <alignment vertical="center" wrapText="1"/>
    </xf>
    <xf numFmtId="0" fontId="53" fillId="4" borderId="1" xfId="0" applyFont="1" applyFill="1" applyBorder="1" applyAlignment="1">
      <alignment vertical="center" wrapText="1"/>
    </xf>
    <xf numFmtId="0" fontId="52" fillId="2" borderId="1" xfId="0" applyFont="1" applyFill="1" applyBorder="1" applyAlignment="1">
      <alignment vertical="center" wrapText="1"/>
    </xf>
    <xf numFmtId="0" fontId="10" fillId="0" borderId="0" xfId="0" applyFont="1" applyAlignment="1">
      <alignment wrapText="1"/>
    </xf>
    <xf numFmtId="0" fontId="50" fillId="10" borderId="2" xfId="0" applyFont="1" applyFill="1" applyBorder="1" applyAlignment="1">
      <alignment horizontal="left" vertical="center" wrapText="1"/>
    </xf>
    <xf numFmtId="0" fontId="50" fillId="10" borderId="24" xfId="0" applyFont="1" applyFill="1" applyBorder="1" applyAlignment="1">
      <alignment horizontal="left" vertical="center" wrapText="1"/>
    </xf>
    <xf numFmtId="43" fontId="53" fillId="4" borderId="1" xfId="1" applyFont="1" applyFill="1" applyBorder="1" applyAlignment="1">
      <alignment vertical="center" wrapText="1"/>
    </xf>
    <xf numFmtId="0" fontId="9" fillId="5" borderId="0" xfId="0" applyFont="1" applyFill="1" applyAlignment="1">
      <alignment horizontal="center" wrapText="1"/>
    </xf>
    <xf numFmtId="0" fontId="15" fillId="11" borderId="0" xfId="0" applyFont="1" applyFill="1"/>
    <xf numFmtId="0" fontId="7" fillId="10" borderId="0" xfId="0" applyFont="1" applyFill="1"/>
    <xf numFmtId="164" fontId="7" fillId="10" borderId="3" xfId="0" applyNumberFormat="1" applyFont="1" applyFill="1" applyBorder="1" applyAlignment="1">
      <alignment horizontal="left" vertical="top" wrapText="1"/>
    </xf>
    <xf numFmtId="14" fontId="7" fillId="10" borderId="0" xfId="0" applyNumberFormat="1" applyFont="1" applyFill="1"/>
    <xf numFmtId="0" fontId="56" fillId="10" borderId="16" xfId="0" applyFont="1" applyFill="1" applyBorder="1"/>
    <xf numFmtId="168" fontId="8" fillId="10" borderId="0" xfId="0" applyNumberFormat="1" applyFont="1" applyFill="1"/>
    <xf numFmtId="0" fontId="7" fillId="10" borderId="19" xfId="0" applyFont="1" applyFill="1" applyBorder="1"/>
    <xf numFmtId="0" fontId="7" fillId="10" borderId="20" xfId="0" applyFont="1" applyFill="1" applyBorder="1"/>
    <xf numFmtId="0" fontId="26" fillId="0" borderId="0" xfId="0" applyFont="1" applyAlignment="1">
      <alignment horizontal="left" vertical="top" wrapText="1"/>
    </xf>
    <xf numFmtId="0" fontId="8" fillId="10" borderId="0" xfId="0" applyFont="1" applyFill="1" applyAlignment="1">
      <alignment vertical="center" wrapText="1"/>
    </xf>
    <xf numFmtId="49" fontId="7" fillId="10" borderId="0" xfId="0" applyNumberFormat="1" applyFont="1" applyFill="1"/>
    <xf numFmtId="0" fontId="7" fillId="10" borderId="0" xfId="0" applyFont="1" applyFill="1" applyAlignment="1">
      <alignment vertical="center" wrapText="1"/>
    </xf>
    <xf numFmtId="49" fontId="57" fillId="4" borderId="1" xfId="0" applyNumberFormat="1" applyFont="1" applyFill="1" applyBorder="1" applyAlignment="1">
      <alignment vertical="center" wrapText="1"/>
    </xf>
    <xf numFmtId="169" fontId="58" fillId="4" borderId="1" xfId="0" applyNumberFormat="1" applyFont="1" applyFill="1" applyBorder="1" applyAlignment="1">
      <alignment vertical="center" wrapText="1"/>
    </xf>
    <xf numFmtId="0" fontId="30" fillId="10" borderId="0" xfId="0" applyFont="1" applyFill="1"/>
    <xf numFmtId="43" fontId="7" fillId="10" borderId="0" xfId="0" applyNumberFormat="1" applyFont="1" applyFill="1"/>
    <xf numFmtId="10" fontId="30" fillId="10" borderId="0" xfId="559" applyNumberFormat="1" applyFont="1" applyFill="1" applyAlignment="1">
      <alignment horizontal="center" vertical="center"/>
    </xf>
    <xf numFmtId="0" fontId="30" fillId="10" borderId="0" xfId="0" applyFont="1" applyFill="1" applyAlignment="1">
      <alignment horizontal="center" vertical="center"/>
    </xf>
    <xf numFmtId="169" fontId="11" fillId="2" borderId="1" xfId="0" applyNumberFormat="1" applyFont="1" applyFill="1" applyBorder="1" applyAlignment="1">
      <alignment horizontal="center" vertical="center" wrapText="1"/>
    </xf>
    <xf numFmtId="11" fontId="7" fillId="4" borderId="1" xfId="0" applyNumberFormat="1" applyFont="1" applyFill="1" applyBorder="1" applyAlignment="1">
      <alignment vertical="center" wrapText="1"/>
    </xf>
    <xf numFmtId="0" fontId="7" fillId="10" borderId="1" xfId="0" applyFont="1" applyFill="1" applyBorder="1"/>
    <xf numFmtId="0" fontId="7" fillId="10" borderId="1" xfId="0" applyFont="1" applyFill="1" applyBorder="1" applyAlignment="1">
      <alignment wrapText="1"/>
    </xf>
    <xf numFmtId="0" fontId="11" fillId="10" borderId="1" xfId="0" applyFont="1" applyFill="1" applyBorder="1" applyAlignment="1">
      <alignment horizontal="center" vertical="center" wrapText="1"/>
    </xf>
    <xf numFmtId="0" fontId="7" fillId="10" borderId="1" xfId="0" applyFont="1" applyFill="1" applyBorder="1" applyAlignment="1">
      <alignment horizontal="center" vertical="center"/>
    </xf>
    <xf numFmtId="0" fontId="7" fillId="10" borderId="1" xfId="0" applyFont="1" applyFill="1" applyBorder="1" applyAlignment="1">
      <alignment horizontal="center" vertical="center" wrapText="1"/>
    </xf>
    <xf numFmtId="0" fontId="7" fillId="10" borderId="1" xfId="0" applyFont="1" applyFill="1" applyBorder="1" applyAlignment="1">
      <alignment horizontal="left" vertical="center"/>
    </xf>
    <xf numFmtId="0" fontId="7" fillId="10" borderId="1" xfId="0" applyFont="1" applyFill="1" applyBorder="1" applyAlignment="1">
      <alignment horizontal="left" vertical="center" wrapText="1"/>
    </xf>
    <xf numFmtId="0" fontId="7" fillId="10" borderId="1" xfId="0" applyFont="1" applyFill="1" applyBorder="1" applyAlignment="1">
      <alignment vertical="center" wrapText="1"/>
    </xf>
    <xf numFmtId="0" fontId="8" fillId="10" borderId="0" xfId="0" applyFont="1" applyFill="1" applyAlignment="1">
      <alignment vertical="center"/>
    </xf>
    <xf numFmtId="0" fontId="7" fillId="10" borderId="13" xfId="0" applyFont="1" applyFill="1" applyBorder="1" applyAlignment="1">
      <alignment vertical="center"/>
    </xf>
    <xf numFmtId="0" fontId="7" fillId="10" borderId="15" xfId="0" applyFont="1" applyFill="1" applyBorder="1" applyAlignment="1">
      <alignment vertical="center"/>
    </xf>
    <xf numFmtId="14" fontId="7" fillId="10" borderId="1" xfId="0" applyNumberFormat="1" applyFont="1" applyFill="1" applyBorder="1"/>
    <xf numFmtId="0" fontId="8" fillId="10" borderId="0" xfId="0" applyFont="1" applyFill="1"/>
    <xf numFmtId="49" fontId="7" fillId="10" borderId="1" xfId="0" applyNumberFormat="1" applyFont="1" applyFill="1" applyBorder="1"/>
    <xf numFmtId="0" fontId="8" fillId="10" borderId="0" xfId="0" applyFont="1" applyFill="1" applyAlignment="1">
      <alignment wrapText="1"/>
    </xf>
    <xf numFmtId="164" fontId="7" fillId="10" borderId="1" xfId="0" applyNumberFormat="1" applyFont="1" applyFill="1" applyBorder="1" applyAlignment="1">
      <alignment vertical="center" wrapText="1"/>
    </xf>
    <xf numFmtId="164" fontId="7" fillId="10" borderId="0" xfId="0" applyNumberFormat="1" applyFont="1" applyFill="1" applyAlignment="1">
      <alignment vertical="center" wrapText="1"/>
    </xf>
    <xf numFmtId="169" fontId="7" fillId="4" borderId="1" xfId="0" applyNumberFormat="1" applyFont="1" applyFill="1" applyBorder="1" applyAlignment="1">
      <alignment horizontal="left" vertical="top" wrapText="1"/>
    </xf>
    <xf numFmtId="49" fontId="30" fillId="4" borderId="1" xfId="0" applyNumberFormat="1" applyFont="1" applyFill="1" applyBorder="1" applyAlignment="1">
      <alignment vertical="center" wrapText="1"/>
    </xf>
    <xf numFmtId="0" fontId="16" fillId="0" borderId="0" xfId="0" applyFont="1" applyAlignment="1">
      <alignment horizontal="left" vertical="top" wrapText="1"/>
    </xf>
    <xf numFmtId="0" fontId="15" fillId="0" borderId="0" xfId="0" applyFont="1" applyAlignment="1">
      <alignment vertical="top" wrapText="1"/>
    </xf>
    <xf numFmtId="0" fontId="7" fillId="0" borderId="1" xfId="0" applyFont="1" applyBorder="1" applyAlignment="1">
      <alignment vertical="center" wrapText="1"/>
    </xf>
    <xf numFmtId="0" fontId="8" fillId="2" borderId="1" xfId="0" applyFont="1" applyFill="1" applyBorder="1" applyAlignment="1">
      <alignment vertical="center" wrapText="1"/>
    </xf>
    <xf numFmtId="0" fontId="7" fillId="0" borderId="1" xfId="0" applyFont="1" applyBorder="1" applyAlignment="1">
      <alignment vertical="center" wrapText="1"/>
    </xf>
    <xf numFmtId="0" fontId="8" fillId="2" borderId="1" xfId="0" applyFont="1" applyFill="1" applyBorder="1" applyAlignment="1">
      <alignment vertical="center" wrapText="1"/>
    </xf>
    <xf numFmtId="0" fontId="16" fillId="0" borderId="0" xfId="0" applyFont="1" applyAlignment="1">
      <alignment horizontal="center" vertical="center" wrapText="1"/>
    </xf>
    <xf numFmtId="0" fontId="15" fillId="0" borderId="0" xfId="0" applyFont="1" applyAlignment="1">
      <alignment vertical="top" wrapText="1"/>
    </xf>
    <xf numFmtId="0" fontId="15" fillId="0" borderId="0" xfId="0" applyFont="1" applyAlignment="1">
      <alignment horizontal="left" vertical="center" wrapText="1"/>
    </xf>
    <xf numFmtId="0" fontId="15" fillId="0" borderId="0" xfId="0" applyFont="1" applyAlignment="1">
      <alignment horizontal="justify" vertical="top" wrapText="1"/>
    </xf>
    <xf numFmtId="0" fontId="15" fillId="0" borderId="0" xfId="0" applyFont="1" applyAlignment="1">
      <alignment horizontal="left" vertical="top" wrapText="1"/>
    </xf>
    <xf numFmtId="0" fontId="15" fillId="0" borderId="0" xfId="0" applyFont="1" applyAlignment="1">
      <alignment vertical="top" wrapText="1"/>
    </xf>
    <xf numFmtId="0" fontId="46" fillId="0" borderId="0" xfId="0" applyFont="1" applyAlignment="1">
      <alignment horizontal="justify" vertical="top" wrapText="1"/>
    </xf>
    <xf numFmtId="0" fontId="16" fillId="0" borderId="0" xfId="0" applyFont="1" applyAlignment="1">
      <alignment horizontal="left"/>
    </xf>
    <xf numFmtId="0" fontId="16" fillId="0" borderId="0" xfId="0" applyFont="1" applyAlignment="1">
      <alignment horizontal="left" wrapText="1"/>
    </xf>
    <xf numFmtId="0" fontId="15" fillId="0" borderId="0" xfId="0" applyFont="1" applyAlignment="1">
      <alignment horizontal="justify" vertical="top" wrapText="1"/>
    </xf>
    <xf numFmtId="0" fontId="15" fillId="0" borderId="0" xfId="0" applyFont="1" applyAlignment="1">
      <alignment horizontal="left" vertical="center" wrapText="1"/>
    </xf>
    <xf numFmtId="0" fontId="16" fillId="0" borderId="0" xfId="0" applyFont="1" applyAlignment="1">
      <alignment horizontal="center" vertical="center" wrapText="1"/>
    </xf>
    <xf numFmtId="0" fontId="15" fillId="0" borderId="0" xfId="0" applyFont="1" applyAlignment="1">
      <alignment horizontal="left" vertical="top" wrapText="1"/>
    </xf>
    <xf numFmtId="0" fontId="35" fillId="0" borderId="0" xfId="0" applyFont="1" applyAlignment="1">
      <alignment horizontal="center" vertical="center" wrapText="1"/>
    </xf>
    <xf numFmtId="0" fontId="28" fillId="0" borderId="0" xfId="0" applyFont="1" applyAlignment="1">
      <alignment horizontal="center"/>
    </xf>
    <xf numFmtId="0" fontId="28" fillId="0" borderId="0" xfId="0" applyFont="1" applyAlignment="1">
      <alignment horizontal="center" vertical="top" wrapText="1"/>
    </xf>
    <xf numFmtId="0" fontId="28" fillId="0" borderId="0" xfId="0" applyFont="1" applyAlignment="1">
      <alignment horizontal="left" wrapText="1"/>
    </xf>
    <xf numFmtId="0" fontId="37" fillId="0" borderId="0" xfId="0" applyFont="1" applyAlignment="1">
      <alignment horizontal="center" vertical="top" wrapText="1"/>
    </xf>
    <xf numFmtId="0" fontId="28" fillId="0" borderId="0" xfId="0" applyFont="1" applyAlignment="1">
      <alignment horizontal="center" wrapText="1"/>
    </xf>
    <xf numFmtId="0" fontId="35" fillId="0" borderId="0" xfId="0" applyFont="1" applyAlignment="1">
      <alignment horizontal="center" vertical="top" wrapText="1"/>
    </xf>
    <xf numFmtId="0" fontId="28" fillId="0" borderId="0" xfId="0" applyFont="1" applyAlignment="1">
      <alignment horizontal="justify" vertical="top" wrapText="1"/>
    </xf>
    <xf numFmtId="0" fontId="36" fillId="0" borderId="0" xfId="0" applyFont="1" applyAlignment="1">
      <alignment horizontal="center" vertical="center" wrapText="1"/>
    </xf>
    <xf numFmtId="0" fontId="35" fillId="0" borderId="0" xfId="0" applyFont="1" applyAlignment="1">
      <alignment horizontal="center" wrapText="1"/>
    </xf>
    <xf numFmtId="0" fontId="35" fillId="0" borderId="0" xfId="0" applyFont="1" applyAlignment="1">
      <alignment horizontal="right"/>
    </xf>
    <xf numFmtId="0" fontId="35" fillId="0" borderId="0" xfId="0" applyFont="1" applyAlignment="1">
      <alignment horizontal="center"/>
    </xf>
    <xf numFmtId="0" fontId="28" fillId="0" borderId="1" xfId="0" applyFont="1" applyBorder="1" applyAlignment="1">
      <alignment horizontal="center" vertical="center"/>
    </xf>
    <xf numFmtId="0" fontId="28" fillId="0" borderId="1" xfId="0" applyFont="1" applyBorder="1" applyAlignment="1">
      <alignment horizontal="center" vertical="center" wrapText="1"/>
    </xf>
    <xf numFmtId="0" fontId="28" fillId="0" borderId="1" xfId="0" applyFont="1" applyBorder="1" applyAlignment="1">
      <alignment horizontal="center"/>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15" fillId="0" borderId="0" xfId="0" applyFont="1" applyAlignment="1">
      <alignment horizontal="center"/>
    </xf>
    <xf numFmtId="0" fontId="15" fillId="0" borderId="0" xfId="0" applyFont="1" applyAlignment="1">
      <alignment horizontal="center" vertical="top" wrapText="1"/>
    </xf>
    <xf numFmtId="0" fontId="15" fillId="0" borderId="0" xfId="0" applyFont="1" applyAlignment="1">
      <alignment horizontal="left" wrapText="1"/>
    </xf>
    <xf numFmtId="0" fontId="20" fillId="0" borderId="0" xfId="0" applyFont="1" applyAlignment="1">
      <alignment horizontal="center" vertical="top" wrapText="1"/>
    </xf>
    <xf numFmtId="0" fontId="15" fillId="0" borderId="0" xfId="0" applyFont="1" applyAlignment="1">
      <alignment horizontal="center" wrapText="1"/>
    </xf>
    <xf numFmtId="0" fontId="16" fillId="0" borderId="0" xfId="0" applyFont="1" applyAlignment="1">
      <alignment horizontal="center" vertical="top" wrapText="1"/>
    </xf>
    <xf numFmtId="0" fontId="21" fillId="0" borderId="0" xfId="0" applyFont="1" applyAlignment="1">
      <alignment horizontal="center" vertical="center" wrapText="1"/>
    </xf>
    <xf numFmtId="0" fontId="16" fillId="0" borderId="0" xfId="0" applyFont="1" applyAlignment="1">
      <alignment horizontal="center" wrapText="1"/>
    </xf>
    <xf numFmtId="0" fontId="16" fillId="0" borderId="0" xfId="0" applyFont="1" applyAlignment="1">
      <alignment horizontal="right"/>
    </xf>
    <xf numFmtId="0" fontId="16" fillId="0" borderId="0" xfId="0" applyFont="1" applyAlignment="1">
      <alignment horizontal="center"/>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15" fillId="0" borderId="1" xfId="0" applyFont="1" applyBorder="1" applyAlignment="1">
      <alignment horizontal="center"/>
    </xf>
    <xf numFmtId="0" fontId="18" fillId="0" borderId="0" xfId="0" applyFont="1" applyAlignment="1">
      <alignment horizontal="justify" vertical="top" wrapText="1"/>
    </xf>
    <xf numFmtId="0" fontId="17" fillId="0" borderId="0" xfId="0" applyFont="1" applyAlignment="1">
      <alignment horizontal="center" vertical="top" wrapText="1"/>
    </xf>
    <xf numFmtId="0" fontId="18" fillId="0" borderId="0" xfId="0" applyFont="1" applyAlignment="1">
      <alignment horizontal="left" vertical="top" wrapText="1"/>
    </xf>
    <xf numFmtId="0" fontId="18" fillId="0" borderId="0" xfId="0" applyFont="1" applyAlignment="1">
      <alignment horizontal="center" vertical="top" wrapText="1"/>
    </xf>
    <xf numFmtId="0" fontId="18" fillId="0" borderId="4" xfId="0" applyFont="1" applyBorder="1" applyAlignment="1">
      <alignment horizontal="center" vertical="top" wrapText="1"/>
    </xf>
    <xf numFmtId="49" fontId="18" fillId="0" borderId="0" xfId="0" applyNumberFormat="1" applyFont="1" applyAlignment="1">
      <alignment horizontal="center" vertical="center" wrapText="1"/>
    </xf>
    <xf numFmtId="0" fontId="29" fillId="0" borderId="0" xfId="0" applyFont="1" applyAlignment="1">
      <alignment horizontal="justify" vertical="center" wrapText="1"/>
    </xf>
    <xf numFmtId="0" fontId="29" fillId="0" borderId="1" xfId="0" applyFont="1" applyBorder="1" applyAlignment="1">
      <alignment horizontal="justify" vertical="center" wrapText="1"/>
    </xf>
    <xf numFmtId="0" fontId="29" fillId="0" borderId="17" xfId="0" applyFont="1" applyBorder="1" applyAlignment="1">
      <alignment horizontal="justify" vertical="center" wrapText="1"/>
    </xf>
    <xf numFmtId="0" fontId="29" fillId="0" borderId="11" xfId="0" applyFont="1" applyBorder="1" applyAlignment="1">
      <alignment horizontal="justify"/>
    </xf>
    <xf numFmtId="0" fontId="29" fillId="0" borderId="0" xfId="0" applyFont="1" applyAlignment="1">
      <alignment horizontal="center"/>
    </xf>
    <xf numFmtId="0" fontId="29" fillId="0" borderId="3" xfId="0" applyFont="1" applyBorder="1" applyAlignment="1">
      <alignment horizontal="justify" vertical="center" wrapText="1"/>
    </xf>
    <xf numFmtId="0" fontId="29" fillId="0" borderId="18" xfId="0" applyFont="1" applyBorder="1" applyAlignment="1">
      <alignment horizontal="justify" vertical="center" wrapText="1"/>
    </xf>
    <xf numFmtId="0" fontId="29" fillId="0" borderId="2" xfId="0" applyFont="1" applyBorder="1" applyAlignment="1">
      <alignment horizontal="justify" vertical="center" wrapText="1"/>
    </xf>
    <xf numFmtId="0" fontId="29" fillId="0" borderId="3" xfId="0" applyFont="1" applyBorder="1" applyAlignment="1">
      <alignment horizontal="justify" vertical="center"/>
    </xf>
    <xf numFmtId="0" fontId="29" fillId="0" borderId="2" xfId="0" applyFont="1" applyBorder="1" applyAlignment="1">
      <alignment horizontal="justify" vertical="center"/>
    </xf>
    <xf numFmtId="0" fontId="29" fillId="0" borderId="21" xfId="0" applyFont="1" applyBorder="1" applyAlignment="1">
      <alignment horizontal="justify" vertical="center"/>
    </xf>
    <xf numFmtId="0" fontId="29" fillId="0" borderId="17" xfId="0" applyFont="1" applyBorder="1" applyAlignment="1">
      <alignment horizontal="justify" vertical="center"/>
    </xf>
    <xf numFmtId="0" fontId="29" fillId="0" borderId="22" xfId="0" applyFont="1" applyBorder="1" applyAlignment="1">
      <alignment horizontal="justify" vertical="center"/>
    </xf>
    <xf numFmtId="0" fontId="29" fillId="0" borderId="20" xfId="0" applyFont="1" applyBorder="1" applyAlignment="1">
      <alignment horizontal="justify" vertical="center"/>
    </xf>
    <xf numFmtId="0" fontId="29" fillId="0" borderId="4" xfId="0" applyFont="1" applyBorder="1" applyAlignment="1">
      <alignment horizontal="justify" vertical="center"/>
    </xf>
    <xf numFmtId="0" fontId="29" fillId="0" borderId="23" xfId="0" applyFont="1" applyBorder="1" applyAlignment="1">
      <alignment horizontal="justify" vertical="center"/>
    </xf>
    <xf numFmtId="0" fontId="10" fillId="0" borderId="0" xfId="0" applyFont="1" applyAlignment="1">
      <alignment horizontal="center"/>
    </xf>
    <xf numFmtId="0" fontId="10" fillId="0" borderId="0" xfId="0" applyFont="1" applyAlignment="1">
      <alignment horizontal="right" vertical="top" wrapText="1"/>
    </xf>
    <xf numFmtId="0" fontId="9" fillId="0" borderId="0" xfId="0" applyFont="1" applyAlignment="1">
      <alignment horizontal="justify" wrapText="1"/>
    </xf>
    <xf numFmtId="0" fontId="9" fillId="0" borderId="0" xfId="0" applyFont="1" applyAlignment="1">
      <alignment horizontal="justify" vertical="top" wrapText="1"/>
    </xf>
    <xf numFmtId="0" fontId="10" fillId="0" borderId="0" xfId="0" applyFont="1" applyAlignment="1">
      <alignment horizontal="left" vertical="center" wrapText="1"/>
    </xf>
    <xf numFmtId="0" fontId="15" fillId="0" borderId="0" xfId="0" applyFont="1" applyAlignment="1">
      <alignment horizontal="center" vertical="center"/>
    </xf>
    <xf numFmtId="49" fontId="15" fillId="0" borderId="0" xfId="0" applyNumberFormat="1" applyFont="1" applyAlignment="1">
      <alignment horizontal="justify" vertical="top" wrapText="1"/>
    </xf>
    <xf numFmtId="0" fontId="10" fillId="0" borderId="0" xfId="0" applyFont="1" applyAlignment="1">
      <alignment horizontal="center" vertical="center"/>
    </xf>
    <xf numFmtId="0" fontId="9" fillId="0" borderId="0" xfId="0" applyFont="1" applyAlignment="1">
      <alignment horizontal="left" vertical="top" wrapText="1"/>
    </xf>
    <xf numFmtId="0" fontId="29" fillId="0" borderId="0" xfId="0" applyFont="1" applyAlignment="1">
      <alignment horizontal="left" vertical="top" wrapText="1"/>
    </xf>
    <xf numFmtId="49" fontId="9" fillId="0" borderId="0" xfId="0" applyNumberFormat="1" applyFont="1" applyAlignment="1">
      <alignment horizontal="left" vertical="top" wrapText="1"/>
    </xf>
    <xf numFmtId="0" fontId="10" fillId="0" borderId="0" xfId="0" applyFont="1" applyAlignment="1">
      <alignment horizontal="center" vertical="center" wrapText="1"/>
    </xf>
    <xf numFmtId="0" fontId="9" fillId="0" borderId="0" xfId="0" applyFont="1" applyAlignment="1">
      <alignment horizontal="left" wrapText="1"/>
    </xf>
    <xf numFmtId="0" fontId="9" fillId="0" borderId="0" xfId="0" applyFont="1" applyAlignment="1">
      <alignment vertical="top" wrapText="1"/>
    </xf>
    <xf numFmtId="0" fontId="29" fillId="5" borderId="0" xfId="0" applyFont="1" applyFill="1" applyAlignment="1">
      <alignment horizontal="left" vertical="top" wrapText="1"/>
    </xf>
    <xf numFmtId="0" fontId="33" fillId="0" borderId="0" xfId="0" applyFont="1" applyAlignment="1">
      <alignment horizontal="center" vertical="top" wrapText="1"/>
    </xf>
    <xf numFmtId="0" fontId="10" fillId="0" borderId="0" xfId="0" applyFont="1" applyAlignment="1">
      <alignment horizontal="center" vertical="top" wrapText="1"/>
    </xf>
    <xf numFmtId="0" fontId="33" fillId="0" borderId="0" xfId="0" applyFont="1" applyAlignment="1">
      <alignment horizontal="left"/>
    </xf>
    <xf numFmtId="0" fontId="10" fillId="0" borderId="0" xfId="0" applyFont="1" applyAlignment="1">
      <alignment horizontal="center" wrapText="1"/>
    </xf>
    <xf numFmtId="0" fontId="10" fillId="0" borderId="0" xfId="0" applyFont="1" applyAlignment="1">
      <alignment horizontal="left" wrapText="1"/>
    </xf>
    <xf numFmtId="0" fontId="54" fillId="0" borderId="0" xfId="0" applyFont="1" applyAlignment="1">
      <alignment horizontal="center" wrapText="1"/>
    </xf>
    <xf numFmtId="0" fontId="16" fillId="0" borderId="0" xfId="0" applyFont="1" applyAlignment="1">
      <alignment horizontal="left" vertical="top" wrapText="1"/>
    </xf>
    <xf numFmtId="0" fontId="16" fillId="0" borderId="0" xfId="0" applyFont="1" applyAlignment="1">
      <alignment horizontal="right" vertical="center" wrapText="1"/>
    </xf>
    <xf numFmtId="0" fontId="9" fillId="0" borderId="0" xfId="0" applyFont="1" applyAlignment="1">
      <alignment horizontal="left" vertical="center" wrapText="1"/>
    </xf>
    <xf numFmtId="0" fontId="16" fillId="0" borderId="3" xfId="0" applyFont="1" applyBorder="1" applyAlignment="1">
      <alignment horizontal="center" vertical="center" wrapText="1"/>
    </xf>
    <xf numFmtId="0" fontId="16" fillId="0" borderId="2" xfId="0" applyFont="1" applyBorder="1" applyAlignment="1">
      <alignment horizontal="center" vertical="center" wrapText="1"/>
    </xf>
    <xf numFmtId="0" fontId="26" fillId="0" borderId="0" xfId="0" applyFont="1" applyAlignment="1">
      <alignment horizontal="right" vertical="top" wrapText="1"/>
    </xf>
    <xf numFmtId="0" fontId="15" fillId="0" borderId="13" xfId="0" applyFont="1" applyBorder="1" applyAlignment="1">
      <alignment horizontal="center" vertical="center" wrapText="1"/>
    </xf>
    <xf numFmtId="0" fontId="15" fillId="0" borderId="14" xfId="0" applyFont="1" applyBorder="1" applyAlignment="1">
      <alignment horizontal="center" vertical="center" wrapText="1"/>
    </xf>
    <xf numFmtId="0" fontId="15" fillId="0" borderId="15" xfId="0" applyFont="1" applyBorder="1" applyAlignment="1">
      <alignment horizontal="center" vertical="center" wrapText="1"/>
    </xf>
    <xf numFmtId="0" fontId="16" fillId="0" borderId="0" xfId="0" applyFont="1" applyAlignment="1">
      <alignment horizontal="right" vertical="top" wrapText="1"/>
    </xf>
    <xf numFmtId="0" fontId="16" fillId="0" borderId="10" xfId="0" applyFont="1" applyBorder="1" applyAlignment="1">
      <alignment horizontal="center" wrapText="1"/>
    </xf>
    <xf numFmtId="0" fontId="16" fillId="0" borderId="11" xfId="0" applyFont="1" applyBorder="1" applyAlignment="1">
      <alignment horizontal="center" wrapText="1"/>
    </xf>
    <xf numFmtId="0" fontId="16" fillId="0" borderId="12" xfId="0" applyFont="1" applyBorder="1" applyAlignment="1">
      <alignment horizontal="center" wrapText="1"/>
    </xf>
    <xf numFmtId="0" fontId="15" fillId="0" borderId="8" xfId="0" applyFont="1" applyBorder="1" applyAlignment="1">
      <alignment horizontal="center" wrapText="1"/>
    </xf>
    <xf numFmtId="0" fontId="15" fillId="0" borderId="9" xfId="0" applyFont="1" applyBorder="1" applyAlignment="1">
      <alignment horizontal="center" wrapText="1"/>
    </xf>
    <xf numFmtId="0" fontId="16" fillId="0" borderId="8" xfId="0" applyFont="1" applyBorder="1" applyAlignment="1">
      <alignment horizontal="left" wrapText="1"/>
    </xf>
    <xf numFmtId="0" fontId="16" fillId="0" borderId="9" xfId="0" applyFont="1" applyBorder="1" applyAlignment="1">
      <alignment horizontal="left" wrapText="1"/>
    </xf>
    <xf numFmtId="0" fontId="24" fillId="0" borderId="8" xfId="0" applyFont="1" applyBorder="1" applyAlignment="1">
      <alignment horizontal="center" wrapText="1"/>
    </xf>
    <xf numFmtId="0" fontId="24" fillId="0" borderId="0" xfId="0" applyFont="1" applyAlignment="1">
      <alignment horizontal="center" wrapText="1"/>
    </xf>
    <xf numFmtId="0" fontId="24" fillId="0" borderId="9" xfId="0" applyFont="1" applyBorder="1" applyAlignment="1">
      <alignment horizontal="center" wrapText="1"/>
    </xf>
    <xf numFmtId="0" fontId="25" fillId="0" borderId="5" xfId="0" applyFont="1" applyBorder="1" applyAlignment="1">
      <alignment horizontal="center" wrapText="1"/>
    </xf>
    <xf numFmtId="0" fontId="25" fillId="0" borderId="6" xfId="0" applyFont="1" applyBorder="1" applyAlignment="1">
      <alignment horizontal="center" wrapText="1"/>
    </xf>
    <xf numFmtId="0" fontId="25" fillId="0" borderId="7" xfId="0" applyFont="1" applyBorder="1" applyAlignment="1">
      <alignment horizontal="center" wrapText="1"/>
    </xf>
    <xf numFmtId="0" fontId="34" fillId="0" borderId="8" xfId="0" applyFont="1" applyBorder="1" applyAlignment="1">
      <alignment horizontal="center" wrapText="1"/>
    </xf>
    <xf numFmtId="0" fontId="34" fillId="0" borderId="0" xfId="0" applyFont="1" applyAlignment="1">
      <alignment horizontal="center" wrapText="1"/>
    </xf>
    <xf numFmtId="0" fontId="34" fillId="0" borderId="9" xfId="0" applyFont="1" applyBorder="1" applyAlignment="1">
      <alignment horizontal="center" wrapText="1"/>
    </xf>
    <xf numFmtId="0" fontId="40" fillId="0" borderId="0" xfId="0" applyFont="1" applyAlignment="1">
      <alignment vertical="center" wrapText="1"/>
    </xf>
    <xf numFmtId="0" fontId="39" fillId="0" borderId="0" xfId="0" applyFont="1" applyAlignment="1">
      <alignment horizontal="justify" vertical="center" wrapText="1"/>
    </xf>
    <xf numFmtId="0" fontId="15" fillId="0" borderId="0" xfId="0" applyFont="1" applyAlignment="1">
      <alignment vertical="top" wrapText="1"/>
    </xf>
    <xf numFmtId="0" fontId="40" fillId="0" borderId="0" xfId="0" applyFont="1" applyAlignment="1">
      <alignment horizontal="justify" vertical="center" wrapText="1"/>
    </xf>
    <xf numFmtId="0" fontId="39" fillId="0" borderId="0" xfId="0" applyFont="1" applyAlignment="1">
      <alignment horizontal="justify" vertical="top" wrapText="1"/>
    </xf>
    <xf numFmtId="0" fontId="15" fillId="0" borderId="0" xfId="0" applyFont="1" applyAlignment="1">
      <alignment horizontal="left"/>
    </xf>
    <xf numFmtId="0" fontId="18" fillId="0" borderId="0" xfId="0" applyFont="1" applyAlignment="1">
      <alignment horizontal="left" wrapText="1"/>
    </xf>
    <xf numFmtId="0" fontId="17" fillId="0" borderId="4" xfId="0" applyFont="1" applyBorder="1" applyAlignment="1">
      <alignment horizontal="left" vertical="top"/>
    </xf>
    <xf numFmtId="0" fontId="17" fillId="8" borderId="3" xfId="0" applyFont="1" applyFill="1" applyBorder="1" applyAlignment="1">
      <alignment horizontal="center" vertical="center" wrapText="1"/>
    </xf>
    <xf numFmtId="0" fontId="17" fillId="8" borderId="2" xfId="0" applyFont="1" applyFill="1" applyBorder="1" applyAlignment="1">
      <alignment horizontal="center" vertical="center" wrapText="1"/>
    </xf>
    <xf numFmtId="0" fontId="18" fillId="0" borderId="1" xfId="0" applyFont="1" applyBorder="1" applyAlignment="1">
      <alignment horizontal="center" vertical="center" wrapText="1"/>
    </xf>
    <xf numFmtId="0" fontId="18" fillId="0" borderId="0" xfId="0" applyFont="1" applyAlignment="1">
      <alignment horizontal="left"/>
    </xf>
    <xf numFmtId="0" fontId="18" fillId="0" borderId="0" xfId="0" applyFont="1" applyAlignment="1">
      <alignment horizontal="justify" vertical="top" wrapText="1" readingOrder="1"/>
    </xf>
    <xf numFmtId="0" fontId="17" fillId="0" borderId="0" xfId="0" applyFont="1" applyAlignment="1">
      <alignment horizontal="center" wrapText="1"/>
    </xf>
    <xf numFmtId="0" fontId="42" fillId="0" borderId="0" xfId="0" applyFont="1" applyAlignment="1">
      <alignment horizontal="left" vertical="center" wrapText="1" readingOrder="1"/>
    </xf>
    <xf numFmtId="0" fontId="18" fillId="0" borderId="3" xfId="0" applyFont="1" applyBorder="1" applyAlignment="1">
      <alignment horizontal="center" vertical="center" wrapText="1"/>
    </xf>
    <xf numFmtId="0" fontId="18" fillId="0" borderId="2" xfId="0" applyFont="1" applyBorder="1" applyAlignment="1">
      <alignment horizontal="center" vertical="center" wrapText="1"/>
    </xf>
    <xf numFmtId="0" fontId="16" fillId="0" borderId="0" xfId="0" applyFont="1" applyAlignment="1">
      <alignment wrapText="1"/>
    </xf>
    <xf numFmtId="0" fontId="8" fillId="2" borderId="1" xfId="0" applyFont="1" applyFill="1" applyBorder="1" applyAlignment="1">
      <alignment vertical="center"/>
    </xf>
    <xf numFmtId="0" fontId="15" fillId="0" borderId="0" xfId="0" applyFont="1" applyAlignment="1">
      <alignment vertical="center"/>
    </xf>
    <xf numFmtId="0" fontId="16" fillId="0" borderId="0" xfId="0" applyFont="1" applyAlignment="1">
      <alignment horizontal="left" vertical="top"/>
    </xf>
    <xf numFmtId="0" fontId="15" fillId="0" borderId="0" xfId="0" applyFont="1" applyFill="1" applyAlignment="1"/>
  </cellXfs>
  <cellStyles count="1786">
    <cellStyle name="Обычный" xfId="0" builtinId="0"/>
    <cellStyle name="Обычный 10" xfId="72" xr:uid="{00000000-0005-0000-0000-000001000000}"/>
    <cellStyle name="Обычный 10 2" xfId="208" xr:uid="{00000000-0005-0000-0000-000002000000}"/>
    <cellStyle name="Обычный 10 2 2" xfId="480" xr:uid="{00000000-0005-0000-0000-000003000000}"/>
    <cellStyle name="Обычный 10 2 2 2" xfId="591" xr:uid="{00000000-0005-0000-0000-000004000000}"/>
    <cellStyle name="Обычный 10 2 3" xfId="575" xr:uid="{00000000-0005-0000-0000-000005000000}"/>
    <cellStyle name="Обычный 10 2 4" xfId="1712" xr:uid="{00000000-0005-0000-0000-000006000000}"/>
    <cellStyle name="Обычный 10 3" xfId="344" xr:uid="{00000000-0005-0000-0000-000007000000}"/>
    <cellStyle name="Обычный 10 3 2" xfId="583" xr:uid="{00000000-0005-0000-0000-000008000000}"/>
    <cellStyle name="Обычный 10 4" xfId="601" xr:uid="{00000000-0005-0000-0000-000009000000}"/>
    <cellStyle name="Обычный 10 4 2" xfId="1055" xr:uid="{00000000-0005-0000-0000-00000A000000}"/>
    <cellStyle name="Обычный 10 5" xfId="567" xr:uid="{00000000-0005-0000-0000-00000B000000}"/>
    <cellStyle name="Обычный 10 6" xfId="1576" xr:uid="{00000000-0005-0000-0000-00000C000000}"/>
    <cellStyle name="Обычный 10 7" xfId="803" xr:uid="{00000000-0005-0000-0000-00000D000000}"/>
    <cellStyle name="Обычный 11" xfId="73" xr:uid="{00000000-0005-0000-0000-00000E000000}"/>
    <cellStyle name="Обычный 11 2" xfId="209" xr:uid="{00000000-0005-0000-0000-00000F000000}"/>
    <cellStyle name="Обычный 11 2 2" xfId="481" xr:uid="{00000000-0005-0000-0000-000010000000}"/>
    <cellStyle name="Обычный 11 2 2 2" xfId="592" xr:uid="{00000000-0005-0000-0000-000011000000}"/>
    <cellStyle name="Обычный 11 2 3" xfId="576" xr:uid="{00000000-0005-0000-0000-000012000000}"/>
    <cellStyle name="Обычный 11 2 4" xfId="1713" xr:uid="{00000000-0005-0000-0000-000013000000}"/>
    <cellStyle name="Обычный 11 3" xfId="345" xr:uid="{00000000-0005-0000-0000-000014000000}"/>
    <cellStyle name="Обычный 11 3 2" xfId="584" xr:uid="{00000000-0005-0000-0000-000015000000}"/>
    <cellStyle name="Обычный 11 4" xfId="617" xr:uid="{00000000-0005-0000-0000-000016000000}"/>
    <cellStyle name="Обычный 11 4 2" xfId="1056" xr:uid="{00000000-0005-0000-0000-000017000000}"/>
    <cellStyle name="Обычный 11 5" xfId="568" xr:uid="{00000000-0005-0000-0000-000018000000}"/>
    <cellStyle name="Обычный 11 6" xfId="1577" xr:uid="{00000000-0005-0000-0000-000019000000}"/>
    <cellStyle name="Обычный 11 7" xfId="804" xr:uid="{00000000-0005-0000-0000-00001A000000}"/>
    <cellStyle name="Обычный 12" xfId="593" xr:uid="{00000000-0005-0000-0000-00001B000000}"/>
    <cellStyle name="Обычный 2" xfId="63" xr:uid="{00000000-0005-0000-0000-00001C000000}"/>
    <cellStyle name="Обычный 2 2" xfId="615" xr:uid="{00000000-0005-0000-0000-00001D000000}"/>
    <cellStyle name="Обычный 3" xfId="64" xr:uid="{00000000-0005-0000-0000-00001E000000}"/>
    <cellStyle name="Обычный 3 2" xfId="600" xr:uid="{00000000-0005-0000-0000-00001F000000}"/>
    <cellStyle name="Обычный 4" xfId="66" xr:uid="{00000000-0005-0000-0000-000020000000}"/>
    <cellStyle name="Обычный 4 2" xfId="202" xr:uid="{00000000-0005-0000-0000-000021000000}"/>
    <cellStyle name="Обычный 4 2 2" xfId="474" xr:uid="{00000000-0005-0000-0000-000022000000}"/>
    <cellStyle name="Обычный 4 2 2 2" xfId="585" xr:uid="{00000000-0005-0000-0000-000023000000}"/>
    <cellStyle name="Обычный 4 2 3" xfId="569" xr:uid="{00000000-0005-0000-0000-000024000000}"/>
    <cellStyle name="Обычный 4 2 4" xfId="1706" xr:uid="{00000000-0005-0000-0000-000025000000}"/>
    <cellStyle name="Обычный 4 3" xfId="338" xr:uid="{00000000-0005-0000-0000-000026000000}"/>
    <cellStyle name="Обычный 4 3 2" xfId="577" xr:uid="{00000000-0005-0000-0000-000027000000}"/>
    <cellStyle name="Обычный 4 4" xfId="594" xr:uid="{00000000-0005-0000-0000-000028000000}"/>
    <cellStyle name="Обычный 4 4 2" xfId="1049" xr:uid="{00000000-0005-0000-0000-000029000000}"/>
    <cellStyle name="Обычный 4 5" xfId="561" xr:uid="{00000000-0005-0000-0000-00002A000000}"/>
    <cellStyle name="Обычный 4 6" xfId="1570" xr:uid="{00000000-0005-0000-0000-00002B000000}"/>
    <cellStyle name="Обычный 4 7" xfId="797" xr:uid="{00000000-0005-0000-0000-00002C000000}"/>
    <cellStyle name="Обычный 5" xfId="67" xr:uid="{00000000-0005-0000-0000-00002D000000}"/>
    <cellStyle name="Обычный 5 2" xfId="203" xr:uid="{00000000-0005-0000-0000-00002E000000}"/>
    <cellStyle name="Обычный 5 2 2" xfId="475" xr:uid="{00000000-0005-0000-0000-00002F000000}"/>
    <cellStyle name="Обычный 5 2 2 2" xfId="586" xr:uid="{00000000-0005-0000-0000-000030000000}"/>
    <cellStyle name="Обычный 5 2 3" xfId="570" xr:uid="{00000000-0005-0000-0000-000031000000}"/>
    <cellStyle name="Обычный 5 2 4" xfId="1707" xr:uid="{00000000-0005-0000-0000-000032000000}"/>
    <cellStyle name="Обычный 5 3" xfId="339" xr:uid="{00000000-0005-0000-0000-000033000000}"/>
    <cellStyle name="Обычный 5 3 2" xfId="578" xr:uid="{00000000-0005-0000-0000-000034000000}"/>
    <cellStyle name="Обычный 5 4" xfId="597" xr:uid="{00000000-0005-0000-0000-000035000000}"/>
    <cellStyle name="Обычный 5 4 2" xfId="1050" xr:uid="{00000000-0005-0000-0000-000036000000}"/>
    <cellStyle name="Обычный 5 5" xfId="562" xr:uid="{00000000-0005-0000-0000-000037000000}"/>
    <cellStyle name="Обычный 5 6" xfId="1571" xr:uid="{00000000-0005-0000-0000-000038000000}"/>
    <cellStyle name="Обычный 5 7" xfId="798" xr:uid="{00000000-0005-0000-0000-000039000000}"/>
    <cellStyle name="Обычный 6" xfId="68" xr:uid="{00000000-0005-0000-0000-00003A000000}"/>
    <cellStyle name="Обычный 6 2" xfId="204" xr:uid="{00000000-0005-0000-0000-00003B000000}"/>
    <cellStyle name="Обычный 6 2 2" xfId="476" xr:uid="{00000000-0005-0000-0000-00003C000000}"/>
    <cellStyle name="Обычный 6 2 2 2" xfId="587" xr:uid="{00000000-0005-0000-0000-00003D000000}"/>
    <cellStyle name="Обычный 6 2 3" xfId="571" xr:uid="{00000000-0005-0000-0000-00003E000000}"/>
    <cellStyle name="Обычный 6 2 4" xfId="1708" xr:uid="{00000000-0005-0000-0000-00003F000000}"/>
    <cellStyle name="Обычный 6 3" xfId="340" xr:uid="{00000000-0005-0000-0000-000040000000}"/>
    <cellStyle name="Обычный 6 3 2" xfId="579" xr:uid="{00000000-0005-0000-0000-000041000000}"/>
    <cellStyle name="Обычный 6 4" xfId="603" xr:uid="{00000000-0005-0000-0000-000042000000}"/>
    <cellStyle name="Обычный 6 4 2" xfId="1051" xr:uid="{00000000-0005-0000-0000-000043000000}"/>
    <cellStyle name="Обычный 6 5" xfId="563" xr:uid="{00000000-0005-0000-0000-000044000000}"/>
    <cellStyle name="Обычный 6 6" xfId="1572" xr:uid="{00000000-0005-0000-0000-000045000000}"/>
    <cellStyle name="Обычный 6 7" xfId="799" xr:uid="{00000000-0005-0000-0000-000046000000}"/>
    <cellStyle name="Обычный 7" xfId="69" xr:uid="{00000000-0005-0000-0000-000047000000}"/>
    <cellStyle name="Обычный 7 2" xfId="205" xr:uid="{00000000-0005-0000-0000-000048000000}"/>
    <cellStyle name="Обычный 7 2 2" xfId="477" xr:uid="{00000000-0005-0000-0000-000049000000}"/>
    <cellStyle name="Обычный 7 2 2 2" xfId="588" xr:uid="{00000000-0005-0000-0000-00004A000000}"/>
    <cellStyle name="Обычный 7 2 3" xfId="572" xr:uid="{00000000-0005-0000-0000-00004B000000}"/>
    <cellStyle name="Обычный 7 2 4" xfId="1709" xr:uid="{00000000-0005-0000-0000-00004C000000}"/>
    <cellStyle name="Обычный 7 3" xfId="341" xr:uid="{00000000-0005-0000-0000-00004D000000}"/>
    <cellStyle name="Обычный 7 3 2" xfId="580" xr:uid="{00000000-0005-0000-0000-00004E000000}"/>
    <cellStyle name="Обычный 7 4" xfId="604" xr:uid="{00000000-0005-0000-0000-00004F000000}"/>
    <cellStyle name="Обычный 7 4 2" xfId="1052" xr:uid="{00000000-0005-0000-0000-000050000000}"/>
    <cellStyle name="Обычный 7 5" xfId="564" xr:uid="{00000000-0005-0000-0000-000051000000}"/>
    <cellStyle name="Обычный 7 6" xfId="1573" xr:uid="{00000000-0005-0000-0000-000052000000}"/>
    <cellStyle name="Обычный 7 7" xfId="800" xr:uid="{00000000-0005-0000-0000-000053000000}"/>
    <cellStyle name="Обычный 8" xfId="70" xr:uid="{00000000-0005-0000-0000-000054000000}"/>
    <cellStyle name="Обычный 8 2" xfId="206" xr:uid="{00000000-0005-0000-0000-000055000000}"/>
    <cellStyle name="Обычный 8 2 2" xfId="478" xr:uid="{00000000-0005-0000-0000-000056000000}"/>
    <cellStyle name="Обычный 8 2 2 2" xfId="589" xr:uid="{00000000-0005-0000-0000-000057000000}"/>
    <cellStyle name="Обычный 8 2 3" xfId="573" xr:uid="{00000000-0005-0000-0000-000058000000}"/>
    <cellStyle name="Обычный 8 2 4" xfId="1710" xr:uid="{00000000-0005-0000-0000-000059000000}"/>
    <cellStyle name="Обычный 8 3" xfId="342" xr:uid="{00000000-0005-0000-0000-00005A000000}"/>
    <cellStyle name="Обычный 8 3 2" xfId="581" xr:uid="{00000000-0005-0000-0000-00005B000000}"/>
    <cellStyle name="Обычный 8 4" xfId="605" xr:uid="{00000000-0005-0000-0000-00005C000000}"/>
    <cellStyle name="Обычный 8 4 2" xfId="1053" xr:uid="{00000000-0005-0000-0000-00005D000000}"/>
    <cellStyle name="Обычный 8 5" xfId="565" xr:uid="{00000000-0005-0000-0000-00005E000000}"/>
    <cellStyle name="Обычный 8 6" xfId="1574" xr:uid="{00000000-0005-0000-0000-00005F000000}"/>
    <cellStyle name="Обычный 8 7" xfId="801" xr:uid="{00000000-0005-0000-0000-000060000000}"/>
    <cellStyle name="Обычный 9" xfId="71" xr:uid="{00000000-0005-0000-0000-000061000000}"/>
    <cellStyle name="Обычный 9 2" xfId="207" xr:uid="{00000000-0005-0000-0000-000062000000}"/>
    <cellStyle name="Обычный 9 2 2" xfId="479" xr:uid="{00000000-0005-0000-0000-000063000000}"/>
    <cellStyle name="Обычный 9 2 2 2" xfId="590" xr:uid="{00000000-0005-0000-0000-000064000000}"/>
    <cellStyle name="Обычный 9 2 3" xfId="574" xr:uid="{00000000-0005-0000-0000-000065000000}"/>
    <cellStyle name="Обычный 9 2 4" xfId="1711" xr:uid="{00000000-0005-0000-0000-000066000000}"/>
    <cellStyle name="Обычный 9 3" xfId="343" xr:uid="{00000000-0005-0000-0000-000067000000}"/>
    <cellStyle name="Обычный 9 3 2" xfId="582" xr:uid="{00000000-0005-0000-0000-000068000000}"/>
    <cellStyle name="Обычный 9 4" xfId="606" xr:uid="{00000000-0005-0000-0000-000069000000}"/>
    <cellStyle name="Обычный 9 4 2" xfId="1054" xr:uid="{00000000-0005-0000-0000-00006A000000}"/>
    <cellStyle name="Обычный 9 5" xfId="566" xr:uid="{00000000-0005-0000-0000-00006B000000}"/>
    <cellStyle name="Обычный 9 6" xfId="1575" xr:uid="{00000000-0005-0000-0000-00006C000000}"/>
    <cellStyle name="Обычный 9 7" xfId="802" xr:uid="{00000000-0005-0000-0000-00006D000000}"/>
    <cellStyle name="Процентный" xfId="559" builtinId="5"/>
    <cellStyle name="Процентный 2" xfId="732" xr:uid="{00000000-0005-0000-0000-00006F000000}"/>
    <cellStyle name="Финансовый" xfId="1" builtinId="3"/>
    <cellStyle name="Финансовый [0] 2" xfId="560" xr:uid="{00000000-0005-0000-0000-000071000000}"/>
    <cellStyle name="Финансовый 10" xfId="125" xr:uid="{00000000-0005-0000-0000-000072000000}"/>
    <cellStyle name="Финансовый 10 2" xfId="261" xr:uid="{00000000-0005-0000-0000-000073000000}"/>
    <cellStyle name="Финансовый 10 2 2" xfId="533" xr:uid="{00000000-0005-0000-0000-000074000000}"/>
    <cellStyle name="Финансовый 10 2 2 2" xfId="1492" xr:uid="{00000000-0005-0000-0000-000075000000}"/>
    <cellStyle name="Финансовый 10 2 3" xfId="1236" xr:uid="{00000000-0005-0000-0000-000076000000}"/>
    <cellStyle name="Финансовый 10 2 4" xfId="1765" xr:uid="{00000000-0005-0000-0000-000077000000}"/>
    <cellStyle name="Финансовый 10 3" xfId="397" xr:uid="{00000000-0005-0000-0000-000078000000}"/>
    <cellStyle name="Финансовый 10 3 2" xfId="1364" xr:uid="{00000000-0005-0000-0000-000079000000}"/>
    <cellStyle name="Финансовый 10 4" xfId="619" xr:uid="{00000000-0005-0000-0000-00007A000000}"/>
    <cellStyle name="Финансовый 10 4 2" xfId="1108" xr:uid="{00000000-0005-0000-0000-00007B000000}"/>
    <cellStyle name="Финансовый 10 5" xfId="984" xr:uid="{00000000-0005-0000-0000-00007C000000}"/>
    <cellStyle name="Финансовый 10 6" xfId="1629" xr:uid="{00000000-0005-0000-0000-00007D000000}"/>
    <cellStyle name="Финансовый 10 7" xfId="856" xr:uid="{00000000-0005-0000-0000-00007E000000}"/>
    <cellStyle name="Финансовый 11" xfId="61" xr:uid="{00000000-0005-0000-0000-00007F000000}"/>
    <cellStyle name="Финансовый 11 2" xfId="199" xr:uid="{00000000-0005-0000-0000-000080000000}"/>
    <cellStyle name="Финансовый 11 2 2" xfId="471" xr:uid="{00000000-0005-0000-0000-000081000000}"/>
    <cellStyle name="Финансовый 11 2 2 2" xfId="1438" xr:uid="{00000000-0005-0000-0000-000082000000}"/>
    <cellStyle name="Финансовый 11 2 3" xfId="1182" xr:uid="{00000000-0005-0000-0000-000083000000}"/>
    <cellStyle name="Финансовый 11 2 4" xfId="1703" xr:uid="{00000000-0005-0000-0000-000084000000}"/>
    <cellStyle name="Финансовый 11 3" xfId="335" xr:uid="{00000000-0005-0000-0000-000085000000}"/>
    <cellStyle name="Финансовый 11 3 2" xfId="1310" xr:uid="{00000000-0005-0000-0000-000086000000}"/>
    <cellStyle name="Финансовый 11 4" xfId="611" xr:uid="{00000000-0005-0000-0000-000087000000}"/>
    <cellStyle name="Финансовый 11 4 2" xfId="1046" xr:uid="{00000000-0005-0000-0000-000088000000}"/>
    <cellStyle name="Финансовый 11 5" xfId="930" xr:uid="{00000000-0005-0000-0000-000089000000}"/>
    <cellStyle name="Финансовый 11 6" xfId="1566" xr:uid="{00000000-0005-0000-0000-00008A000000}"/>
    <cellStyle name="Финансовый 11 7" xfId="793" xr:uid="{00000000-0005-0000-0000-00008B000000}"/>
    <cellStyle name="Финансовый 12" xfId="49" xr:uid="{00000000-0005-0000-0000-00008C000000}"/>
    <cellStyle name="Финансовый 12 2" xfId="187" xr:uid="{00000000-0005-0000-0000-00008D000000}"/>
    <cellStyle name="Финансовый 12 2 2" xfId="459" xr:uid="{00000000-0005-0000-0000-00008E000000}"/>
    <cellStyle name="Финансовый 12 2 2 2" xfId="1426" xr:uid="{00000000-0005-0000-0000-00008F000000}"/>
    <cellStyle name="Финансовый 12 2 3" xfId="1170" xr:uid="{00000000-0005-0000-0000-000090000000}"/>
    <cellStyle name="Финансовый 12 2 4" xfId="1691" xr:uid="{00000000-0005-0000-0000-000091000000}"/>
    <cellStyle name="Финансовый 12 3" xfId="323" xr:uid="{00000000-0005-0000-0000-000092000000}"/>
    <cellStyle name="Финансовый 12 3 2" xfId="1298" xr:uid="{00000000-0005-0000-0000-000093000000}"/>
    <cellStyle name="Финансовый 12 4" xfId="613" xr:uid="{00000000-0005-0000-0000-000094000000}"/>
    <cellStyle name="Финансовый 12 4 2" xfId="1034" xr:uid="{00000000-0005-0000-0000-000095000000}"/>
    <cellStyle name="Финансовый 12 5" xfId="918" xr:uid="{00000000-0005-0000-0000-000096000000}"/>
    <cellStyle name="Финансовый 12 6" xfId="1554" xr:uid="{00000000-0005-0000-0000-000097000000}"/>
    <cellStyle name="Финансовый 12 7" xfId="781" xr:uid="{00000000-0005-0000-0000-000098000000}"/>
    <cellStyle name="Финансовый 13" xfId="127" xr:uid="{00000000-0005-0000-0000-000099000000}"/>
    <cellStyle name="Финансовый 13 2" xfId="263" xr:uid="{00000000-0005-0000-0000-00009A000000}"/>
    <cellStyle name="Финансовый 13 2 2" xfId="535" xr:uid="{00000000-0005-0000-0000-00009B000000}"/>
    <cellStyle name="Финансовый 13 2 2 2" xfId="1494" xr:uid="{00000000-0005-0000-0000-00009C000000}"/>
    <cellStyle name="Финансовый 13 2 3" xfId="1238" xr:uid="{00000000-0005-0000-0000-00009D000000}"/>
    <cellStyle name="Финансовый 13 2 4" xfId="1767" xr:uid="{00000000-0005-0000-0000-00009E000000}"/>
    <cellStyle name="Финансовый 13 3" xfId="399" xr:uid="{00000000-0005-0000-0000-00009F000000}"/>
    <cellStyle name="Финансовый 13 3 2" xfId="1366" xr:uid="{00000000-0005-0000-0000-0000A0000000}"/>
    <cellStyle name="Финансовый 13 4" xfId="614" xr:uid="{00000000-0005-0000-0000-0000A1000000}"/>
    <cellStyle name="Финансовый 13 4 2" xfId="1110" xr:uid="{00000000-0005-0000-0000-0000A2000000}"/>
    <cellStyle name="Финансовый 13 5" xfId="986" xr:uid="{00000000-0005-0000-0000-0000A3000000}"/>
    <cellStyle name="Финансовый 13 6" xfId="1631" xr:uid="{00000000-0005-0000-0000-0000A4000000}"/>
    <cellStyle name="Финансовый 13 7" xfId="858" xr:uid="{00000000-0005-0000-0000-0000A5000000}"/>
    <cellStyle name="Финансовый 14" xfId="25" xr:uid="{00000000-0005-0000-0000-0000A6000000}"/>
    <cellStyle name="Финансовый 14 2" xfId="163" xr:uid="{00000000-0005-0000-0000-0000A7000000}"/>
    <cellStyle name="Финансовый 14 2 2" xfId="435" xr:uid="{00000000-0005-0000-0000-0000A8000000}"/>
    <cellStyle name="Финансовый 14 2 2 2" xfId="1402" xr:uid="{00000000-0005-0000-0000-0000A9000000}"/>
    <cellStyle name="Финансовый 14 2 3" xfId="1146" xr:uid="{00000000-0005-0000-0000-0000AA000000}"/>
    <cellStyle name="Финансовый 14 2 4" xfId="1667" xr:uid="{00000000-0005-0000-0000-0000AB000000}"/>
    <cellStyle name="Финансовый 14 3" xfId="299" xr:uid="{00000000-0005-0000-0000-0000AC000000}"/>
    <cellStyle name="Финансовый 14 3 2" xfId="1274" xr:uid="{00000000-0005-0000-0000-0000AD000000}"/>
    <cellStyle name="Финансовый 14 4" xfId="616" xr:uid="{00000000-0005-0000-0000-0000AE000000}"/>
    <cellStyle name="Финансовый 14 4 2" xfId="1010" xr:uid="{00000000-0005-0000-0000-0000AF000000}"/>
    <cellStyle name="Финансовый 14 5" xfId="894" xr:uid="{00000000-0005-0000-0000-0000B0000000}"/>
    <cellStyle name="Финансовый 14 6" xfId="1530" xr:uid="{00000000-0005-0000-0000-0000B1000000}"/>
    <cellStyle name="Финансовый 14 7" xfId="757" xr:uid="{00000000-0005-0000-0000-0000B2000000}"/>
    <cellStyle name="Финансовый 15" xfId="13" xr:uid="{00000000-0005-0000-0000-0000B3000000}"/>
    <cellStyle name="Финансовый 15 2" xfId="151" xr:uid="{00000000-0005-0000-0000-0000B4000000}"/>
    <cellStyle name="Финансовый 15 2 2" xfId="423" xr:uid="{00000000-0005-0000-0000-0000B5000000}"/>
    <cellStyle name="Финансовый 15 2 2 2" xfId="1390" xr:uid="{00000000-0005-0000-0000-0000B6000000}"/>
    <cellStyle name="Финансовый 15 2 3" xfId="1134" xr:uid="{00000000-0005-0000-0000-0000B7000000}"/>
    <cellStyle name="Финансовый 15 2 4" xfId="1655" xr:uid="{00000000-0005-0000-0000-0000B8000000}"/>
    <cellStyle name="Финансовый 15 3" xfId="287" xr:uid="{00000000-0005-0000-0000-0000B9000000}"/>
    <cellStyle name="Финансовый 15 3 2" xfId="1262" xr:uid="{00000000-0005-0000-0000-0000BA000000}"/>
    <cellStyle name="Финансовый 15 4" xfId="610" xr:uid="{00000000-0005-0000-0000-0000BB000000}"/>
    <cellStyle name="Финансовый 15 4 2" xfId="998" xr:uid="{00000000-0005-0000-0000-0000BC000000}"/>
    <cellStyle name="Финансовый 15 5" xfId="882" xr:uid="{00000000-0005-0000-0000-0000BD000000}"/>
    <cellStyle name="Финансовый 15 6" xfId="1518" xr:uid="{00000000-0005-0000-0000-0000BE000000}"/>
    <cellStyle name="Финансовый 15 7" xfId="745" xr:uid="{00000000-0005-0000-0000-0000BF000000}"/>
    <cellStyle name="Финансовый 16" xfId="139" xr:uid="{00000000-0005-0000-0000-0000C0000000}"/>
    <cellStyle name="Финансовый 16 2" xfId="411" xr:uid="{00000000-0005-0000-0000-0000C1000000}"/>
    <cellStyle name="Финансовый 16 2 2" xfId="1378" xr:uid="{00000000-0005-0000-0000-0000C2000000}"/>
    <cellStyle name="Финансовый 16 3" xfId="1122" xr:uid="{00000000-0005-0000-0000-0000C3000000}"/>
    <cellStyle name="Финансовый 16 4" xfId="1643" xr:uid="{00000000-0005-0000-0000-0000C4000000}"/>
    <cellStyle name="Финансовый 17" xfId="547" xr:uid="{00000000-0005-0000-0000-0000C5000000}"/>
    <cellStyle name="Финансовый 17 2" xfId="1250" xr:uid="{00000000-0005-0000-0000-0000C6000000}"/>
    <cellStyle name="Финансовый 18" xfId="275" xr:uid="{00000000-0005-0000-0000-0000C7000000}"/>
    <cellStyle name="Финансовый 19" xfId="596" xr:uid="{00000000-0005-0000-0000-0000C8000000}"/>
    <cellStyle name="Финансовый 19 2" xfId="870" xr:uid="{00000000-0005-0000-0000-0000C9000000}"/>
    <cellStyle name="Финансовый 2" xfId="2" xr:uid="{00000000-0005-0000-0000-0000CA000000}"/>
    <cellStyle name="Финансовый 2 10" xfId="62" xr:uid="{00000000-0005-0000-0000-0000CB000000}"/>
    <cellStyle name="Финансовый 2 10 2" xfId="200" xr:uid="{00000000-0005-0000-0000-0000CC000000}"/>
    <cellStyle name="Финансовый 2 10 2 2" xfId="472" xr:uid="{00000000-0005-0000-0000-0000CD000000}"/>
    <cellStyle name="Финансовый 2 10 2 2 2" xfId="1439" xr:uid="{00000000-0005-0000-0000-0000CE000000}"/>
    <cellStyle name="Финансовый 2 10 2 3" xfId="1183" xr:uid="{00000000-0005-0000-0000-0000CF000000}"/>
    <cellStyle name="Финансовый 2 10 2 4" xfId="1704" xr:uid="{00000000-0005-0000-0000-0000D0000000}"/>
    <cellStyle name="Финансовый 2 10 3" xfId="336" xr:uid="{00000000-0005-0000-0000-0000D1000000}"/>
    <cellStyle name="Финансовый 2 10 3 2" xfId="1311" xr:uid="{00000000-0005-0000-0000-0000D2000000}"/>
    <cellStyle name="Финансовый 2 10 4" xfId="623" xr:uid="{00000000-0005-0000-0000-0000D3000000}"/>
    <cellStyle name="Финансовый 2 10 4 2" xfId="1047" xr:uid="{00000000-0005-0000-0000-0000D4000000}"/>
    <cellStyle name="Финансовый 2 10 5" xfId="931" xr:uid="{00000000-0005-0000-0000-0000D5000000}"/>
    <cellStyle name="Финансовый 2 10 6" xfId="1567" xr:uid="{00000000-0005-0000-0000-0000D6000000}"/>
    <cellStyle name="Финансовый 2 10 7" xfId="794" xr:uid="{00000000-0005-0000-0000-0000D7000000}"/>
    <cellStyle name="Финансовый 2 11" xfId="50" xr:uid="{00000000-0005-0000-0000-0000D8000000}"/>
    <cellStyle name="Финансовый 2 11 2" xfId="188" xr:uid="{00000000-0005-0000-0000-0000D9000000}"/>
    <cellStyle name="Финансовый 2 11 2 2" xfId="460" xr:uid="{00000000-0005-0000-0000-0000DA000000}"/>
    <cellStyle name="Финансовый 2 11 2 2 2" xfId="1427" xr:uid="{00000000-0005-0000-0000-0000DB000000}"/>
    <cellStyle name="Финансовый 2 11 2 3" xfId="1171" xr:uid="{00000000-0005-0000-0000-0000DC000000}"/>
    <cellStyle name="Финансовый 2 11 2 4" xfId="1692" xr:uid="{00000000-0005-0000-0000-0000DD000000}"/>
    <cellStyle name="Финансовый 2 11 3" xfId="324" xr:uid="{00000000-0005-0000-0000-0000DE000000}"/>
    <cellStyle name="Финансовый 2 11 3 2" xfId="1299" xr:uid="{00000000-0005-0000-0000-0000DF000000}"/>
    <cellStyle name="Финансовый 2 11 4" xfId="609" xr:uid="{00000000-0005-0000-0000-0000E0000000}"/>
    <cellStyle name="Финансовый 2 11 4 2" xfId="1035" xr:uid="{00000000-0005-0000-0000-0000E1000000}"/>
    <cellStyle name="Финансовый 2 11 5" xfId="919" xr:uid="{00000000-0005-0000-0000-0000E2000000}"/>
    <cellStyle name="Финансовый 2 11 6" xfId="1555" xr:uid="{00000000-0005-0000-0000-0000E3000000}"/>
    <cellStyle name="Финансовый 2 11 7" xfId="782" xr:uid="{00000000-0005-0000-0000-0000E4000000}"/>
    <cellStyle name="Финансовый 2 12" xfId="128" xr:uid="{00000000-0005-0000-0000-0000E5000000}"/>
    <cellStyle name="Финансовый 2 12 2" xfId="264" xr:uid="{00000000-0005-0000-0000-0000E6000000}"/>
    <cellStyle name="Финансовый 2 12 2 2" xfId="536" xr:uid="{00000000-0005-0000-0000-0000E7000000}"/>
    <cellStyle name="Финансовый 2 12 2 2 2" xfId="1495" xr:uid="{00000000-0005-0000-0000-0000E8000000}"/>
    <cellStyle name="Финансовый 2 12 2 3" xfId="1239" xr:uid="{00000000-0005-0000-0000-0000E9000000}"/>
    <cellStyle name="Финансовый 2 12 2 4" xfId="1768" xr:uid="{00000000-0005-0000-0000-0000EA000000}"/>
    <cellStyle name="Финансовый 2 12 3" xfId="400" xr:uid="{00000000-0005-0000-0000-0000EB000000}"/>
    <cellStyle name="Финансовый 2 12 3 2" xfId="1367" xr:uid="{00000000-0005-0000-0000-0000EC000000}"/>
    <cellStyle name="Финансовый 2 12 4" xfId="625" xr:uid="{00000000-0005-0000-0000-0000ED000000}"/>
    <cellStyle name="Финансовый 2 12 4 2" xfId="1111" xr:uid="{00000000-0005-0000-0000-0000EE000000}"/>
    <cellStyle name="Финансовый 2 12 5" xfId="987" xr:uid="{00000000-0005-0000-0000-0000EF000000}"/>
    <cellStyle name="Финансовый 2 12 6" xfId="1632" xr:uid="{00000000-0005-0000-0000-0000F0000000}"/>
    <cellStyle name="Финансовый 2 12 7" xfId="859" xr:uid="{00000000-0005-0000-0000-0000F1000000}"/>
    <cellStyle name="Финансовый 2 13" xfId="26" xr:uid="{00000000-0005-0000-0000-0000F2000000}"/>
    <cellStyle name="Финансовый 2 13 2" xfId="164" xr:uid="{00000000-0005-0000-0000-0000F3000000}"/>
    <cellStyle name="Финансовый 2 13 2 2" xfId="436" xr:uid="{00000000-0005-0000-0000-0000F4000000}"/>
    <cellStyle name="Финансовый 2 13 2 2 2" xfId="1403" xr:uid="{00000000-0005-0000-0000-0000F5000000}"/>
    <cellStyle name="Финансовый 2 13 2 3" xfId="1147" xr:uid="{00000000-0005-0000-0000-0000F6000000}"/>
    <cellStyle name="Финансовый 2 13 2 4" xfId="1668" xr:uid="{00000000-0005-0000-0000-0000F7000000}"/>
    <cellStyle name="Финансовый 2 13 3" xfId="300" xr:uid="{00000000-0005-0000-0000-0000F8000000}"/>
    <cellStyle name="Финансовый 2 13 3 2" xfId="1275" xr:uid="{00000000-0005-0000-0000-0000F9000000}"/>
    <cellStyle name="Финансовый 2 13 4" xfId="626" xr:uid="{00000000-0005-0000-0000-0000FA000000}"/>
    <cellStyle name="Финансовый 2 13 4 2" xfId="1011" xr:uid="{00000000-0005-0000-0000-0000FB000000}"/>
    <cellStyle name="Финансовый 2 13 5" xfId="895" xr:uid="{00000000-0005-0000-0000-0000FC000000}"/>
    <cellStyle name="Финансовый 2 13 6" xfId="1531" xr:uid="{00000000-0005-0000-0000-0000FD000000}"/>
    <cellStyle name="Финансовый 2 13 7" xfId="758" xr:uid="{00000000-0005-0000-0000-0000FE000000}"/>
    <cellStyle name="Финансовый 2 14" xfId="14" xr:uid="{00000000-0005-0000-0000-0000FF000000}"/>
    <cellStyle name="Финансовый 2 14 2" xfId="152" xr:uid="{00000000-0005-0000-0000-000000010000}"/>
    <cellStyle name="Финансовый 2 14 2 2" xfId="424" xr:uid="{00000000-0005-0000-0000-000001010000}"/>
    <cellStyle name="Финансовый 2 14 2 2 2" xfId="1391" xr:uid="{00000000-0005-0000-0000-000002010000}"/>
    <cellStyle name="Финансовый 2 14 2 3" xfId="1135" xr:uid="{00000000-0005-0000-0000-000003010000}"/>
    <cellStyle name="Финансовый 2 14 2 4" xfId="1656" xr:uid="{00000000-0005-0000-0000-000004010000}"/>
    <cellStyle name="Финансовый 2 14 3" xfId="288" xr:uid="{00000000-0005-0000-0000-000005010000}"/>
    <cellStyle name="Финансовый 2 14 3 2" xfId="1263" xr:uid="{00000000-0005-0000-0000-000006010000}"/>
    <cellStyle name="Финансовый 2 14 4" xfId="627" xr:uid="{00000000-0005-0000-0000-000007010000}"/>
    <cellStyle name="Финансовый 2 14 4 2" xfId="999" xr:uid="{00000000-0005-0000-0000-000008010000}"/>
    <cellStyle name="Финансовый 2 14 5" xfId="883" xr:uid="{00000000-0005-0000-0000-000009010000}"/>
    <cellStyle name="Финансовый 2 14 6" xfId="1519" xr:uid="{00000000-0005-0000-0000-00000A010000}"/>
    <cellStyle name="Финансовый 2 14 7" xfId="746" xr:uid="{00000000-0005-0000-0000-00000B010000}"/>
    <cellStyle name="Финансовый 2 15" xfId="140" xr:uid="{00000000-0005-0000-0000-00000C010000}"/>
    <cellStyle name="Финансовый 2 15 2" xfId="412" xr:uid="{00000000-0005-0000-0000-00000D010000}"/>
    <cellStyle name="Финансовый 2 15 2 2" xfId="1379" xr:uid="{00000000-0005-0000-0000-00000E010000}"/>
    <cellStyle name="Финансовый 2 15 3" xfId="1123" xr:uid="{00000000-0005-0000-0000-00000F010000}"/>
    <cellStyle name="Финансовый 2 15 4" xfId="1644" xr:uid="{00000000-0005-0000-0000-000010010000}"/>
    <cellStyle name="Финансовый 2 16" xfId="548" xr:uid="{00000000-0005-0000-0000-000011010000}"/>
    <cellStyle name="Финансовый 2 16 2" xfId="1251" xr:uid="{00000000-0005-0000-0000-000012010000}"/>
    <cellStyle name="Финансовый 2 17" xfId="276" xr:uid="{00000000-0005-0000-0000-000013010000}"/>
    <cellStyle name="Финансовый 2 18" xfId="620" xr:uid="{00000000-0005-0000-0000-000014010000}"/>
    <cellStyle name="Финансовый 2 18 2" xfId="871" xr:uid="{00000000-0005-0000-0000-000015010000}"/>
    <cellStyle name="Финансовый 2 19" xfId="1507" xr:uid="{00000000-0005-0000-0000-000016010000}"/>
    <cellStyle name="Финансовый 2 2" xfId="4" xr:uid="{00000000-0005-0000-0000-000017010000}"/>
    <cellStyle name="Финансовый 2 2 10" xfId="28" xr:uid="{00000000-0005-0000-0000-000018010000}"/>
    <cellStyle name="Финансовый 2 2 10 2" xfId="166" xr:uid="{00000000-0005-0000-0000-000019010000}"/>
    <cellStyle name="Финансовый 2 2 10 2 2" xfId="438" xr:uid="{00000000-0005-0000-0000-00001A010000}"/>
    <cellStyle name="Финансовый 2 2 10 2 2 2" xfId="1405" xr:uid="{00000000-0005-0000-0000-00001B010000}"/>
    <cellStyle name="Финансовый 2 2 10 2 3" xfId="1149" xr:uid="{00000000-0005-0000-0000-00001C010000}"/>
    <cellStyle name="Финансовый 2 2 10 2 4" xfId="1670" xr:uid="{00000000-0005-0000-0000-00001D010000}"/>
    <cellStyle name="Финансовый 2 2 10 3" xfId="302" xr:uid="{00000000-0005-0000-0000-00001E010000}"/>
    <cellStyle name="Финансовый 2 2 10 3 2" xfId="1277" xr:uid="{00000000-0005-0000-0000-00001F010000}"/>
    <cellStyle name="Финансовый 2 2 10 4" xfId="630" xr:uid="{00000000-0005-0000-0000-000020010000}"/>
    <cellStyle name="Финансовый 2 2 10 4 2" xfId="1013" xr:uid="{00000000-0005-0000-0000-000021010000}"/>
    <cellStyle name="Финансовый 2 2 10 5" xfId="897" xr:uid="{00000000-0005-0000-0000-000022010000}"/>
    <cellStyle name="Финансовый 2 2 10 6" xfId="1533" xr:uid="{00000000-0005-0000-0000-000023010000}"/>
    <cellStyle name="Финансовый 2 2 10 7" xfId="760" xr:uid="{00000000-0005-0000-0000-000024010000}"/>
    <cellStyle name="Финансовый 2 2 11" xfId="16" xr:uid="{00000000-0005-0000-0000-000025010000}"/>
    <cellStyle name="Финансовый 2 2 11 2" xfId="154" xr:uid="{00000000-0005-0000-0000-000026010000}"/>
    <cellStyle name="Финансовый 2 2 11 2 2" xfId="426" xr:uid="{00000000-0005-0000-0000-000027010000}"/>
    <cellStyle name="Финансовый 2 2 11 2 2 2" xfId="1393" xr:uid="{00000000-0005-0000-0000-000028010000}"/>
    <cellStyle name="Финансовый 2 2 11 2 3" xfId="1137" xr:uid="{00000000-0005-0000-0000-000029010000}"/>
    <cellStyle name="Финансовый 2 2 11 2 4" xfId="1658" xr:uid="{00000000-0005-0000-0000-00002A010000}"/>
    <cellStyle name="Финансовый 2 2 11 3" xfId="290" xr:uid="{00000000-0005-0000-0000-00002B010000}"/>
    <cellStyle name="Финансовый 2 2 11 3 2" xfId="1265" xr:uid="{00000000-0005-0000-0000-00002C010000}"/>
    <cellStyle name="Финансовый 2 2 11 4" xfId="599" xr:uid="{00000000-0005-0000-0000-00002D010000}"/>
    <cellStyle name="Финансовый 2 2 11 4 2" xfId="1001" xr:uid="{00000000-0005-0000-0000-00002E010000}"/>
    <cellStyle name="Финансовый 2 2 11 5" xfId="885" xr:uid="{00000000-0005-0000-0000-00002F010000}"/>
    <cellStyle name="Финансовый 2 2 11 6" xfId="1521" xr:uid="{00000000-0005-0000-0000-000030010000}"/>
    <cellStyle name="Финансовый 2 2 11 7" xfId="748" xr:uid="{00000000-0005-0000-0000-000031010000}"/>
    <cellStyle name="Финансовый 2 2 12" xfId="142" xr:uid="{00000000-0005-0000-0000-000032010000}"/>
    <cellStyle name="Финансовый 2 2 12 2" xfId="414" xr:uid="{00000000-0005-0000-0000-000033010000}"/>
    <cellStyle name="Финансовый 2 2 12 2 2" xfId="1381" xr:uid="{00000000-0005-0000-0000-000034010000}"/>
    <cellStyle name="Финансовый 2 2 12 3" xfId="1125" xr:uid="{00000000-0005-0000-0000-000035010000}"/>
    <cellStyle name="Финансовый 2 2 12 4" xfId="1646" xr:uid="{00000000-0005-0000-0000-000036010000}"/>
    <cellStyle name="Финансовый 2 2 13" xfId="550" xr:uid="{00000000-0005-0000-0000-000037010000}"/>
    <cellStyle name="Финансовый 2 2 13 2" xfId="1253" xr:uid="{00000000-0005-0000-0000-000038010000}"/>
    <cellStyle name="Финансовый 2 2 14" xfId="278" xr:uid="{00000000-0005-0000-0000-000039010000}"/>
    <cellStyle name="Финансовый 2 2 15" xfId="629" xr:uid="{00000000-0005-0000-0000-00003A010000}"/>
    <cellStyle name="Финансовый 2 2 15 2" xfId="873" xr:uid="{00000000-0005-0000-0000-00003B010000}"/>
    <cellStyle name="Финансовый 2 2 16" xfId="1509" xr:uid="{00000000-0005-0000-0000-00003C010000}"/>
    <cellStyle name="Финансовый 2 2 17" xfId="736" xr:uid="{00000000-0005-0000-0000-00003D010000}"/>
    <cellStyle name="Финансовый 2 2 2" xfId="10" xr:uid="{00000000-0005-0000-0000-00003E010000}"/>
    <cellStyle name="Финансовый 2 2 2 10" xfId="556" xr:uid="{00000000-0005-0000-0000-00003F010000}"/>
    <cellStyle name="Финансовый 2 2 2 10 2" xfId="1259" xr:uid="{00000000-0005-0000-0000-000040010000}"/>
    <cellStyle name="Финансовый 2 2 2 11" xfId="284" xr:uid="{00000000-0005-0000-0000-000041010000}"/>
    <cellStyle name="Финансовый 2 2 2 12" xfId="632" xr:uid="{00000000-0005-0000-0000-000042010000}"/>
    <cellStyle name="Финансовый 2 2 2 12 2" xfId="879" xr:uid="{00000000-0005-0000-0000-000043010000}"/>
    <cellStyle name="Финансовый 2 2 2 13" xfId="1515" xr:uid="{00000000-0005-0000-0000-000044010000}"/>
    <cellStyle name="Финансовый 2 2 2 14" xfId="742" xr:uid="{00000000-0005-0000-0000-000045010000}"/>
    <cellStyle name="Финансовый 2 2 2 2" xfId="46" xr:uid="{00000000-0005-0000-0000-000046010000}"/>
    <cellStyle name="Финансовый 2 2 2 2 2" xfId="104" xr:uid="{00000000-0005-0000-0000-000047010000}"/>
    <cellStyle name="Финансовый 2 2 2 2 2 2" xfId="240" xr:uid="{00000000-0005-0000-0000-000048010000}"/>
    <cellStyle name="Финансовый 2 2 2 2 2 2 2" xfId="512" xr:uid="{00000000-0005-0000-0000-000049010000}"/>
    <cellStyle name="Финансовый 2 2 2 2 2 2 2 2" xfId="1471" xr:uid="{00000000-0005-0000-0000-00004A010000}"/>
    <cellStyle name="Финансовый 2 2 2 2 2 2 3" xfId="1215" xr:uid="{00000000-0005-0000-0000-00004B010000}"/>
    <cellStyle name="Финансовый 2 2 2 2 2 2 4" xfId="1744" xr:uid="{00000000-0005-0000-0000-00004C010000}"/>
    <cellStyle name="Финансовый 2 2 2 2 2 3" xfId="376" xr:uid="{00000000-0005-0000-0000-00004D010000}"/>
    <cellStyle name="Финансовый 2 2 2 2 2 3 2" xfId="1343" xr:uid="{00000000-0005-0000-0000-00004E010000}"/>
    <cellStyle name="Финансовый 2 2 2 2 2 4" xfId="635" xr:uid="{00000000-0005-0000-0000-00004F010000}"/>
    <cellStyle name="Финансовый 2 2 2 2 2 4 2" xfId="1087" xr:uid="{00000000-0005-0000-0000-000050010000}"/>
    <cellStyle name="Финансовый 2 2 2 2 2 5" xfId="963" xr:uid="{00000000-0005-0000-0000-000051010000}"/>
    <cellStyle name="Финансовый 2 2 2 2 2 6" xfId="1608" xr:uid="{00000000-0005-0000-0000-000052010000}"/>
    <cellStyle name="Финансовый 2 2 2 2 2 7" xfId="835" xr:uid="{00000000-0005-0000-0000-000053010000}"/>
    <cellStyle name="Финансовый 2 2 2 2 3" xfId="184" xr:uid="{00000000-0005-0000-0000-000054010000}"/>
    <cellStyle name="Финансовый 2 2 2 2 3 2" xfId="456" xr:uid="{00000000-0005-0000-0000-000055010000}"/>
    <cellStyle name="Финансовый 2 2 2 2 3 2 2" xfId="1423" xr:uid="{00000000-0005-0000-0000-000056010000}"/>
    <cellStyle name="Финансовый 2 2 2 2 3 3" xfId="1167" xr:uid="{00000000-0005-0000-0000-000057010000}"/>
    <cellStyle name="Финансовый 2 2 2 2 3 4" xfId="1688" xr:uid="{00000000-0005-0000-0000-000058010000}"/>
    <cellStyle name="Финансовый 2 2 2 2 4" xfId="320" xr:uid="{00000000-0005-0000-0000-000059010000}"/>
    <cellStyle name="Финансовый 2 2 2 2 4 2" xfId="1295" xr:uid="{00000000-0005-0000-0000-00005A010000}"/>
    <cellStyle name="Финансовый 2 2 2 2 5" xfId="633" xr:uid="{00000000-0005-0000-0000-00005B010000}"/>
    <cellStyle name="Финансовый 2 2 2 2 5 2" xfId="1031" xr:uid="{00000000-0005-0000-0000-00005C010000}"/>
    <cellStyle name="Финансовый 2 2 2 2 6" xfId="915" xr:uid="{00000000-0005-0000-0000-00005D010000}"/>
    <cellStyle name="Финансовый 2 2 2 2 7" xfId="1551" xr:uid="{00000000-0005-0000-0000-00005E010000}"/>
    <cellStyle name="Финансовый 2 2 2 2 8" xfId="778" xr:uid="{00000000-0005-0000-0000-00005F010000}"/>
    <cellStyle name="Финансовый 2 2 2 3" xfId="116" xr:uid="{00000000-0005-0000-0000-000060010000}"/>
    <cellStyle name="Финансовый 2 2 2 3 2" xfId="252" xr:uid="{00000000-0005-0000-0000-000061010000}"/>
    <cellStyle name="Финансовый 2 2 2 3 2 2" xfId="524" xr:uid="{00000000-0005-0000-0000-000062010000}"/>
    <cellStyle name="Финансовый 2 2 2 3 2 2 2" xfId="1483" xr:uid="{00000000-0005-0000-0000-000063010000}"/>
    <cellStyle name="Финансовый 2 2 2 3 2 3" xfId="1227" xr:uid="{00000000-0005-0000-0000-000064010000}"/>
    <cellStyle name="Финансовый 2 2 2 3 2 4" xfId="1756" xr:uid="{00000000-0005-0000-0000-000065010000}"/>
    <cellStyle name="Финансовый 2 2 2 3 3" xfId="388" xr:uid="{00000000-0005-0000-0000-000066010000}"/>
    <cellStyle name="Финансовый 2 2 2 3 3 2" xfId="1355" xr:uid="{00000000-0005-0000-0000-000067010000}"/>
    <cellStyle name="Финансовый 2 2 2 3 4" xfId="636" xr:uid="{00000000-0005-0000-0000-000068010000}"/>
    <cellStyle name="Финансовый 2 2 2 3 4 2" xfId="1099" xr:uid="{00000000-0005-0000-0000-000069010000}"/>
    <cellStyle name="Финансовый 2 2 2 3 5" xfId="975" xr:uid="{00000000-0005-0000-0000-00006A010000}"/>
    <cellStyle name="Финансовый 2 2 2 3 6" xfId="1620" xr:uid="{00000000-0005-0000-0000-00006B010000}"/>
    <cellStyle name="Финансовый 2 2 2 3 7" xfId="847" xr:uid="{00000000-0005-0000-0000-00006C010000}"/>
    <cellStyle name="Финансовый 2 2 2 4" xfId="80" xr:uid="{00000000-0005-0000-0000-00006D010000}"/>
    <cellStyle name="Финансовый 2 2 2 4 2" xfId="216" xr:uid="{00000000-0005-0000-0000-00006E010000}"/>
    <cellStyle name="Финансовый 2 2 2 4 2 2" xfId="488" xr:uid="{00000000-0005-0000-0000-00006F010000}"/>
    <cellStyle name="Финансовый 2 2 2 4 2 2 2" xfId="1447" xr:uid="{00000000-0005-0000-0000-000070010000}"/>
    <cellStyle name="Финансовый 2 2 2 4 2 3" xfId="1191" xr:uid="{00000000-0005-0000-0000-000071010000}"/>
    <cellStyle name="Финансовый 2 2 2 4 2 4" xfId="1720" xr:uid="{00000000-0005-0000-0000-000072010000}"/>
    <cellStyle name="Финансовый 2 2 2 4 3" xfId="352" xr:uid="{00000000-0005-0000-0000-000073010000}"/>
    <cellStyle name="Финансовый 2 2 2 4 3 2" xfId="1319" xr:uid="{00000000-0005-0000-0000-000074010000}"/>
    <cellStyle name="Финансовый 2 2 2 4 4" xfId="637" xr:uid="{00000000-0005-0000-0000-000075010000}"/>
    <cellStyle name="Финансовый 2 2 2 4 4 2" xfId="1063" xr:uid="{00000000-0005-0000-0000-000076010000}"/>
    <cellStyle name="Финансовый 2 2 2 4 5" xfId="939" xr:uid="{00000000-0005-0000-0000-000077010000}"/>
    <cellStyle name="Финансовый 2 2 2 4 6" xfId="1584" xr:uid="{00000000-0005-0000-0000-000078010000}"/>
    <cellStyle name="Финансовый 2 2 2 4 7" xfId="811" xr:uid="{00000000-0005-0000-0000-000079010000}"/>
    <cellStyle name="Финансовый 2 2 2 5" xfId="58" xr:uid="{00000000-0005-0000-0000-00007A010000}"/>
    <cellStyle name="Финансовый 2 2 2 5 2" xfId="196" xr:uid="{00000000-0005-0000-0000-00007B010000}"/>
    <cellStyle name="Финансовый 2 2 2 5 2 2" xfId="468" xr:uid="{00000000-0005-0000-0000-00007C010000}"/>
    <cellStyle name="Финансовый 2 2 2 5 2 2 2" xfId="1435" xr:uid="{00000000-0005-0000-0000-00007D010000}"/>
    <cellStyle name="Финансовый 2 2 2 5 2 3" xfId="1179" xr:uid="{00000000-0005-0000-0000-00007E010000}"/>
    <cellStyle name="Финансовый 2 2 2 5 2 4" xfId="1700" xr:uid="{00000000-0005-0000-0000-00007F010000}"/>
    <cellStyle name="Финансовый 2 2 2 5 3" xfId="332" xr:uid="{00000000-0005-0000-0000-000080010000}"/>
    <cellStyle name="Финансовый 2 2 2 5 3 2" xfId="1307" xr:uid="{00000000-0005-0000-0000-000081010000}"/>
    <cellStyle name="Финансовый 2 2 2 5 4" xfId="638" xr:uid="{00000000-0005-0000-0000-000082010000}"/>
    <cellStyle name="Финансовый 2 2 2 5 4 2" xfId="1043" xr:uid="{00000000-0005-0000-0000-000083010000}"/>
    <cellStyle name="Финансовый 2 2 2 5 5" xfId="927" xr:uid="{00000000-0005-0000-0000-000084010000}"/>
    <cellStyle name="Финансовый 2 2 2 5 6" xfId="1563" xr:uid="{00000000-0005-0000-0000-000085010000}"/>
    <cellStyle name="Финансовый 2 2 2 5 7" xfId="790" xr:uid="{00000000-0005-0000-0000-000086010000}"/>
    <cellStyle name="Финансовый 2 2 2 6" xfId="136" xr:uid="{00000000-0005-0000-0000-000087010000}"/>
    <cellStyle name="Финансовый 2 2 2 6 2" xfId="272" xr:uid="{00000000-0005-0000-0000-000088010000}"/>
    <cellStyle name="Финансовый 2 2 2 6 2 2" xfId="544" xr:uid="{00000000-0005-0000-0000-000089010000}"/>
    <cellStyle name="Финансовый 2 2 2 6 2 2 2" xfId="1503" xr:uid="{00000000-0005-0000-0000-00008A010000}"/>
    <cellStyle name="Финансовый 2 2 2 6 2 3" xfId="1247" xr:uid="{00000000-0005-0000-0000-00008B010000}"/>
    <cellStyle name="Финансовый 2 2 2 6 2 4" xfId="1776" xr:uid="{00000000-0005-0000-0000-00008C010000}"/>
    <cellStyle name="Финансовый 2 2 2 6 3" xfId="408" xr:uid="{00000000-0005-0000-0000-00008D010000}"/>
    <cellStyle name="Финансовый 2 2 2 6 3 2" xfId="1375" xr:uid="{00000000-0005-0000-0000-00008E010000}"/>
    <cellStyle name="Финансовый 2 2 2 6 4" xfId="639" xr:uid="{00000000-0005-0000-0000-00008F010000}"/>
    <cellStyle name="Финансовый 2 2 2 6 4 2" xfId="1119" xr:uid="{00000000-0005-0000-0000-000090010000}"/>
    <cellStyle name="Финансовый 2 2 2 6 5" xfId="995" xr:uid="{00000000-0005-0000-0000-000091010000}"/>
    <cellStyle name="Финансовый 2 2 2 6 6" xfId="1640" xr:uid="{00000000-0005-0000-0000-000092010000}"/>
    <cellStyle name="Финансовый 2 2 2 6 7" xfId="867" xr:uid="{00000000-0005-0000-0000-000093010000}"/>
    <cellStyle name="Финансовый 2 2 2 7" xfId="34" xr:uid="{00000000-0005-0000-0000-000094010000}"/>
    <cellStyle name="Финансовый 2 2 2 7 2" xfId="172" xr:uid="{00000000-0005-0000-0000-000095010000}"/>
    <cellStyle name="Финансовый 2 2 2 7 2 2" xfId="444" xr:uid="{00000000-0005-0000-0000-000096010000}"/>
    <cellStyle name="Финансовый 2 2 2 7 2 2 2" xfId="1411" xr:uid="{00000000-0005-0000-0000-000097010000}"/>
    <cellStyle name="Финансовый 2 2 2 7 2 3" xfId="1155" xr:uid="{00000000-0005-0000-0000-000098010000}"/>
    <cellStyle name="Финансовый 2 2 2 7 2 4" xfId="1676" xr:uid="{00000000-0005-0000-0000-000099010000}"/>
    <cellStyle name="Финансовый 2 2 2 7 3" xfId="308" xr:uid="{00000000-0005-0000-0000-00009A010000}"/>
    <cellStyle name="Финансовый 2 2 2 7 3 2" xfId="1283" xr:uid="{00000000-0005-0000-0000-00009B010000}"/>
    <cellStyle name="Финансовый 2 2 2 7 4" xfId="640" xr:uid="{00000000-0005-0000-0000-00009C010000}"/>
    <cellStyle name="Финансовый 2 2 2 7 4 2" xfId="1019" xr:uid="{00000000-0005-0000-0000-00009D010000}"/>
    <cellStyle name="Финансовый 2 2 2 7 5" xfId="903" xr:uid="{00000000-0005-0000-0000-00009E010000}"/>
    <cellStyle name="Финансовый 2 2 2 7 6" xfId="1539" xr:uid="{00000000-0005-0000-0000-00009F010000}"/>
    <cellStyle name="Финансовый 2 2 2 7 7" xfId="766" xr:uid="{00000000-0005-0000-0000-0000A0010000}"/>
    <cellStyle name="Финансовый 2 2 2 8" xfId="22" xr:uid="{00000000-0005-0000-0000-0000A1010000}"/>
    <cellStyle name="Финансовый 2 2 2 8 2" xfId="160" xr:uid="{00000000-0005-0000-0000-0000A2010000}"/>
    <cellStyle name="Финансовый 2 2 2 8 2 2" xfId="432" xr:uid="{00000000-0005-0000-0000-0000A3010000}"/>
    <cellStyle name="Финансовый 2 2 2 8 2 2 2" xfId="1399" xr:uid="{00000000-0005-0000-0000-0000A4010000}"/>
    <cellStyle name="Финансовый 2 2 2 8 2 3" xfId="1143" xr:uid="{00000000-0005-0000-0000-0000A5010000}"/>
    <cellStyle name="Финансовый 2 2 2 8 2 4" xfId="1664" xr:uid="{00000000-0005-0000-0000-0000A6010000}"/>
    <cellStyle name="Финансовый 2 2 2 8 3" xfId="296" xr:uid="{00000000-0005-0000-0000-0000A7010000}"/>
    <cellStyle name="Финансовый 2 2 2 8 3 2" xfId="1271" xr:uid="{00000000-0005-0000-0000-0000A8010000}"/>
    <cellStyle name="Финансовый 2 2 2 8 4" xfId="641" xr:uid="{00000000-0005-0000-0000-0000A9010000}"/>
    <cellStyle name="Финансовый 2 2 2 8 4 2" xfId="1007" xr:uid="{00000000-0005-0000-0000-0000AA010000}"/>
    <cellStyle name="Финансовый 2 2 2 8 5" xfId="891" xr:uid="{00000000-0005-0000-0000-0000AB010000}"/>
    <cellStyle name="Финансовый 2 2 2 8 6" xfId="1527" xr:uid="{00000000-0005-0000-0000-0000AC010000}"/>
    <cellStyle name="Финансовый 2 2 2 8 7" xfId="754" xr:uid="{00000000-0005-0000-0000-0000AD010000}"/>
    <cellStyle name="Финансовый 2 2 2 9" xfId="148" xr:uid="{00000000-0005-0000-0000-0000AE010000}"/>
    <cellStyle name="Финансовый 2 2 2 9 2" xfId="420" xr:uid="{00000000-0005-0000-0000-0000AF010000}"/>
    <cellStyle name="Финансовый 2 2 2 9 2 2" xfId="1387" xr:uid="{00000000-0005-0000-0000-0000B0010000}"/>
    <cellStyle name="Финансовый 2 2 2 9 3" xfId="1131" xr:uid="{00000000-0005-0000-0000-0000B1010000}"/>
    <cellStyle name="Финансовый 2 2 2 9 4" xfId="1652" xr:uid="{00000000-0005-0000-0000-0000B2010000}"/>
    <cellStyle name="Финансовый 2 2 3" xfId="40" xr:uid="{00000000-0005-0000-0000-0000B3010000}"/>
    <cellStyle name="Финансовый 2 2 3 2" xfId="122" xr:uid="{00000000-0005-0000-0000-0000B4010000}"/>
    <cellStyle name="Финансовый 2 2 3 2 2" xfId="258" xr:uid="{00000000-0005-0000-0000-0000B5010000}"/>
    <cellStyle name="Финансовый 2 2 3 2 2 2" xfId="530" xr:uid="{00000000-0005-0000-0000-0000B6010000}"/>
    <cellStyle name="Финансовый 2 2 3 2 2 2 2" xfId="1489" xr:uid="{00000000-0005-0000-0000-0000B7010000}"/>
    <cellStyle name="Финансовый 2 2 3 2 2 3" xfId="1233" xr:uid="{00000000-0005-0000-0000-0000B8010000}"/>
    <cellStyle name="Финансовый 2 2 3 2 2 4" xfId="1762" xr:uid="{00000000-0005-0000-0000-0000B9010000}"/>
    <cellStyle name="Финансовый 2 2 3 2 3" xfId="394" xr:uid="{00000000-0005-0000-0000-0000BA010000}"/>
    <cellStyle name="Финансовый 2 2 3 2 3 2" xfId="1361" xr:uid="{00000000-0005-0000-0000-0000BB010000}"/>
    <cellStyle name="Финансовый 2 2 3 2 4" xfId="644" xr:uid="{00000000-0005-0000-0000-0000BC010000}"/>
    <cellStyle name="Финансовый 2 2 3 2 4 2" xfId="1105" xr:uid="{00000000-0005-0000-0000-0000BD010000}"/>
    <cellStyle name="Финансовый 2 2 3 2 5" xfId="981" xr:uid="{00000000-0005-0000-0000-0000BE010000}"/>
    <cellStyle name="Финансовый 2 2 3 2 6" xfId="1626" xr:uid="{00000000-0005-0000-0000-0000BF010000}"/>
    <cellStyle name="Финансовый 2 2 3 2 7" xfId="853" xr:uid="{00000000-0005-0000-0000-0000C0010000}"/>
    <cellStyle name="Финансовый 2 2 3 3" xfId="86" xr:uid="{00000000-0005-0000-0000-0000C1010000}"/>
    <cellStyle name="Финансовый 2 2 3 3 2" xfId="222" xr:uid="{00000000-0005-0000-0000-0000C2010000}"/>
    <cellStyle name="Финансовый 2 2 3 3 2 2" xfId="494" xr:uid="{00000000-0005-0000-0000-0000C3010000}"/>
    <cellStyle name="Финансовый 2 2 3 3 2 2 2" xfId="1453" xr:uid="{00000000-0005-0000-0000-0000C4010000}"/>
    <cellStyle name="Финансовый 2 2 3 3 2 3" xfId="1197" xr:uid="{00000000-0005-0000-0000-0000C5010000}"/>
    <cellStyle name="Финансовый 2 2 3 3 2 4" xfId="1726" xr:uid="{00000000-0005-0000-0000-0000C6010000}"/>
    <cellStyle name="Финансовый 2 2 3 3 3" xfId="358" xr:uid="{00000000-0005-0000-0000-0000C7010000}"/>
    <cellStyle name="Финансовый 2 2 3 3 3 2" xfId="1325" xr:uid="{00000000-0005-0000-0000-0000C8010000}"/>
    <cellStyle name="Финансовый 2 2 3 3 4" xfId="645" xr:uid="{00000000-0005-0000-0000-0000C9010000}"/>
    <cellStyle name="Финансовый 2 2 3 3 4 2" xfId="1069" xr:uid="{00000000-0005-0000-0000-0000CA010000}"/>
    <cellStyle name="Финансовый 2 2 3 3 5" xfId="945" xr:uid="{00000000-0005-0000-0000-0000CB010000}"/>
    <cellStyle name="Финансовый 2 2 3 3 6" xfId="1590" xr:uid="{00000000-0005-0000-0000-0000CC010000}"/>
    <cellStyle name="Финансовый 2 2 3 3 7" xfId="817" xr:uid="{00000000-0005-0000-0000-0000CD010000}"/>
    <cellStyle name="Финансовый 2 2 3 4" xfId="178" xr:uid="{00000000-0005-0000-0000-0000CE010000}"/>
    <cellStyle name="Финансовый 2 2 3 4 2" xfId="450" xr:uid="{00000000-0005-0000-0000-0000CF010000}"/>
    <cellStyle name="Финансовый 2 2 3 4 2 2" xfId="1417" xr:uid="{00000000-0005-0000-0000-0000D0010000}"/>
    <cellStyle name="Финансовый 2 2 3 4 3" xfId="1161" xr:uid="{00000000-0005-0000-0000-0000D1010000}"/>
    <cellStyle name="Финансовый 2 2 3 4 4" xfId="1682" xr:uid="{00000000-0005-0000-0000-0000D2010000}"/>
    <cellStyle name="Финансовый 2 2 3 5" xfId="314" xr:uid="{00000000-0005-0000-0000-0000D3010000}"/>
    <cellStyle name="Финансовый 2 2 3 5 2" xfId="1289" xr:uid="{00000000-0005-0000-0000-0000D4010000}"/>
    <cellStyle name="Финансовый 2 2 3 6" xfId="643" xr:uid="{00000000-0005-0000-0000-0000D5010000}"/>
    <cellStyle name="Финансовый 2 2 3 6 2" xfId="1025" xr:uid="{00000000-0005-0000-0000-0000D6010000}"/>
    <cellStyle name="Финансовый 2 2 3 7" xfId="909" xr:uid="{00000000-0005-0000-0000-0000D7010000}"/>
    <cellStyle name="Финансовый 2 2 3 8" xfId="1545" xr:uid="{00000000-0005-0000-0000-0000D8010000}"/>
    <cellStyle name="Финансовый 2 2 3 9" xfId="772" xr:uid="{00000000-0005-0000-0000-0000D9010000}"/>
    <cellStyle name="Финансовый 2 2 4" xfId="92" xr:uid="{00000000-0005-0000-0000-0000DA010000}"/>
    <cellStyle name="Финансовый 2 2 4 2" xfId="228" xr:uid="{00000000-0005-0000-0000-0000DB010000}"/>
    <cellStyle name="Финансовый 2 2 4 2 2" xfId="500" xr:uid="{00000000-0005-0000-0000-0000DC010000}"/>
    <cellStyle name="Финансовый 2 2 4 2 2 2" xfId="1459" xr:uid="{00000000-0005-0000-0000-0000DD010000}"/>
    <cellStyle name="Финансовый 2 2 4 2 3" xfId="1203" xr:uid="{00000000-0005-0000-0000-0000DE010000}"/>
    <cellStyle name="Финансовый 2 2 4 2 4" xfId="1732" xr:uid="{00000000-0005-0000-0000-0000DF010000}"/>
    <cellStyle name="Финансовый 2 2 4 3" xfId="364" xr:uid="{00000000-0005-0000-0000-0000E0010000}"/>
    <cellStyle name="Финансовый 2 2 4 3 2" xfId="1331" xr:uid="{00000000-0005-0000-0000-0000E1010000}"/>
    <cellStyle name="Финансовый 2 2 4 4" xfId="646" xr:uid="{00000000-0005-0000-0000-0000E2010000}"/>
    <cellStyle name="Финансовый 2 2 4 4 2" xfId="1075" xr:uid="{00000000-0005-0000-0000-0000E3010000}"/>
    <cellStyle name="Финансовый 2 2 4 5" xfId="951" xr:uid="{00000000-0005-0000-0000-0000E4010000}"/>
    <cellStyle name="Финансовый 2 2 4 6" xfId="1596" xr:uid="{00000000-0005-0000-0000-0000E5010000}"/>
    <cellStyle name="Финансовый 2 2 4 7" xfId="823" xr:uid="{00000000-0005-0000-0000-0000E6010000}"/>
    <cellStyle name="Финансовый 2 2 5" xfId="98" xr:uid="{00000000-0005-0000-0000-0000E7010000}"/>
    <cellStyle name="Финансовый 2 2 5 2" xfId="234" xr:uid="{00000000-0005-0000-0000-0000E8010000}"/>
    <cellStyle name="Финансовый 2 2 5 2 2" xfId="506" xr:uid="{00000000-0005-0000-0000-0000E9010000}"/>
    <cellStyle name="Финансовый 2 2 5 2 2 2" xfId="1465" xr:uid="{00000000-0005-0000-0000-0000EA010000}"/>
    <cellStyle name="Финансовый 2 2 5 2 3" xfId="1209" xr:uid="{00000000-0005-0000-0000-0000EB010000}"/>
    <cellStyle name="Финансовый 2 2 5 2 4" xfId="1738" xr:uid="{00000000-0005-0000-0000-0000EC010000}"/>
    <cellStyle name="Финансовый 2 2 5 3" xfId="370" xr:uid="{00000000-0005-0000-0000-0000ED010000}"/>
    <cellStyle name="Финансовый 2 2 5 3 2" xfId="1337" xr:uid="{00000000-0005-0000-0000-0000EE010000}"/>
    <cellStyle name="Финансовый 2 2 5 4" xfId="647" xr:uid="{00000000-0005-0000-0000-0000EF010000}"/>
    <cellStyle name="Финансовый 2 2 5 4 2" xfId="1081" xr:uid="{00000000-0005-0000-0000-0000F0010000}"/>
    <cellStyle name="Финансовый 2 2 5 5" xfId="957" xr:uid="{00000000-0005-0000-0000-0000F1010000}"/>
    <cellStyle name="Финансовый 2 2 5 6" xfId="1602" xr:uid="{00000000-0005-0000-0000-0000F2010000}"/>
    <cellStyle name="Финансовый 2 2 5 7" xfId="829" xr:uid="{00000000-0005-0000-0000-0000F3010000}"/>
    <cellStyle name="Финансовый 2 2 6" xfId="110" xr:uid="{00000000-0005-0000-0000-0000F4010000}"/>
    <cellStyle name="Финансовый 2 2 6 2" xfId="246" xr:uid="{00000000-0005-0000-0000-0000F5010000}"/>
    <cellStyle name="Финансовый 2 2 6 2 2" xfId="518" xr:uid="{00000000-0005-0000-0000-0000F6010000}"/>
    <cellStyle name="Финансовый 2 2 6 2 2 2" xfId="1477" xr:uid="{00000000-0005-0000-0000-0000F7010000}"/>
    <cellStyle name="Финансовый 2 2 6 2 3" xfId="1221" xr:uid="{00000000-0005-0000-0000-0000F8010000}"/>
    <cellStyle name="Финансовый 2 2 6 2 4" xfId="1750" xr:uid="{00000000-0005-0000-0000-0000F9010000}"/>
    <cellStyle name="Финансовый 2 2 6 3" xfId="382" xr:uid="{00000000-0005-0000-0000-0000FA010000}"/>
    <cellStyle name="Финансовый 2 2 6 3 2" xfId="1349" xr:uid="{00000000-0005-0000-0000-0000FB010000}"/>
    <cellStyle name="Финансовый 2 2 6 4" xfId="634" xr:uid="{00000000-0005-0000-0000-0000FC010000}"/>
    <cellStyle name="Финансовый 2 2 6 4 2" xfId="1093" xr:uid="{00000000-0005-0000-0000-0000FD010000}"/>
    <cellStyle name="Финансовый 2 2 6 5" xfId="969" xr:uid="{00000000-0005-0000-0000-0000FE010000}"/>
    <cellStyle name="Финансовый 2 2 6 6" xfId="1614" xr:uid="{00000000-0005-0000-0000-0000FF010000}"/>
    <cellStyle name="Финансовый 2 2 6 7" xfId="841" xr:uid="{00000000-0005-0000-0000-000000020000}"/>
    <cellStyle name="Финансовый 2 2 7" xfId="65" xr:uid="{00000000-0005-0000-0000-000001020000}"/>
    <cellStyle name="Финансовый 2 2 7 2" xfId="201" xr:uid="{00000000-0005-0000-0000-000002020000}"/>
    <cellStyle name="Финансовый 2 2 7 2 2" xfId="473" xr:uid="{00000000-0005-0000-0000-000003020000}"/>
    <cellStyle name="Финансовый 2 2 7 2 2 2" xfId="1440" xr:uid="{00000000-0005-0000-0000-000004020000}"/>
    <cellStyle name="Финансовый 2 2 7 2 3" xfId="1184" xr:uid="{00000000-0005-0000-0000-000005020000}"/>
    <cellStyle name="Финансовый 2 2 7 2 4" xfId="1705" xr:uid="{00000000-0005-0000-0000-000006020000}"/>
    <cellStyle name="Финансовый 2 2 7 3" xfId="337" xr:uid="{00000000-0005-0000-0000-000007020000}"/>
    <cellStyle name="Финансовый 2 2 7 3 2" xfId="1312" xr:uid="{00000000-0005-0000-0000-000008020000}"/>
    <cellStyle name="Финансовый 2 2 7 4" xfId="648" xr:uid="{00000000-0005-0000-0000-000009020000}"/>
    <cellStyle name="Финансовый 2 2 7 4 2" xfId="1048" xr:uid="{00000000-0005-0000-0000-00000A020000}"/>
    <cellStyle name="Финансовый 2 2 7 5" xfId="932" xr:uid="{00000000-0005-0000-0000-00000B020000}"/>
    <cellStyle name="Финансовый 2 2 7 6" xfId="1569" xr:uid="{00000000-0005-0000-0000-00000C020000}"/>
    <cellStyle name="Финансовый 2 2 7 7" xfId="796" xr:uid="{00000000-0005-0000-0000-00000D020000}"/>
    <cellStyle name="Финансовый 2 2 8" xfId="52" xr:uid="{00000000-0005-0000-0000-00000E020000}"/>
    <cellStyle name="Финансовый 2 2 8 2" xfId="190" xr:uid="{00000000-0005-0000-0000-00000F020000}"/>
    <cellStyle name="Финансовый 2 2 8 2 2" xfId="462" xr:uid="{00000000-0005-0000-0000-000010020000}"/>
    <cellStyle name="Финансовый 2 2 8 2 2 2" xfId="1429" xr:uid="{00000000-0005-0000-0000-000011020000}"/>
    <cellStyle name="Финансовый 2 2 8 2 3" xfId="1173" xr:uid="{00000000-0005-0000-0000-000012020000}"/>
    <cellStyle name="Финансовый 2 2 8 2 4" xfId="1694" xr:uid="{00000000-0005-0000-0000-000013020000}"/>
    <cellStyle name="Финансовый 2 2 8 3" xfId="326" xr:uid="{00000000-0005-0000-0000-000014020000}"/>
    <cellStyle name="Финансовый 2 2 8 3 2" xfId="1301" xr:uid="{00000000-0005-0000-0000-000015020000}"/>
    <cellStyle name="Финансовый 2 2 8 4" xfId="649" xr:uid="{00000000-0005-0000-0000-000016020000}"/>
    <cellStyle name="Финансовый 2 2 8 4 2" xfId="1037" xr:uid="{00000000-0005-0000-0000-000017020000}"/>
    <cellStyle name="Финансовый 2 2 8 5" xfId="921" xr:uid="{00000000-0005-0000-0000-000018020000}"/>
    <cellStyle name="Финансовый 2 2 8 6" xfId="1557" xr:uid="{00000000-0005-0000-0000-000019020000}"/>
    <cellStyle name="Финансовый 2 2 8 7" xfId="784" xr:uid="{00000000-0005-0000-0000-00001A020000}"/>
    <cellStyle name="Финансовый 2 2 9" xfId="130" xr:uid="{00000000-0005-0000-0000-00001B020000}"/>
    <cellStyle name="Финансовый 2 2 9 2" xfId="266" xr:uid="{00000000-0005-0000-0000-00001C020000}"/>
    <cellStyle name="Финансовый 2 2 9 2 2" xfId="538" xr:uid="{00000000-0005-0000-0000-00001D020000}"/>
    <cellStyle name="Финансовый 2 2 9 2 2 2" xfId="1497" xr:uid="{00000000-0005-0000-0000-00001E020000}"/>
    <cellStyle name="Финансовый 2 2 9 2 3" xfId="1241" xr:uid="{00000000-0005-0000-0000-00001F020000}"/>
    <cellStyle name="Финансовый 2 2 9 2 4" xfId="1770" xr:uid="{00000000-0005-0000-0000-000020020000}"/>
    <cellStyle name="Финансовый 2 2 9 3" xfId="402" xr:uid="{00000000-0005-0000-0000-000021020000}"/>
    <cellStyle name="Финансовый 2 2 9 3 2" xfId="1369" xr:uid="{00000000-0005-0000-0000-000022020000}"/>
    <cellStyle name="Финансовый 2 2 9 4" xfId="650" xr:uid="{00000000-0005-0000-0000-000023020000}"/>
    <cellStyle name="Финансовый 2 2 9 4 2" xfId="1113" xr:uid="{00000000-0005-0000-0000-000024020000}"/>
    <cellStyle name="Финансовый 2 2 9 5" xfId="989" xr:uid="{00000000-0005-0000-0000-000025020000}"/>
    <cellStyle name="Финансовый 2 2 9 6" xfId="1634" xr:uid="{00000000-0005-0000-0000-000026020000}"/>
    <cellStyle name="Финансовый 2 2 9 7" xfId="861" xr:uid="{00000000-0005-0000-0000-000027020000}"/>
    <cellStyle name="Финансовый 2 20" xfId="734" xr:uid="{00000000-0005-0000-0000-000028020000}"/>
    <cellStyle name="Финансовый 2 3" xfId="6" xr:uid="{00000000-0005-0000-0000-000029020000}"/>
    <cellStyle name="Финансовый 2 3 10" xfId="30" xr:uid="{00000000-0005-0000-0000-00002A020000}"/>
    <cellStyle name="Финансовый 2 3 10 2" xfId="168" xr:uid="{00000000-0005-0000-0000-00002B020000}"/>
    <cellStyle name="Финансовый 2 3 10 2 2" xfId="440" xr:uid="{00000000-0005-0000-0000-00002C020000}"/>
    <cellStyle name="Финансовый 2 3 10 2 2 2" xfId="1407" xr:uid="{00000000-0005-0000-0000-00002D020000}"/>
    <cellStyle name="Финансовый 2 3 10 2 3" xfId="1151" xr:uid="{00000000-0005-0000-0000-00002E020000}"/>
    <cellStyle name="Финансовый 2 3 10 2 4" xfId="1672" xr:uid="{00000000-0005-0000-0000-00002F020000}"/>
    <cellStyle name="Финансовый 2 3 10 3" xfId="304" xr:uid="{00000000-0005-0000-0000-000030020000}"/>
    <cellStyle name="Финансовый 2 3 10 3 2" xfId="1279" xr:uid="{00000000-0005-0000-0000-000031020000}"/>
    <cellStyle name="Финансовый 2 3 10 4" xfId="654" xr:uid="{00000000-0005-0000-0000-000032020000}"/>
    <cellStyle name="Финансовый 2 3 10 4 2" xfId="1015" xr:uid="{00000000-0005-0000-0000-000033020000}"/>
    <cellStyle name="Финансовый 2 3 10 5" xfId="899" xr:uid="{00000000-0005-0000-0000-000034020000}"/>
    <cellStyle name="Финансовый 2 3 10 6" xfId="1535" xr:uid="{00000000-0005-0000-0000-000035020000}"/>
    <cellStyle name="Финансовый 2 3 10 7" xfId="762" xr:uid="{00000000-0005-0000-0000-000036020000}"/>
    <cellStyle name="Финансовый 2 3 11" xfId="18" xr:uid="{00000000-0005-0000-0000-000037020000}"/>
    <cellStyle name="Финансовый 2 3 11 2" xfId="156" xr:uid="{00000000-0005-0000-0000-000038020000}"/>
    <cellStyle name="Финансовый 2 3 11 2 2" xfId="428" xr:uid="{00000000-0005-0000-0000-000039020000}"/>
    <cellStyle name="Финансовый 2 3 11 2 2 2" xfId="1395" xr:uid="{00000000-0005-0000-0000-00003A020000}"/>
    <cellStyle name="Финансовый 2 3 11 2 3" xfId="1139" xr:uid="{00000000-0005-0000-0000-00003B020000}"/>
    <cellStyle name="Финансовый 2 3 11 2 4" xfId="1660" xr:uid="{00000000-0005-0000-0000-00003C020000}"/>
    <cellStyle name="Финансовый 2 3 11 3" xfId="292" xr:uid="{00000000-0005-0000-0000-00003D020000}"/>
    <cellStyle name="Финансовый 2 3 11 3 2" xfId="1267" xr:uid="{00000000-0005-0000-0000-00003E020000}"/>
    <cellStyle name="Финансовый 2 3 11 4" xfId="622" xr:uid="{00000000-0005-0000-0000-00003F020000}"/>
    <cellStyle name="Финансовый 2 3 11 4 2" xfId="1003" xr:uid="{00000000-0005-0000-0000-000040020000}"/>
    <cellStyle name="Финансовый 2 3 11 5" xfId="887" xr:uid="{00000000-0005-0000-0000-000041020000}"/>
    <cellStyle name="Финансовый 2 3 11 6" xfId="1523" xr:uid="{00000000-0005-0000-0000-000042020000}"/>
    <cellStyle name="Финансовый 2 3 11 7" xfId="750" xr:uid="{00000000-0005-0000-0000-000043020000}"/>
    <cellStyle name="Финансовый 2 3 12" xfId="144" xr:uid="{00000000-0005-0000-0000-000044020000}"/>
    <cellStyle name="Финансовый 2 3 12 2" xfId="416" xr:uid="{00000000-0005-0000-0000-000045020000}"/>
    <cellStyle name="Финансовый 2 3 12 2 2" xfId="1383" xr:uid="{00000000-0005-0000-0000-000046020000}"/>
    <cellStyle name="Финансовый 2 3 12 3" xfId="1127" xr:uid="{00000000-0005-0000-0000-000047020000}"/>
    <cellStyle name="Финансовый 2 3 12 4" xfId="1648" xr:uid="{00000000-0005-0000-0000-000048020000}"/>
    <cellStyle name="Финансовый 2 3 13" xfId="552" xr:uid="{00000000-0005-0000-0000-000049020000}"/>
    <cellStyle name="Финансовый 2 3 13 2" xfId="1255" xr:uid="{00000000-0005-0000-0000-00004A020000}"/>
    <cellStyle name="Финансовый 2 3 14" xfId="280" xr:uid="{00000000-0005-0000-0000-00004B020000}"/>
    <cellStyle name="Финансовый 2 3 15" xfId="652" xr:uid="{00000000-0005-0000-0000-00004C020000}"/>
    <cellStyle name="Финансовый 2 3 15 2" xfId="875" xr:uid="{00000000-0005-0000-0000-00004D020000}"/>
    <cellStyle name="Финансовый 2 3 16" xfId="1511" xr:uid="{00000000-0005-0000-0000-00004E020000}"/>
    <cellStyle name="Финансовый 2 3 17" xfId="738" xr:uid="{00000000-0005-0000-0000-00004F020000}"/>
    <cellStyle name="Финансовый 2 3 2" xfId="12" xr:uid="{00000000-0005-0000-0000-000050020000}"/>
    <cellStyle name="Финансовый 2 3 2 10" xfId="558" xr:uid="{00000000-0005-0000-0000-000051020000}"/>
    <cellStyle name="Финансовый 2 3 2 10 2" xfId="1261" xr:uid="{00000000-0005-0000-0000-000052020000}"/>
    <cellStyle name="Финансовый 2 3 2 11" xfId="286" xr:uid="{00000000-0005-0000-0000-000053020000}"/>
    <cellStyle name="Финансовый 2 3 2 12" xfId="655" xr:uid="{00000000-0005-0000-0000-000054020000}"/>
    <cellStyle name="Финансовый 2 3 2 12 2" xfId="881" xr:uid="{00000000-0005-0000-0000-000055020000}"/>
    <cellStyle name="Финансовый 2 3 2 13" xfId="1517" xr:uid="{00000000-0005-0000-0000-000056020000}"/>
    <cellStyle name="Финансовый 2 3 2 14" xfId="744" xr:uid="{00000000-0005-0000-0000-000057020000}"/>
    <cellStyle name="Финансовый 2 3 2 2" xfId="48" xr:uid="{00000000-0005-0000-0000-000058020000}"/>
    <cellStyle name="Финансовый 2 3 2 2 2" xfId="106" xr:uid="{00000000-0005-0000-0000-000059020000}"/>
    <cellStyle name="Финансовый 2 3 2 2 2 2" xfId="242" xr:uid="{00000000-0005-0000-0000-00005A020000}"/>
    <cellStyle name="Финансовый 2 3 2 2 2 2 2" xfId="514" xr:uid="{00000000-0005-0000-0000-00005B020000}"/>
    <cellStyle name="Финансовый 2 3 2 2 2 2 2 2" xfId="1473" xr:uid="{00000000-0005-0000-0000-00005C020000}"/>
    <cellStyle name="Финансовый 2 3 2 2 2 2 3" xfId="1217" xr:uid="{00000000-0005-0000-0000-00005D020000}"/>
    <cellStyle name="Финансовый 2 3 2 2 2 2 4" xfId="1746" xr:uid="{00000000-0005-0000-0000-00005E020000}"/>
    <cellStyle name="Финансовый 2 3 2 2 2 3" xfId="378" xr:uid="{00000000-0005-0000-0000-00005F020000}"/>
    <cellStyle name="Финансовый 2 3 2 2 2 3 2" xfId="1345" xr:uid="{00000000-0005-0000-0000-000060020000}"/>
    <cellStyle name="Финансовый 2 3 2 2 2 4" xfId="657" xr:uid="{00000000-0005-0000-0000-000061020000}"/>
    <cellStyle name="Финансовый 2 3 2 2 2 4 2" xfId="1089" xr:uid="{00000000-0005-0000-0000-000062020000}"/>
    <cellStyle name="Финансовый 2 3 2 2 2 5" xfId="965" xr:uid="{00000000-0005-0000-0000-000063020000}"/>
    <cellStyle name="Финансовый 2 3 2 2 2 6" xfId="1610" xr:uid="{00000000-0005-0000-0000-000064020000}"/>
    <cellStyle name="Финансовый 2 3 2 2 2 7" xfId="837" xr:uid="{00000000-0005-0000-0000-000065020000}"/>
    <cellStyle name="Финансовый 2 3 2 2 3" xfId="186" xr:uid="{00000000-0005-0000-0000-000066020000}"/>
    <cellStyle name="Финансовый 2 3 2 2 3 2" xfId="458" xr:uid="{00000000-0005-0000-0000-000067020000}"/>
    <cellStyle name="Финансовый 2 3 2 2 3 2 2" xfId="1425" xr:uid="{00000000-0005-0000-0000-000068020000}"/>
    <cellStyle name="Финансовый 2 3 2 2 3 3" xfId="1169" xr:uid="{00000000-0005-0000-0000-000069020000}"/>
    <cellStyle name="Финансовый 2 3 2 2 3 4" xfId="1690" xr:uid="{00000000-0005-0000-0000-00006A020000}"/>
    <cellStyle name="Финансовый 2 3 2 2 4" xfId="322" xr:uid="{00000000-0005-0000-0000-00006B020000}"/>
    <cellStyle name="Финансовый 2 3 2 2 4 2" xfId="1297" xr:uid="{00000000-0005-0000-0000-00006C020000}"/>
    <cellStyle name="Финансовый 2 3 2 2 5" xfId="656" xr:uid="{00000000-0005-0000-0000-00006D020000}"/>
    <cellStyle name="Финансовый 2 3 2 2 5 2" xfId="1033" xr:uid="{00000000-0005-0000-0000-00006E020000}"/>
    <cellStyle name="Финансовый 2 3 2 2 6" xfId="917" xr:uid="{00000000-0005-0000-0000-00006F020000}"/>
    <cellStyle name="Финансовый 2 3 2 2 7" xfId="1553" xr:uid="{00000000-0005-0000-0000-000070020000}"/>
    <cellStyle name="Финансовый 2 3 2 2 8" xfId="780" xr:uid="{00000000-0005-0000-0000-000071020000}"/>
    <cellStyle name="Финансовый 2 3 2 3" xfId="118" xr:uid="{00000000-0005-0000-0000-000072020000}"/>
    <cellStyle name="Финансовый 2 3 2 3 2" xfId="254" xr:uid="{00000000-0005-0000-0000-000073020000}"/>
    <cellStyle name="Финансовый 2 3 2 3 2 2" xfId="526" xr:uid="{00000000-0005-0000-0000-000074020000}"/>
    <cellStyle name="Финансовый 2 3 2 3 2 2 2" xfId="1485" xr:uid="{00000000-0005-0000-0000-000075020000}"/>
    <cellStyle name="Финансовый 2 3 2 3 2 3" xfId="1229" xr:uid="{00000000-0005-0000-0000-000076020000}"/>
    <cellStyle name="Финансовый 2 3 2 3 2 4" xfId="1758" xr:uid="{00000000-0005-0000-0000-000077020000}"/>
    <cellStyle name="Финансовый 2 3 2 3 3" xfId="390" xr:uid="{00000000-0005-0000-0000-000078020000}"/>
    <cellStyle name="Финансовый 2 3 2 3 3 2" xfId="1357" xr:uid="{00000000-0005-0000-0000-000079020000}"/>
    <cellStyle name="Финансовый 2 3 2 3 4" xfId="658" xr:uid="{00000000-0005-0000-0000-00007A020000}"/>
    <cellStyle name="Финансовый 2 3 2 3 4 2" xfId="1101" xr:uid="{00000000-0005-0000-0000-00007B020000}"/>
    <cellStyle name="Финансовый 2 3 2 3 5" xfId="977" xr:uid="{00000000-0005-0000-0000-00007C020000}"/>
    <cellStyle name="Финансовый 2 3 2 3 6" xfId="1622" xr:uid="{00000000-0005-0000-0000-00007D020000}"/>
    <cellStyle name="Финансовый 2 3 2 3 7" xfId="849" xr:uid="{00000000-0005-0000-0000-00007E020000}"/>
    <cellStyle name="Финансовый 2 3 2 4" xfId="82" xr:uid="{00000000-0005-0000-0000-00007F020000}"/>
    <cellStyle name="Финансовый 2 3 2 4 2" xfId="218" xr:uid="{00000000-0005-0000-0000-000080020000}"/>
    <cellStyle name="Финансовый 2 3 2 4 2 2" xfId="490" xr:uid="{00000000-0005-0000-0000-000081020000}"/>
    <cellStyle name="Финансовый 2 3 2 4 2 2 2" xfId="1449" xr:uid="{00000000-0005-0000-0000-000082020000}"/>
    <cellStyle name="Финансовый 2 3 2 4 2 3" xfId="1193" xr:uid="{00000000-0005-0000-0000-000083020000}"/>
    <cellStyle name="Финансовый 2 3 2 4 2 4" xfId="1722" xr:uid="{00000000-0005-0000-0000-000084020000}"/>
    <cellStyle name="Финансовый 2 3 2 4 3" xfId="354" xr:uid="{00000000-0005-0000-0000-000085020000}"/>
    <cellStyle name="Финансовый 2 3 2 4 3 2" xfId="1321" xr:uid="{00000000-0005-0000-0000-000086020000}"/>
    <cellStyle name="Финансовый 2 3 2 4 4" xfId="659" xr:uid="{00000000-0005-0000-0000-000087020000}"/>
    <cellStyle name="Финансовый 2 3 2 4 4 2" xfId="1065" xr:uid="{00000000-0005-0000-0000-000088020000}"/>
    <cellStyle name="Финансовый 2 3 2 4 5" xfId="941" xr:uid="{00000000-0005-0000-0000-000089020000}"/>
    <cellStyle name="Финансовый 2 3 2 4 6" xfId="1586" xr:uid="{00000000-0005-0000-0000-00008A020000}"/>
    <cellStyle name="Финансовый 2 3 2 4 7" xfId="813" xr:uid="{00000000-0005-0000-0000-00008B020000}"/>
    <cellStyle name="Финансовый 2 3 2 5" xfId="60" xr:uid="{00000000-0005-0000-0000-00008C020000}"/>
    <cellStyle name="Финансовый 2 3 2 5 2" xfId="198" xr:uid="{00000000-0005-0000-0000-00008D020000}"/>
    <cellStyle name="Финансовый 2 3 2 5 2 2" xfId="470" xr:uid="{00000000-0005-0000-0000-00008E020000}"/>
    <cellStyle name="Финансовый 2 3 2 5 2 2 2" xfId="1437" xr:uid="{00000000-0005-0000-0000-00008F020000}"/>
    <cellStyle name="Финансовый 2 3 2 5 2 3" xfId="1181" xr:uid="{00000000-0005-0000-0000-000090020000}"/>
    <cellStyle name="Финансовый 2 3 2 5 2 4" xfId="1702" xr:uid="{00000000-0005-0000-0000-000091020000}"/>
    <cellStyle name="Финансовый 2 3 2 5 3" xfId="334" xr:uid="{00000000-0005-0000-0000-000092020000}"/>
    <cellStyle name="Финансовый 2 3 2 5 3 2" xfId="1309" xr:uid="{00000000-0005-0000-0000-000093020000}"/>
    <cellStyle name="Финансовый 2 3 2 5 4" xfId="660" xr:uid="{00000000-0005-0000-0000-000094020000}"/>
    <cellStyle name="Финансовый 2 3 2 5 4 2" xfId="1045" xr:uid="{00000000-0005-0000-0000-000095020000}"/>
    <cellStyle name="Финансовый 2 3 2 5 5" xfId="929" xr:uid="{00000000-0005-0000-0000-000096020000}"/>
    <cellStyle name="Финансовый 2 3 2 5 6" xfId="1565" xr:uid="{00000000-0005-0000-0000-000097020000}"/>
    <cellStyle name="Финансовый 2 3 2 5 7" xfId="792" xr:uid="{00000000-0005-0000-0000-000098020000}"/>
    <cellStyle name="Финансовый 2 3 2 6" xfId="138" xr:uid="{00000000-0005-0000-0000-000099020000}"/>
    <cellStyle name="Финансовый 2 3 2 6 2" xfId="274" xr:uid="{00000000-0005-0000-0000-00009A020000}"/>
    <cellStyle name="Финансовый 2 3 2 6 2 2" xfId="546" xr:uid="{00000000-0005-0000-0000-00009B020000}"/>
    <cellStyle name="Финансовый 2 3 2 6 2 2 2" xfId="1505" xr:uid="{00000000-0005-0000-0000-00009C020000}"/>
    <cellStyle name="Финансовый 2 3 2 6 2 3" xfId="1249" xr:uid="{00000000-0005-0000-0000-00009D020000}"/>
    <cellStyle name="Финансовый 2 3 2 6 2 4" xfId="1778" xr:uid="{00000000-0005-0000-0000-00009E020000}"/>
    <cellStyle name="Финансовый 2 3 2 6 3" xfId="410" xr:uid="{00000000-0005-0000-0000-00009F020000}"/>
    <cellStyle name="Финансовый 2 3 2 6 3 2" xfId="1377" xr:uid="{00000000-0005-0000-0000-0000A0020000}"/>
    <cellStyle name="Финансовый 2 3 2 6 4" xfId="661" xr:uid="{00000000-0005-0000-0000-0000A1020000}"/>
    <cellStyle name="Финансовый 2 3 2 6 4 2" xfId="1121" xr:uid="{00000000-0005-0000-0000-0000A2020000}"/>
    <cellStyle name="Финансовый 2 3 2 6 5" xfId="997" xr:uid="{00000000-0005-0000-0000-0000A3020000}"/>
    <cellStyle name="Финансовый 2 3 2 6 6" xfId="1642" xr:uid="{00000000-0005-0000-0000-0000A4020000}"/>
    <cellStyle name="Финансовый 2 3 2 6 7" xfId="869" xr:uid="{00000000-0005-0000-0000-0000A5020000}"/>
    <cellStyle name="Финансовый 2 3 2 7" xfId="36" xr:uid="{00000000-0005-0000-0000-0000A6020000}"/>
    <cellStyle name="Финансовый 2 3 2 7 2" xfId="174" xr:uid="{00000000-0005-0000-0000-0000A7020000}"/>
    <cellStyle name="Финансовый 2 3 2 7 2 2" xfId="446" xr:uid="{00000000-0005-0000-0000-0000A8020000}"/>
    <cellStyle name="Финансовый 2 3 2 7 2 2 2" xfId="1413" xr:uid="{00000000-0005-0000-0000-0000A9020000}"/>
    <cellStyle name="Финансовый 2 3 2 7 2 3" xfId="1157" xr:uid="{00000000-0005-0000-0000-0000AA020000}"/>
    <cellStyle name="Финансовый 2 3 2 7 2 4" xfId="1678" xr:uid="{00000000-0005-0000-0000-0000AB020000}"/>
    <cellStyle name="Финансовый 2 3 2 7 3" xfId="310" xr:uid="{00000000-0005-0000-0000-0000AC020000}"/>
    <cellStyle name="Финансовый 2 3 2 7 3 2" xfId="1285" xr:uid="{00000000-0005-0000-0000-0000AD020000}"/>
    <cellStyle name="Финансовый 2 3 2 7 4" xfId="631" xr:uid="{00000000-0005-0000-0000-0000AE020000}"/>
    <cellStyle name="Финансовый 2 3 2 7 4 2" xfId="1021" xr:uid="{00000000-0005-0000-0000-0000AF020000}"/>
    <cellStyle name="Финансовый 2 3 2 7 5" xfId="905" xr:uid="{00000000-0005-0000-0000-0000B0020000}"/>
    <cellStyle name="Финансовый 2 3 2 7 6" xfId="1541" xr:uid="{00000000-0005-0000-0000-0000B1020000}"/>
    <cellStyle name="Финансовый 2 3 2 7 7" xfId="768" xr:uid="{00000000-0005-0000-0000-0000B2020000}"/>
    <cellStyle name="Финансовый 2 3 2 8" xfId="24" xr:uid="{00000000-0005-0000-0000-0000B3020000}"/>
    <cellStyle name="Финансовый 2 3 2 8 2" xfId="162" xr:uid="{00000000-0005-0000-0000-0000B4020000}"/>
    <cellStyle name="Финансовый 2 3 2 8 2 2" xfId="434" xr:uid="{00000000-0005-0000-0000-0000B5020000}"/>
    <cellStyle name="Финансовый 2 3 2 8 2 2 2" xfId="1401" xr:uid="{00000000-0005-0000-0000-0000B6020000}"/>
    <cellStyle name="Финансовый 2 3 2 8 2 3" xfId="1145" xr:uid="{00000000-0005-0000-0000-0000B7020000}"/>
    <cellStyle name="Финансовый 2 3 2 8 2 4" xfId="1666" xr:uid="{00000000-0005-0000-0000-0000B8020000}"/>
    <cellStyle name="Финансовый 2 3 2 8 3" xfId="298" xr:uid="{00000000-0005-0000-0000-0000B9020000}"/>
    <cellStyle name="Финансовый 2 3 2 8 3 2" xfId="1273" xr:uid="{00000000-0005-0000-0000-0000BA020000}"/>
    <cellStyle name="Финансовый 2 3 2 8 4" xfId="642" xr:uid="{00000000-0005-0000-0000-0000BB020000}"/>
    <cellStyle name="Финансовый 2 3 2 8 4 2" xfId="1009" xr:uid="{00000000-0005-0000-0000-0000BC020000}"/>
    <cellStyle name="Финансовый 2 3 2 8 5" xfId="893" xr:uid="{00000000-0005-0000-0000-0000BD020000}"/>
    <cellStyle name="Финансовый 2 3 2 8 6" xfId="1529" xr:uid="{00000000-0005-0000-0000-0000BE020000}"/>
    <cellStyle name="Финансовый 2 3 2 8 7" xfId="756" xr:uid="{00000000-0005-0000-0000-0000BF020000}"/>
    <cellStyle name="Финансовый 2 3 2 9" xfId="150" xr:uid="{00000000-0005-0000-0000-0000C0020000}"/>
    <cellStyle name="Финансовый 2 3 2 9 2" xfId="422" xr:uid="{00000000-0005-0000-0000-0000C1020000}"/>
    <cellStyle name="Финансовый 2 3 2 9 2 2" xfId="1389" xr:uid="{00000000-0005-0000-0000-0000C2020000}"/>
    <cellStyle name="Финансовый 2 3 2 9 3" xfId="1133" xr:uid="{00000000-0005-0000-0000-0000C3020000}"/>
    <cellStyle name="Финансовый 2 3 2 9 4" xfId="1654" xr:uid="{00000000-0005-0000-0000-0000C4020000}"/>
    <cellStyle name="Финансовый 2 3 3" xfId="42" xr:uid="{00000000-0005-0000-0000-0000C5020000}"/>
    <cellStyle name="Финансовый 2 3 3 2" xfId="124" xr:uid="{00000000-0005-0000-0000-0000C6020000}"/>
    <cellStyle name="Финансовый 2 3 3 2 2" xfId="260" xr:uid="{00000000-0005-0000-0000-0000C7020000}"/>
    <cellStyle name="Финансовый 2 3 3 2 2 2" xfId="532" xr:uid="{00000000-0005-0000-0000-0000C8020000}"/>
    <cellStyle name="Финансовый 2 3 3 2 2 2 2" xfId="1491" xr:uid="{00000000-0005-0000-0000-0000C9020000}"/>
    <cellStyle name="Финансовый 2 3 3 2 2 3" xfId="1235" xr:uid="{00000000-0005-0000-0000-0000CA020000}"/>
    <cellStyle name="Финансовый 2 3 3 2 2 4" xfId="1764" xr:uid="{00000000-0005-0000-0000-0000CB020000}"/>
    <cellStyle name="Финансовый 2 3 3 2 3" xfId="396" xr:uid="{00000000-0005-0000-0000-0000CC020000}"/>
    <cellStyle name="Финансовый 2 3 3 2 3 2" xfId="1363" xr:uid="{00000000-0005-0000-0000-0000CD020000}"/>
    <cellStyle name="Финансовый 2 3 3 2 4" xfId="663" xr:uid="{00000000-0005-0000-0000-0000CE020000}"/>
    <cellStyle name="Финансовый 2 3 3 2 4 2" xfId="1107" xr:uid="{00000000-0005-0000-0000-0000CF020000}"/>
    <cellStyle name="Финансовый 2 3 3 2 5" xfId="983" xr:uid="{00000000-0005-0000-0000-0000D0020000}"/>
    <cellStyle name="Финансовый 2 3 3 2 6" xfId="1628" xr:uid="{00000000-0005-0000-0000-0000D1020000}"/>
    <cellStyle name="Финансовый 2 3 3 2 7" xfId="855" xr:uid="{00000000-0005-0000-0000-0000D2020000}"/>
    <cellStyle name="Финансовый 2 3 3 3" xfId="88" xr:uid="{00000000-0005-0000-0000-0000D3020000}"/>
    <cellStyle name="Финансовый 2 3 3 3 2" xfId="224" xr:uid="{00000000-0005-0000-0000-0000D4020000}"/>
    <cellStyle name="Финансовый 2 3 3 3 2 2" xfId="496" xr:uid="{00000000-0005-0000-0000-0000D5020000}"/>
    <cellStyle name="Финансовый 2 3 3 3 2 2 2" xfId="1455" xr:uid="{00000000-0005-0000-0000-0000D6020000}"/>
    <cellStyle name="Финансовый 2 3 3 3 2 3" xfId="1199" xr:uid="{00000000-0005-0000-0000-0000D7020000}"/>
    <cellStyle name="Финансовый 2 3 3 3 2 4" xfId="1728" xr:uid="{00000000-0005-0000-0000-0000D8020000}"/>
    <cellStyle name="Финансовый 2 3 3 3 3" xfId="360" xr:uid="{00000000-0005-0000-0000-0000D9020000}"/>
    <cellStyle name="Финансовый 2 3 3 3 3 2" xfId="1327" xr:uid="{00000000-0005-0000-0000-0000DA020000}"/>
    <cellStyle name="Финансовый 2 3 3 3 4" xfId="664" xr:uid="{00000000-0005-0000-0000-0000DB020000}"/>
    <cellStyle name="Финансовый 2 3 3 3 4 2" xfId="1071" xr:uid="{00000000-0005-0000-0000-0000DC020000}"/>
    <cellStyle name="Финансовый 2 3 3 3 5" xfId="947" xr:uid="{00000000-0005-0000-0000-0000DD020000}"/>
    <cellStyle name="Финансовый 2 3 3 3 6" xfId="1592" xr:uid="{00000000-0005-0000-0000-0000DE020000}"/>
    <cellStyle name="Финансовый 2 3 3 3 7" xfId="819" xr:uid="{00000000-0005-0000-0000-0000DF020000}"/>
    <cellStyle name="Финансовый 2 3 3 4" xfId="180" xr:uid="{00000000-0005-0000-0000-0000E0020000}"/>
    <cellStyle name="Финансовый 2 3 3 4 2" xfId="452" xr:uid="{00000000-0005-0000-0000-0000E1020000}"/>
    <cellStyle name="Финансовый 2 3 3 4 2 2" xfId="1419" xr:uid="{00000000-0005-0000-0000-0000E2020000}"/>
    <cellStyle name="Финансовый 2 3 3 4 3" xfId="1163" xr:uid="{00000000-0005-0000-0000-0000E3020000}"/>
    <cellStyle name="Финансовый 2 3 3 4 4" xfId="1684" xr:uid="{00000000-0005-0000-0000-0000E4020000}"/>
    <cellStyle name="Финансовый 2 3 3 5" xfId="316" xr:uid="{00000000-0005-0000-0000-0000E5020000}"/>
    <cellStyle name="Финансовый 2 3 3 5 2" xfId="1291" xr:uid="{00000000-0005-0000-0000-0000E6020000}"/>
    <cellStyle name="Финансовый 2 3 3 6" xfId="662" xr:uid="{00000000-0005-0000-0000-0000E7020000}"/>
    <cellStyle name="Финансовый 2 3 3 6 2" xfId="1027" xr:uid="{00000000-0005-0000-0000-0000E8020000}"/>
    <cellStyle name="Финансовый 2 3 3 7" xfId="911" xr:uid="{00000000-0005-0000-0000-0000E9020000}"/>
    <cellStyle name="Финансовый 2 3 3 8" xfId="1547" xr:uid="{00000000-0005-0000-0000-0000EA020000}"/>
    <cellStyle name="Финансовый 2 3 3 9" xfId="774" xr:uid="{00000000-0005-0000-0000-0000EB020000}"/>
    <cellStyle name="Финансовый 2 3 4" xfId="94" xr:uid="{00000000-0005-0000-0000-0000EC020000}"/>
    <cellStyle name="Финансовый 2 3 4 2" xfId="230" xr:uid="{00000000-0005-0000-0000-0000ED020000}"/>
    <cellStyle name="Финансовый 2 3 4 2 2" xfId="502" xr:uid="{00000000-0005-0000-0000-0000EE020000}"/>
    <cellStyle name="Финансовый 2 3 4 2 2 2" xfId="1461" xr:uid="{00000000-0005-0000-0000-0000EF020000}"/>
    <cellStyle name="Финансовый 2 3 4 2 3" xfId="1205" xr:uid="{00000000-0005-0000-0000-0000F0020000}"/>
    <cellStyle name="Финансовый 2 3 4 2 4" xfId="1734" xr:uid="{00000000-0005-0000-0000-0000F1020000}"/>
    <cellStyle name="Финансовый 2 3 4 3" xfId="366" xr:uid="{00000000-0005-0000-0000-0000F2020000}"/>
    <cellStyle name="Финансовый 2 3 4 3 2" xfId="1333" xr:uid="{00000000-0005-0000-0000-0000F3020000}"/>
    <cellStyle name="Финансовый 2 3 4 4" xfId="665" xr:uid="{00000000-0005-0000-0000-0000F4020000}"/>
    <cellStyle name="Финансовый 2 3 4 4 2" xfId="1077" xr:uid="{00000000-0005-0000-0000-0000F5020000}"/>
    <cellStyle name="Финансовый 2 3 4 5" xfId="953" xr:uid="{00000000-0005-0000-0000-0000F6020000}"/>
    <cellStyle name="Финансовый 2 3 4 6" xfId="1598" xr:uid="{00000000-0005-0000-0000-0000F7020000}"/>
    <cellStyle name="Финансовый 2 3 4 7" xfId="825" xr:uid="{00000000-0005-0000-0000-0000F8020000}"/>
    <cellStyle name="Финансовый 2 3 5" xfId="100" xr:uid="{00000000-0005-0000-0000-0000F9020000}"/>
    <cellStyle name="Финансовый 2 3 5 2" xfId="236" xr:uid="{00000000-0005-0000-0000-0000FA020000}"/>
    <cellStyle name="Финансовый 2 3 5 2 2" xfId="508" xr:uid="{00000000-0005-0000-0000-0000FB020000}"/>
    <cellStyle name="Финансовый 2 3 5 2 2 2" xfId="1467" xr:uid="{00000000-0005-0000-0000-0000FC020000}"/>
    <cellStyle name="Финансовый 2 3 5 2 3" xfId="1211" xr:uid="{00000000-0005-0000-0000-0000FD020000}"/>
    <cellStyle name="Финансовый 2 3 5 2 4" xfId="1740" xr:uid="{00000000-0005-0000-0000-0000FE020000}"/>
    <cellStyle name="Финансовый 2 3 5 3" xfId="372" xr:uid="{00000000-0005-0000-0000-0000FF020000}"/>
    <cellStyle name="Финансовый 2 3 5 3 2" xfId="1339" xr:uid="{00000000-0005-0000-0000-000000030000}"/>
    <cellStyle name="Финансовый 2 3 5 4" xfId="666" xr:uid="{00000000-0005-0000-0000-000001030000}"/>
    <cellStyle name="Финансовый 2 3 5 4 2" xfId="1083" xr:uid="{00000000-0005-0000-0000-000002030000}"/>
    <cellStyle name="Финансовый 2 3 5 5" xfId="959" xr:uid="{00000000-0005-0000-0000-000003030000}"/>
    <cellStyle name="Финансовый 2 3 5 6" xfId="1604" xr:uid="{00000000-0005-0000-0000-000004030000}"/>
    <cellStyle name="Финансовый 2 3 5 7" xfId="831" xr:uid="{00000000-0005-0000-0000-000005030000}"/>
    <cellStyle name="Финансовый 2 3 6" xfId="112" xr:uid="{00000000-0005-0000-0000-000006030000}"/>
    <cellStyle name="Финансовый 2 3 6 2" xfId="248" xr:uid="{00000000-0005-0000-0000-000007030000}"/>
    <cellStyle name="Финансовый 2 3 6 2 2" xfId="520" xr:uid="{00000000-0005-0000-0000-000008030000}"/>
    <cellStyle name="Финансовый 2 3 6 2 2 2" xfId="1479" xr:uid="{00000000-0005-0000-0000-000009030000}"/>
    <cellStyle name="Финансовый 2 3 6 2 3" xfId="1223" xr:uid="{00000000-0005-0000-0000-00000A030000}"/>
    <cellStyle name="Финансовый 2 3 6 2 4" xfId="1752" xr:uid="{00000000-0005-0000-0000-00000B030000}"/>
    <cellStyle name="Финансовый 2 3 6 3" xfId="384" xr:uid="{00000000-0005-0000-0000-00000C030000}"/>
    <cellStyle name="Финансовый 2 3 6 3 2" xfId="1351" xr:uid="{00000000-0005-0000-0000-00000D030000}"/>
    <cellStyle name="Финансовый 2 3 6 4" xfId="667" xr:uid="{00000000-0005-0000-0000-00000E030000}"/>
    <cellStyle name="Финансовый 2 3 6 4 2" xfId="1095" xr:uid="{00000000-0005-0000-0000-00000F030000}"/>
    <cellStyle name="Финансовый 2 3 6 5" xfId="971" xr:uid="{00000000-0005-0000-0000-000010030000}"/>
    <cellStyle name="Финансовый 2 3 6 6" xfId="1616" xr:uid="{00000000-0005-0000-0000-000011030000}"/>
    <cellStyle name="Финансовый 2 3 6 7" xfId="843" xr:uid="{00000000-0005-0000-0000-000012030000}"/>
    <cellStyle name="Финансовый 2 3 7" xfId="76" xr:uid="{00000000-0005-0000-0000-000013030000}"/>
    <cellStyle name="Финансовый 2 3 7 2" xfId="212" xr:uid="{00000000-0005-0000-0000-000014030000}"/>
    <cellStyle name="Финансовый 2 3 7 2 2" xfId="484" xr:uid="{00000000-0005-0000-0000-000015030000}"/>
    <cellStyle name="Финансовый 2 3 7 2 2 2" xfId="1443" xr:uid="{00000000-0005-0000-0000-000016030000}"/>
    <cellStyle name="Финансовый 2 3 7 2 3" xfId="1187" xr:uid="{00000000-0005-0000-0000-000017030000}"/>
    <cellStyle name="Финансовый 2 3 7 2 4" xfId="1716" xr:uid="{00000000-0005-0000-0000-000018030000}"/>
    <cellStyle name="Финансовый 2 3 7 3" xfId="348" xr:uid="{00000000-0005-0000-0000-000019030000}"/>
    <cellStyle name="Финансовый 2 3 7 3 2" xfId="1315" xr:uid="{00000000-0005-0000-0000-00001A030000}"/>
    <cellStyle name="Финансовый 2 3 7 4" xfId="668" xr:uid="{00000000-0005-0000-0000-00001B030000}"/>
    <cellStyle name="Финансовый 2 3 7 4 2" xfId="1059" xr:uid="{00000000-0005-0000-0000-00001C030000}"/>
    <cellStyle name="Финансовый 2 3 7 5" xfId="935" xr:uid="{00000000-0005-0000-0000-00001D030000}"/>
    <cellStyle name="Финансовый 2 3 7 6" xfId="1580" xr:uid="{00000000-0005-0000-0000-00001E030000}"/>
    <cellStyle name="Финансовый 2 3 7 7" xfId="807" xr:uid="{00000000-0005-0000-0000-00001F030000}"/>
    <cellStyle name="Финансовый 2 3 8" xfId="54" xr:uid="{00000000-0005-0000-0000-000020030000}"/>
    <cellStyle name="Финансовый 2 3 8 2" xfId="192" xr:uid="{00000000-0005-0000-0000-000021030000}"/>
    <cellStyle name="Финансовый 2 3 8 2 2" xfId="464" xr:uid="{00000000-0005-0000-0000-000022030000}"/>
    <cellStyle name="Финансовый 2 3 8 2 2 2" xfId="1431" xr:uid="{00000000-0005-0000-0000-000023030000}"/>
    <cellStyle name="Финансовый 2 3 8 2 3" xfId="1175" xr:uid="{00000000-0005-0000-0000-000024030000}"/>
    <cellStyle name="Финансовый 2 3 8 2 4" xfId="1696" xr:uid="{00000000-0005-0000-0000-000025030000}"/>
    <cellStyle name="Финансовый 2 3 8 3" xfId="328" xr:uid="{00000000-0005-0000-0000-000026030000}"/>
    <cellStyle name="Финансовый 2 3 8 3 2" xfId="1303" xr:uid="{00000000-0005-0000-0000-000027030000}"/>
    <cellStyle name="Финансовый 2 3 8 4" xfId="669" xr:uid="{00000000-0005-0000-0000-000028030000}"/>
    <cellStyle name="Финансовый 2 3 8 4 2" xfId="1039" xr:uid="{00000000-0005-0000-0000-000029030000}"/>
    <cellStyle name="Финансовый 2 3 8 5" xfId="923" xr:uid="{00000000-0005-0000-0000-00002A030000}"/>
    <cellStyle name="Финансовый 2 3 8 6" xfId="1559" xr:uid="{00000000-0005-0000-0000-00002B030000}"/>
    <cellStyle name="Финансовый 2 3 8 7" xfId="786" xr:uid="{00000000-0005-0000-0000-00002C030000}"/>
    <cellStyle name="Финансовый 2 3 9" xfId="132" xr:uid="{00000000-0005-0000-0000-00002D030000}"/>
    <cellStyle name="Финансовый 2 3 9 2" xfId="268" xr:uid="{00000000-0005-0000-0000-00002E030000}"/>
    <cellStyle name="Финансовый 2 3 9 2 2" xfId="540" xr:uid="{00000000-0005-0000-0000-00002F030000}"/>
    <cellStyle name="Финансовый 2 3 9 2 2 2" xfId="1499" xr:uid="{00000000-0005-0000-0000-000030030000}"/>
    <cellStyle name="Финансовый 2 3 9 2 3" xfId="1243" xr:uid="{00000000-0005-0000-0000-000031030000}"/>
    <cellStyle name="Финансовый 2 3 9 2 4" xfId="1772" xr:uid="{00000000-0005-0000-0000-000032030000}"/>
    <cellStyle name="Финансовый 2 3 9 3" xfId="404" xr:uid="{00000000-0005-0000-0000-000033030000}"/>
    <cellStyle name="Финансовый 2 3 9 3 2" xfId="1371" xr:uid="{00000000-0005-0000-0000-000034030000}"/>
    <cellStyle name="Финансовый 2 3 9 4" xfId="670" xr:uid="{00000000-0005-0000-0000-000035030000}"/>
    <cellStyle name="Финансовый 2 3 9 4 2" xfId="1115" xr:uid="{00000000-0005-0000-0000-000036030000}"/>
    <cellStyle name="Финансовый 2 3 9 5" xfId="991" xr:uid="{00000000-0005-0000-0000-000037030000}"/>
    <cellStyle name="Финансовый 2 3 9 6" xfId="1636" xr:uid="{00000000-0005-0000-0000-000038030000}"/>
    <cellStyle name="Финансовый 2 3 9 7" xfId="863" xr:uid="{00000000-0005-0000-0000-000039030000}"/>
    <cellStyle name="Финансовый 2 4" xfId="8" xr:uid="{00000000-0005-0000-0000-00003A030000}"/>
    <cellStyle name="Финансовый 2 4 10" xfId="554" xr:uid="{00000000-0005-0000-0000-00003B030000}"/>
    <cellStyle name="Финансовый 2 4 10 2" xfId="1257" xr:uid="{00000000-0005-0000-0000-00003C030000}"/>
    <cellStyle name="Финансовый 2 4 11" xfId="282" xr:uid="{00000000-0005-0000-0000-00003D030000}"/>
    <cellStyle name="Финансовый 2 4 12" xfId="672" xr:uid="{00000000-0005-0000-0000-00003E030000}"/>
    <cellStyle name="Финансовый 2 4 12 2" xfId="877" xr:uid="{00000000-0005-0000-0000-00003F030000}"/>
    <cellStyle name="Финансовый 2 4 13" xfId="1513" xr:uid="{00000000-0005-0000-0000-000040030000}"/>
    <cellStyle name="Финансовый 2 4 14" xfId="740" xr:uid="{00000000-0005-0000-0000-000041030000}"/>
    <cellStyle name="Финансовый 2 4 2" xfId="44" xr:uid="{00000000-0005-0000-0000-000042030000}"/>
    <cellStyle name="Финансовый 2 4 2 2" xfId="102" xr:uid="{00000000-0005-0000-0000-000043030000}"/>
    <cellStyle name="Финансовый 2 4 2 2 2" xfId="238" xr:uid="{00000000-0005-0000-0000-000044030000}"/>
    <cellStyle name="Финансовый 2 4 2 2 2 2" xfId="510" xr:uid="{00000000-0005-0000-0000-000045030000}"/>
    <cellStyle name="Финансовый 2 4 2 2 2 2 2" xfId="1469" xr:uid="{00000000-0005-0000-0000-000046030000}"/>
    <cellStyle name="Финансовый 2 4 2 2 2 3" xfId="1213" xr:uid="{00000000-0005-0000-0000-000047030000}"/>
    <cellStyle name="Финансовый 2 4 2 2 2 4" xfId="1742" xr:uid="{00000000-0005-0000-0000-000048030000}"/>
    <cellStyle name="Финансовый 2 4 2 2 3" xfId="374" xr:uid="{00000000-0005-0000-0000-000049030000}"/>
    <cellStyle name="Финансовый 2 4 2 2 3 2" xfId="1341" xr:uid="{00000000-0005-0000-0000-00004A030000}"/>
    <cellStyle name="Финансовый 2 4 2 2 4" xfId="674" xr:uid="{00000000-0005-0000-0000-00004B030000}"/>
    <cellStyle name="Финансовый 2 4 2 2 4 2" xfId="1085" xr:uid="{00000000-0005-0000-0000-00004C030000}"/>
    <cellStyle name="Финансовый 2 4 2 2 5" xfId="961" xr:uid="{00000000-0005-0000-0000-00004D030000}"/>
    <cellStyle name="Финансовый 2 4 2 2 6" xfId="1606" xr:uid="{00000000-0005-0000-0000-00004E030000}"/>
    <cellStyle name="Финансовый 2 4 2 2 7" xfId="833" xr:uid="{00000000-0005-0000-0000-00004F030000}"/>
    <cellStyle name="Финансовый 2 4 2 3" xfId="182" xr:uid="{00000000-0005-0000-0000-000050030000}"/>
    <cellStyle name="Финансовый 2 4 2 3 2" xfId="454" xr:uid="{00000000-0005-0000-0000-000051030000}"/>
    <cellStyle name="Финансовый 2 4 2 3 2 2" xfId="1421" xr:uid="{00000000-0005-0000-0000-000052030000}"/>
    <cellStyle name="Финансовый 2 4 2 3 3" xfId="1165" xr:uid="{00000000-0005-0000-0000-000053030000}"/>
    <cellStyle name="Финансовый 2 4 2 3 4" xfId="1686" xr:uid="{00000000-0005-0000-0000-000054030000}"/>
    <cellStyle name="Финансовый 2 4 2 4" xfId="318" xr:uid="{00000000-0005-0000-0000-000055030000}"/>
    <cellStyle name="Финансовый 2 4 2 4 2" xfId="1293" xr:uid="{00000000-0005-0000-0000-000056030000}"/>
    <cellStyle name="Финансовый 2 4 2 5" xfId="673" xr:uid="{00000000-0005-0000-0000-000057030000}"/>
    <cellStyle name="Финансовый 2 4 2 5 2" xfId="1029" xr:uid="{00000000-0005-0000-0000-000058030000}"/>
    <cellStyle name="Финансовый 2 4 2 6" xfId="913" xr:uid="{00000000-0005-0000-0000-000059030000}"/>
    <cellStyle name="Финансовый 2 4 2 7" xfId="1549" xr:uid="{00000000-0005-0000-0000-00005A030000}"/>
    <cellStyle name="Финансовый 2 4 2 8" xfId="776" xr:uid="{00000000-0005-0000-0000-00005B030000}"/>
    <cellStyle name="Финансовый 2 4 3" xfId="114" xr:uid="{00000000-0005-0000-0000-00005C030000}"/>
    <cellStyle name="Финансовый 2 4 3 2" xfId="250" xr:uid="{00000000-0005-0000-0000-00005D030000}"/>
    <cellStyle name="Финансовый 2 4 3 2 2" xfId="522" xr:uid="{00000000-0005-0000-0000-00005E030000}"/>
    <cellStyle name="Финансовый 2 4 3 2 2 2" xfId="1481" xr:uid="{00000000-0005-0000-0000-00005F030000}"/>
    <cellStyle name="Финансовый 2 4 3 2 3" xfId="1225" xr:uid="{00000000-0005-0000-0000-000060030000}"/>
    <cellStyle name="Финансовый 2 4 3 2 4" xfId="1754" xr:uid="{00000000-0005-0000-0000-000061030000}"/>
    <cellStyle name="Финансовый 2 4 3 3" xfId="386" xr:uid="{00000000-0005-0000-0000-000062030000}"/>
    <cellStyle name="Финансовый 2 4 3 3 2" xfId="1353" xr:uid="{00000000-0005-0000-0000-000063030000}"/>
    <cellStyle name="Финансовый 2 4 3 4" xfId="675" xr:uid="{00000000-0005-0000-0000-000064030000}"/>
    <cellStyle name="Финансовый 2 4 3 4 2" xfId="1097" xr:uid="{00000000-0005-0000-0000-000065030000}"/>
    <cellStyle name="Финансовый 2 4 3 5" xfId="973" xr:uid="{00000000-0005-0000-0000-000066030000}"/>
    <cellStyle name="Финансовый 2 4 3 6" xfId="1618" xr:uid="{00000000-0005-0000-0000-000067030000}"/>
    <cellStyle name="Финансовый 2 4 3 7" xfId="845" xr:uid="{00000000-0005-0000-0000-000068030000}"/>
    <cellStyle name="Финансовый 2 4 4" xfId="78" xr:uid="{00000000-0005-0000-0000-000069030000}"/>
    <cellStyle name="Финансовый 2 4 4 2" xfId="214" xr:uid="{00000000-0005-0000-0000-00006A030000}"/>
    <cellStyle name="Финансовый 2 4 4 2 2" xfId="486" xr:uid="{00000000-0005-0000-0000-00006B030000}"/>
    <cellStyle name="Финансовый 2 4 4 2 2 2" xfId="1445" xr:uid="{00000000-0005-0000-0000-00006C030000}"/>
    <cellStyle name="Финансовый 2 4 4 2 3" xfId="1189" xr:uid="{00000000-0005-0000-0000-00006D030000}"/>
    <cellStyle name="Финансовый 2 4 4 2 4" xfId="1718" xr:uid="{00000000-0005-0000-0000-00006E030000}"/>
    <cellStyle name="Финансовый 2 4 4 3" xfId="350" xr:uid="{00000000-0005-0000-0000-00006F030000}"/>
    <cellStyle name="Финансовый 2 4 4 3 2" xfId="1317" xr:uid="{00000000-0005-0000-0000-000070030000}"/>
    <cellStyle name="Финансовый 2 4 4 4" xfId="676" xr:uid="{00000000-0005-0000-0000-000071030000}"/>
    <cellStyle name="Финансовый 2 4 4 4 2" xfId="1061" xr:uid="{00000000-0005-0000-0000-000072030000}"/>
    <cellStyle name="Финансовый 2 4 4 5" xfId="937" xr:uid="{00000000-0005-0000-0000-000073030000}"/>
    <cellStyle name="Финансовый 2 4 4 6" xfId="1582" xr:uid="{00000000-0005-0000-0000-000074030000}"/>
    <cellStyle name="Финансовый 2 4 4 7" xfId="809" xr:uid="{00000000-0005-0000-0000-000075030000}"/>
    <cellStyle name="Финансовый 2 4 5" xfId="56" xr:uid="{00000000-0005-0000-0000-000076030000}"/>
    <cellStyle name="Финансовый 2 4 5 2" xfId="194" xr:uid="{00000000-0005-0000-0000-000077030000}"/>
    <cellStyle name="Финансовый 2 4 5 2 2" xfId="466" xr:uid="{00000000-0005-0000-0000-000078030000}"/>
    <cellStyle name="Финансовый 2 4 5 2 2 2" xfId="1433" xr:uid="{00000000-0005-0000-0000-000079030000}"/>
    <cellStyle name="Финансовый 2 4 5 2 3" xfId="1177" xr:uid="{00000000-0005-0000-0000-00007A030000}"/>
    <cellStyle name="Финансовый 2 4 5 2 4" xfId="1698" xr:uid="{00000000-0005-0000-0000-00007B030000}"/>
    <cellStyle name="Финансовый 2 4 5 3" xfId="330" xr:uid="{00000000-0005-0000-0000-00007C030000}"/>
    <cellStyle name="Финансовый 2 4 5 3 2" xfId="1305" xr:uid="{00000000-0005-0000-0000-00007D030000}"/>
    <cellStyle name="Финансовый 2 4 5 4" xfId="677" xr:uid="{00000000-0005-0000-0000-00007E030000}"/>
    <cellStyle name="Финансовый 2 4 5 4 2" xfId="1041" xr:uid="{00000000-0005-0000-0000-00007F030000}"/>
    <cellStyle name="Финансовый 2 4 5 5" xfId="925" xr:uid="{00000000-0005-0000-0000-000080030000}"/>
    <cellStyle name="Финансовый 2 4 5 6" xfId="1561" xr:uid="{00000000-0005-0000-0000-000081030000}"/>
    <cellStyle name="Финансовый 2 4 5 7" xfId="788" xr:uid="{00000000-0005-0000-0000-000082030000}"/>
    <cellStyle name="Финансовый 2 4 6" xfId="134" xr:uid="{00000000-0005-0000-0000-000083030000}"/>
    <cellStyle name="Финансовый 2 4 6 2" xfId="270" xr:uid="{00000000-0005-0000-0000-000084030000}"/>
    <cellStyle name="Финансовый 2 4 6 2 2" xfId="542" xr:uid="{00000000-0005-0000-0000-000085030000}"/>
    <cellStyle name="Финансовый 2 4 6 2 2 2" xfId="1501" xr:uid="{00000000-0005-0000-0000-000086030000}"/>
    <cellStyle name="Финансовый 2 4 6 2 3" xfId="1245" xr:uid="{00000000-0005-0000-0000-000087030000}"/>
    <cellStyle name="Финансовый 2 4 6 2 4" xfId="1774" xr:uid="{00000000-0005-0000-0000-000088030000}"/>
    <cellStyle name="Финансовый 2 4 6 3" xfId="406" xr:uid="{00000000-0005-0000-0000-000089030000}"/>
    <cellStyle name="Финансовый 2 4 6 3 2" xfId="1373" xr:uid="{00000000-0005-0000-0000-00008A030000}"/>
    <cellStyle name="Финансовый 2 4 6 4" xfId="678" xr:uid="{00000000-0005-0000-0000-00008B030000}"/>
    <cellStyle name="Финансовый 2 4 6 4 2" xfId="1117" xr:uid="{00000000-0005-0000-0000-00008C030000}"/>
    <cellStyle name="Финансовый 2 4 6 5" xfId="993" xr:uid="{00000000-0005-0000-0000-00008D030000}"/>
    <cellStyle name="Финансовый 2 4 6 6" xfId="1638" xr:uid="{00000000-0005-0000-0000-00008E030000}"/>
    <cellStyle name="Финансовый 2 4 6 7" xfId="865" xr:uid="{00000000-0005-0000-0000-00008F030000}"/>
    <cellStyle name="Финансовый 2 4 7" xfId="32" xr:uid="{00000000-0005-0000-0000-000090030000}"/>
    <cellStyle name="Финансовый 2 4 7 2" xfId="170" xr:uid="{00000000-0005-0000-0000-000091030000}"/>
    <cellStyle name="Финансовый 2 4 7 2 2" xfId="442" xr:uid="{00000000-0005-0000-0000-000092030000}"/>
    <cellStyle name="Финансовый 2 4 7 2 2 2" xfId="1409" xr:uid="{00000000-0005-0000-0000-000093030000}"/>
    <cellStyle name="Финансовый 2 4 7 2 3" xfId="1153" xr:uid="{00000000-0005-0000-0000-000094030000}"/>
    <cellStyle name="Финансовый 2 4 7 2 4" xfId="1674" xr:uid="{00000000-0005-0000-0000-000095030000}"/>
    <cellStyle name="Финансовый 2 4 7 3" xfId="306" xr:uid="{00000000-0005-0000-0000-000096030000}"/>
    <cellStyle name="Финансовый 2 4 7 3 2" xfId="1281" xr:uid="{00000000-0005-0000-0000-000097030000}"/>
    <cellStyle name="Финансовый 2 4 7 4" xfId="679" xr:uid="{00000000-0005-0000-0000-000098030000}"/>
    <cellStyle name="Финансовый 2 4 7 4 2" xfId="1017" xr:uid="{00000000-0005-0000-0000-000099030000}"/>
    <cellStyle name="Финансовый 2 4 7 5" xfId="901" xr:uid="{00000000-0005-0000-0000-00009A030000}"/>
    <cellStyle name="Финансовый 2 4 7 6" xfId="1537" xr:uid="{00000000-0005-0000-0000-00009B030000}"/>
    <cellStyle name="Финансовый 2 4 7 7" xfId="764" xr:uid="{00000000-0005-0000-0000-00009C030000}"/>
    <cellStyle name="Финансовый 2 4 8" xfId="20" xr:uid="{00000000-0005-0000-0000-00009D030000}"/>
    <cellStyle name="Финансовый 2 4 8 2" xfId="158" xr:uid="{00000000-0005-0000-0000-00009E030000}"/>
    <cellStyle name="Финансовый 2 4 8 2 2" xfId="430" xr:uid="{00000000-0005-0000-0000-00009F030000}"/>
    <cellStyle name="Финансовый 2 4 8 2 2 2" xfId="1397" xr:uid="{00000000-0005-0000-0000-0000A0030000}"/>
    <cellStyle name="Финансовый 2 4 8 2 3" xfId="1141" xr:uid="{00000000-0005-0000-0000-0000A1030000}"/>
    <cellStyle name="Финансовый 2 4 8 2 4" xfId="1662" xr:uid="{00000000-0005-0000-0000-0000A2030000}"/>
    <cellStyle name="Финансовый 2 4 8 3" xfId="294" xr:uid="{00000000-0005-0000-0000-0000A3030000}"/>
    <cellStyle name="Финансовый 2 4 8 3 2" xfId="1269" xr:uid="{00000000-0005-0000-0000-0000A4030000}"/>
    <cellStyle name="Финансовый 2 4 8 4" xfId="680" xr:uid="{00000000-0005-0000-0000-0000A5030000}"/>
    <cellStyle name="Финансовый 2 4 8 4 2" xfId="1005" xr:uid="{00000000-0005-0000-0000-0000A6030000}"/>
    <cellStyle name="Финансовый 2 4 8 5" xfId="889" xr:uid="{00000000-0005-0000-0000-0000A7030000}"/>
    <cellStyle name="Финансовый 2 4 8 6" xfId="1525" xr:uid="{00000000-0005-0000-0000-0000A8030000}"/>
    <cellStyle name="Финансовый 2 4 8 7" xfId="752" xr:uid="{00000000-0005-0000-0000-0000A9030000}"/>
    <cellStyle name="Финансовый 2 4 9" xfId="146" xr:uid="{00000000-0005-0000-0000-0000AA030000}"/>
    <cellStyle name="Финансовый 2 4 9 2" xfId="418" xr:uid="{00000000-0005-0000-0000-0000AB030000}"/>
    <cellStyle name="Финансовый 2 4 9 2 2" xfId="1385" xr:uid="{00000000-0005-0000-0000-0000AC030000}"/>
    <cellStyle name="Финансовый 2 4 9 3" xfId="1129" xr:uid="{00000000-0005-0000-0000-0000AD030000}"/>
    <cellStyle name="Финансовый 2 4 9 4" xfId="1650" xr:uid="{00000000-0005-0000-0000-0000AE030000}"/>
    <cellStyle name="Финансовый 2 5" xfId="38" xr:uid="{00000000-0005-0000-0000-0000AF030000}"/>
    <cellStyle name="Финансовый 2 5 2" xfId="120" xr:uid="{00000000-0005-0000-0000-0000B0030000}"/>
    <cellStyle name="Финансовый 2 5 2 2" xfId="256" xr:uid="{00000000-0005-0000-0000-0000B1030000}"/>
    <cellStyle name="Финансовый 2 5 2 2 2" xfId="528" xr:uid="{00000000-0005-0000-0000-0000B2030000}"/>
    <cellStyle name="Финансовый 2 5 2 2 2 2" xfId="1487" xr:uid="{00000000-0005-0000-0000-0000B3030000}"/>
    <cellStyle name="Финансовый 2 5 2 2 3" xfId="1231" xr:uid="{00000000-0005-0000-0000-0000B4030000}"/>
    <cellStyle name="Финансовый 2 5 2 2 4" xfId="1760" xr:uid="{00000000-0005-0000-0000-0000B5030000}"/>
    <cellStyle name="Финансовый 2 5 2 3" xfId="392" xr:uid="{00000000-0005-0000-0000-0000B6030000}"/>
    <cellStyle name="Финансовый 2 5 2 3 2" xfId="1359" xr:uid="{00000000-0005-0000-0000-0000B7030000}"/>
    <cellStyle name="Финансовый 2 5 2 4" xfId="682" xr:uid="{00000000-0005-0000-0000-0000B8030000}"/>
    <cellStyle name="Финансовый 2 5 2 4 2" xfId="1103" xr:uid="{00000000-0005-0000-0000-0000B9030000}"/>
    <cellStyle name="Финансовый 2 5 2 5" xfId="979" xr:uid="{00000000-0005-0000-0000-0000BA030000}"/>
    <cellStyle name="Финансовый 2 5 2 6" xfId="1624" xr:uid="{00000000-0005-0000-0000-0000BB030000}"/>
    <cellStyle name="Финансовый 2 5 2 7" xfId="851" xr:uid="{00000000-0005-0000-0000-0000BC030000}"/>
    <cellStyle name="Финансовый 2 5 3" xfId="84" xr:uid="{00000000-0005-0000-0000-0000BD030000}"/>
    <cellStyle name="Финансовый 2 5 3 2" xfId="220" xr:uid="{00000000-0005-0000-0000-0000BE030000}"/>
    <cellStyle name="Финансовый 2 5 3 2 2" xfId="492" xr:uid="{00000000-0005-0000-0000-0000BF030000}"/>
    <cellStyle name="Финансовый 2 5 3 2 2 2" xfId="1451" xr:uid="{00000000-0005-0000-0000-0000C0030000}"/>
    <cellStyle name="Финансовый 2 5 3 2 3" xfId="1195" xr:uid="{00000000-0005-0000-0000-0000C1030000}"/>
    <cellStyle name="Финансовый 2 5 3 2 4" xfId="1724" xr:uid="{00000000-0005-0000-0000-0000C2030000}"/>
    <cellStyle name="Финансовый 2 5 3 3" xfId="356" xr:uid="{00000000-0005-0000-0000-0000C3030000}"/>
    <cellStyle name="Финансовый 2 5 3 3 2" xfId="1323" xr:uid="{00000000-0005-0000-0000-0000C4030000}"/>
    <cellStyle name="Финансовый 2 5 3 4" xfId="612" xr:uid="{00000000-0005-0000-0000-0000C5030000}"/>
    <cellStyle name="Финансовый 2 5 3 4 2" xfId="1067" xr:uid="{00000000-0005-0000-0000-0000C6030000}"/>
    <cellStyle name="Финансовый 2 5 3 5" xfId="943" xr:uid="{00000000-0005-0000-0000-0000C7030000}"/>
    <cellStyle name="Финансовый 2 5 3 6" xfId="1588" xr:uid="{00000000-0005-0000-0000-0000C8030000}"/>
    <cellStyle name="Финансовый 2 5 3 7" xfId="815" xr:uid="{00000000-0005-0000-0000-0000C9030000}"/>
    <cellStyle name="Финансовый 2 5 4" xfId="176" xr:uid="{00000000-0005-0000-0000-0000CA030000}"/>
    <cellStyle name="Финансовый 2 5 4 2" xfId="448" xr:uid="{00000000-0005-0000-0000-0000CB030000}"/>
    <cellStyle name="Финансовый 2 5 4 2 2" xfId="1415" xr:uid="{00000000-0005-0000-0000-0000CC030000}"/>
    <cellStyle name="Финансовый 2 5 4 3" xfId="1159" xr:uid="{00000000-0005-0000-0000-0000CD030000}"/>
    <cellStyle name="Финансовый 2 5 4 4" xfId="1680" xr:uid="{00000000-0005-0000-0000-0000CE030000}"/>
    <cellStyle name="Финансовый 2 5 5" xfId="312" xr:uid="{00000000-0005-0000-0000-0000CF030000}"/>
    <cellStyle name="Финансовый 2 5 5 2" xfId="1287" xr:uid="{00000000-0005-0000-0000-0000D0030000}"/>
    <cellStyle name="Финансовый 2 5 6" xfId="681" xr:uid="{00000000-0005-0000-0000-0000D1030000}"/>
    <cellStyle name="Финансовый 2 5 6 2" xfId="1023" xr:uid="{00000000-0005-0000-0000-0000D2030000}"/>
    <cellStyle name="Финансовый 2 5 7" xfId="907" xr:uid="{00000000-0005-0000-0000-0000D3030000}"/>
    <cellStyle name="Финансовый 2 5 8" xfId="1543" xr:uid="{00000000-0005-0000-0000-0000D4030000}"/>
    <cellStyle name="Финансовый 2 5 9" xfId="770" xr:uid="{00000000-0005-0000-0000-0000D5030000}"/>
    <cellStyle name="Финансовый 2 6" xfId="90" xr:uid="{00000000-0005-0000-0000-0000D6030000}"/>
    <cellStyle name="Финансовый 2 6 2" xfId="226" xr:uid="{00000000-0005-0000-0000-0000D7030000}"/>
    <cellStyle name="Финансовый 2 6 2 2" xfId="498" xr:uid="{00000000-0005-0000-0000-0000D8030000}"/>
    <cellStyle name="Финансовый 2 6 2 2 2" xfId="1457" xr:uid="{00000000-0005-0000-0000-0000D9030000}"/>
    <cellStyle name="Финансовый 2 6 2 3" xfId="1201" xr:uid="{00000000-0005-0000-0000-0000DA030000}"/>
    <cellStyle name="Финансовый 2 6 2 4" xfId="1730" xr:uid="{00000000-0005-0000-0000-0000DB030000}"/>
    <cellStyle name="Финансовый 2 6 3" xfId="362" xr:uid="{00000000-0005-0000-0000-0000DC030000}"/>
    <cellStyle name="Финансовый 2 6 3 2" xfId="1329" xr:uid="{00000000-0005-0000-0000-0000DD030000}"/>
    <cellStyle name="Финансовый 2 6 4" xfId="683" xr:uid="{00000000-0005-0000-0000-0000DE030000}"/>
    <cellStyle name="Финансовый 2 6 4 2" xfId="1073" xr:uid="{00000000-0005-0000-0000-0000DF030000}"/>
    <cellStyle name="Финансовый 2 6 5" xfId="949" xr:uid="{00000000-0005-0000-0000-0000E0030000}"/>
    <cellStyle name="Финансовый 2 6 6" xfId="1594" xr:uid="{00000000-0005-0000-0000-0000E1030000}"/>
    <cellStyle name="Финансовый 2 6 7" xfId="821" xr:uid="{00000000-0005-0000-0000-0000E2030000}"/>
    <cellStyle name="Финансовый 2 7" xfId="96" xr:uid="{00000000-0005-0000-0000-0000E3030000}"/>
    <cellStyle name="Финансовый 2 7 2" xfId="232" xr:uid="{00000000-0005-0000-0000-0000E4030000}"/>
    <cellStyle name="Финансовый 2 7 2 2" xfId="504" xr:uid="{00000000-0005-0000-0000-0000E5030000}"/>
    <cellStyle name="Финансовый 2 7 2 2 2" xfId="1463" xr:uid="{00000000-0005-0000-0000-0000E6030000}"/>
    <cellStyle name="Финансовый 2 7 2 3" xfId="1207" xr:uid="{00000000-0005-0000-0000-0000E7030000}"/>
    <cellStyle name="Финансовый 2 7 2 4" xfId="1736" xr:uid="{00000000-0005-0000-0000-0000E8030000}"/>
    <cellStyle name="Финансовый 2 7 3" xfId="368" xr:uid="{00000000-0005-0000-0000-0000E9030000}"/>
    <cellStyle name="Финансовый 2 7 3 2" xfId="1335" xr:uid="{00000000-0005-0000-0000-0000EA030000}"/>
    <cellStyle name="Финансовый 2 7 4" xfId="684" xr:uid="{00000000-0005-0000-0000-0000EB030000}"/>
    <cellStyle name="Финансовый 2 7 4 2" xfId="1079" xr:uid="{00000000-0005-0000-0000-0000EC030000}"/>
    <cellStyle name="Финансовый 2 7 5" xfId="955" xr:uid="{00000000-0005-0000-0000-0000ED030000}"/>
    <cellStyle name="Финансовый 2 7 6" xfId="1600" xr:uid="{00000000-0005-0000-0000-0000EE030000}"/>
    <cellStyle name="Финансовый 2 7 7" xfId="827" xr:uid="{00000000-0005-0000-0000-0000EF030000}"/>
    <cellStyle name="Финансовый 2 8" xfId="108" xr:uid="{00000000-0005-0000-0000-0000F0030000}"/>
    <cellStyle name="Финансовый 2 8 2" xfId="244" xr:uid="{00000000-0005-0000-0000-0000F1030000}"/>
    <cellStyle name="Финансовый 2 8 2 2" xfId="516" xr:uid="{00000000-0005-0000-0000-0000F2030000}"/>
    <cellStyle name="Финансовый 2 8 2 2 2" xfId="1475" xr:uid="{00000000-0005-0000-0000-0000F3030000}"/>
    <cellStyle name="Финансовый 2 8 2 3" xfId="1219" xr:uid="{00000000-0005-0000-0000-0000F4030000}"/>
    <cellStyle name="Финансовый 2 8 2 4" xfId="1748" xr:uid="{00000000-0005-0000-0000-0000F5030000}"/>
    <cellStyle name="Финансовый 2 8 3" xfId="380" xr:uid="{00000000-0005-0000-0000-0000F6030000}"/>
    <cellStyle name="Финансовый 2 8 3 2" xfId="1347" xr:uid="{00000000-0005-0000-0000-0000F7030000}"/>
    <cellStyle name="Финансовый 2 8 4" xfId="685" xr:uid="{00000000-0005-0000-0000-0000F8030000}"/>
    <cellStyle name="Финансовый 2 8 4 2" xfId="1091" xr:uid="{00000000-0005-0000-0000-0000F9030000}"/>
    <cellStyle name="Финансовый 2 8 5" xfId="967" xr:uid="{00000000-0005-0000-0000-0000FA030000}"/>
    <cellStyle name="Финансовый 2 8 6" xfId="1612" xr:uid="{00000000-0005-0000-0000-0000FB030000}"/>
    <cellStyle name="Финансовый 2 8 7" xfId="839" xr:uid="{00000000-0005-0000-0000-0000FC030000}"/>
    <cellStyle name="Финансовый 2 9" xfId="126" xr:uid="{00000000-0005-0000-0000-0000FD030000}"/>
    <cellStyle name="Финансовый 2 9 2" xfId="262" xr:uid="{00000000-0005-0000-0000-0000FE030000}"/>
    <cellStyle name="Финансовый 2 9 2 2" xfId="534" xr:uid="{00000000-0005-0000-0000-0000FF030000}"/>
    <cellStyle name="Финансовый 2 9 2 2 2" xfId="1493" xr:uid="{00000000-0005-0000-0000-000000040000}"/>
    <cellStyle name="Финансовый 2 9 2 3" xfId="1237" xr:uid="{00000000-0005-0000-0000-000001040000}"/>
    <cellStyle name="Финансовый 2 9 2 4" xfId="1766" xr:uid="{00000000-0005-0000-0000-000002040000}"/>
    <cellStyle name="Финансовый 2 9 3" xfId="398" xr:uid="{00000000-0005-0000-0000-000003040000}"/>
    <cellStyle name="Финансовый 2 9 3 2" xfId="1365" xr:uid="{00000000-0005-0000-0000-000004040000}"/>
    <cellStyle name="Финансовый 2 9 4" xfId="686" xr:uid="{00000000-0005-0000-0000-000005040000}"/>
    <cellStyle name="Финансовый 2 9 4 2" xfId="1109" xr:uid="{00000000-0005-0000-0000-000006040000}"/>
    <cellStyle name="Финансовый 2 9 5" xfId="985" xr:uid="{00000000-0005-0000-0000-000007040000}"/>
    <cellStyle name="Финансовый 2 9 6" xfId="1630" xr:uid="{00000000-0005-0000-0000-000008040000}"/>
    <cellStyle name="Финансовый 2 9 7" xfId="857" xr:uid="{00000000-0005-0000-0000-000009040000}"/>
    <cellStyle name="Финансовый 20" xfId="1506" xr:uid="{00000000-0005-0000-0000-00000A040000}"/>
    <cellStyle name="Финансовый 21" xfId="1568" xr:uid="{00000000-0005-0000-0000-00000B040000}"/>
    <cellStyle name="Финансовый 22" xfId="1781" xr:uid="{00000000-0005-0000-0000-00000C040000}"/>
    <cellStyle name="Финансовый 23" xfId="1779" xr:uid="{00000000-0005-0000-0000-00000D040000}"/>
    <cellStyle name="Финансовый 24" xfId="1785" xr:uid="{00000000-0005-0000-0000-00000E040000}"/>
    <cellStyle name="Финансовый 25" xfId="1783" xr:uid="{00000000-0005-0000-0000-00000F040000}"/>
    <cellStyle name="Финансовый 26" xfId="1782" xr:uid="{00000000-0005-0000-0000-000010040000}"/>
    <cellStyle name="Финансовый 27" xfId="1780" xr:uid="{00000000-0005-0000-0000-000011040000}"/>
    <cellStyle name="Финансовый 28" xfId="1784" xr:uid="{00000000-0005-0000-0000-000012040000}"/>
    <cellStyle name="Финансовый 29" xfId="733" xr:uid="{00000000-0005-0000-0000-000013040000}"/>
    <cellStyle name="Финансовый 3" xfId="3" xr:uid="{00000000-0005-0000-0000-000014040000}"/>
    <cellStyle name="Финансовый 3 10" xfId="27" xr:uid="{00000000-0005-0000-0000-000015040000}"/>
    <cellStyle name="Финансовый 3 10 2" xfId="165" xr:uid="{00000000-0005-0000-0000-000016040000}"/>
    <cellStyle name="Финансовый 3 10 2 2" xfId="437" xr:uid="{00000000-0005-0000-0000-000017040000}"/>
    <cellStyle name="Финансовый 3 10 2 2 2" xfId="1404" xr:uid="{00000000-0005-0000-0000-000018040000}"/>
    <cellStyle name="Финансовый 3 10 2 3" xfId="1148" xr:uid="{00000000-0005-0000-0000-000019040000}"/>
    <cellStyle name="Финансовый 3 10 2 4" xfId="1669" xr:uid="{00000000-0005-0000-0000-00001A040000}"/>
    <cellStyle name="Финансовый 3 10 3" xfId="301" xr:uid="{00000000-0005-0000-0000-00001B040000}"/>
    <cellStyle name="Финансовый 3 10 3 2" xfId="1276" xr:uid="{00000000-0005-0000-0000-00001C040000}"/>
    <cellStyle name="Финансовый 3 10 4" xfId="688" xr:uid="{00000000-0005-0000-0000-00001D040000}"/>
    <cellStyle name="Финансовый 3 10 4 2" xfId="1012" xr:uid="{00000000-0005-0000-0000-00001E040000}"/>
    <cellStyle name="Финансовый 3 10 5" xfId="896" xr:uid="{00000000-0005-0000-0000-00001F040000}"/>
    <cellStyle name="Финансовый 3 10 6" xfId="1532" xr:uid="{00000000-0005-0000-0000-000020040000}"/>
    <cellStyle name="Финансовый 3 10 7" xfId="759" xr:uid="{00000000-0005-0000-0000-000021040000}"/>
    <cellStyle name="Финансовый 3 11" xfId="15" xr:uid="{00000000-0005-0000-0000-000022040000}"/>
    <cellStyle name="Финансовый 3 11 2" xfId="153" xr:uid="{00000000-0005-0000-0000-000023040000}"/>
    <cellStyle name="Финансовый 3 11 2 2" xfId="425" xr:uid="{00000000-0005-0000-0000-000024040000}"/>
    <cellStyle name="Финансовый 3 11 2 2 2" xfId="1392" xr:uid="{00000000-0005-0000-0000-000025040000}"/>
    <cellStyle name="Финансовый 3 11 2 3" xfId="1136" xr:uid="{00000000-0005-0000-0000-000026040000}"/>
    <cellStyle name="Финансовый 3 11 2 4" xfId="1657" xr:uid="{00000000-0005-0000-0000-000027040000}"/>
    <cellStyle name="Финансовый 3 11 3" xfId="289" xr:uid="{00000000-0005-0000-0000-000028040000}"/>
    <cellStyle name="Финансовый 3 11 3 2" xfId="1264" xr:uid="{00000000-0005-0000-0000-000029040000}"/>
    <cellStyle name="Финансовый 3 11 4" xfId="689" xr:uid="{00000000-0005-0000-0000-00002A040000}"/>
    <cellStyle name="Финансовый 3 11 4 2" xfId="1000" xr:uid="{00000000-0005-0000-0000-00002B040000}"/>
    <cellStyle name="Финансовый 3 11 5" xfId="884" xr:uid="{00000000-0005-0000-0000-00002C040000}"/>
    <cellStyle name="Финансовый 3 11 6" xfId="1520" xr:uid="{00000000-0005-0000-0000-00002D040000}"/>
    <cellStyle name="Финансовый 3 11 7" xfId="747" xr:uid="{00000000-0005-0000-0000-00002E040000}"/>
    <cellStyle name="Финансовый 3 12" xfId="141" xr:uid="{00000000-0005-0000-0000-00002F040000}"/>
    <cellStyle name="Финансовый 3 12 2" xfId="413" xr:uid="{00000000-0005-0000-0000-000030040000}"/>
    <cellStyle name="Финансовый 3 12 2 2" xfId="1380" xr:uid="{00000000-0005-0000-0000-000031040000}"/>
    <cellStyle name="Финансовый 3 12 3" xfId="1124" xr:uid="{00000000-0005-0000-0000-000032040000}"/>
    <cellStyle name="Финансовый 3 12 4" xfId="1645" xr:uid="{00000000-0005-0000-0000-000033040000}"/>
    <cellStyle name="Финансовый 3 13" xfId="549" xr:uid="{00000000-0005-0000-0000-000034040000}"/>
    <cellStyle name="Финансовый 3 13 2" xfId="1252" xr:uid="{00000000-0005-0000-0000-000035040000}"/>
    <cellStyle name="Финансовый 3 14" xfId="277" xr:uid="{00000000-0005-0000-0000-000036040000}"/>
    <cellStyle name="Финансовый 3 15" xfId="687" xr:uid="{00000000-0005-0000-0000-000037040000}"/>
    <cellStyle name="Финансовый 3 15 2" xfId="872" xr:uid="{00000000-0005-0000-0000-000038040000}"/>
    <cellStyle name="Финансовый 3 16" xfId="1508" xr:uid="{00000000-0005-0000-0000-000039040000}"/>
    <cellStyle name="Финансовый 3 17" xfId="735" xr:uid="{00000000-0005-0000-0000-00003A040000}"/>
    <cellStyle name="Финансовый 3 2" xfId="9" xr:uid="{00000000-0005-0000-0000-00003B040000}"/>
    <cellStyle name="Финансовый 3 2 10" xfId="555" xr:uid="{00000000-0005-0000-0000-00003C040000}"/>
    <cellStyle name="Финансовый 3 2 10 2" xfId="1258" xr:uid="{00000000-0005-0000-0000-00003D040000}"/>
    <cellStyle name="Финансовый 3 2 11" xfId="283" xr:uid="{00000000-0005-0000-0000-00003E040000}"/>
    <cellStyle name="Финансовый 3 2 12" xfId="690" xr:uid="{00000000-0005-0000-0000-00003F040000}"/>
    <cellStyle name="Финансовый 3 2 12 2" xfId="878" xr:uid="{00000000-0005-0000-0000-000040040000}"/>
    <cellStyle name="Финансовый 3 2 13" xfId="1514" xr:uid="{00000000-0005-0000-0000-000041040000}"/>
    <cellStyle name="Финансовый 3 2 14" xfId="741" xr:uid="{00000000-0005-0000-0000-000042040000}"/>
    <cellStyle name="Финансовый 3 2 2" xfId="45" xr:uid="{00000000-0005-0000-0000-000043040000}"/>
    <cellStyle name="Финансовый 3 2 2 2" xfId="103" xr:uid="{00000000-0005-0000-0000-000044040000}"/>
    <cellStyle name="Финансовый 3 2 2 2 2" xfId="239" xr:uid="{00000000-0005-0000-0000-000045040000}"/>
    <cellStyle name="Финансовый 3 2 2 2 2 2" xfId="511" xr:uid="{00000000-0005-0000-0000-000046040000}"/>
    <cellStyle name="Финансовый 3 2 2 2 2 2 2" xfId="1470" xr:uid="{00000000-0005-0000-0000-000047040000}"/>
    <cellStyle name="Финансовый 3 2 2 2 2 3" xfId="1214" xr:uid="{00000000-0005-0000-0000-000048040000}"/>
    <cellStyle name="Финансовый 3 2 2 2 2 4" xfId="1743" xr:uid="{00000000-0005-0000-0000-000049040000}"/>
    <cellStyle name="Финансовый 3 2 2 2 3" xfId="375" xr:uid="{00000000-0005-0000-0000-00004A040000}"/>
    <cellStyle name="Финансовый 3 2 2 2 3 2" xfId="1342" xr:uid="{00000000-0005-0000-0000-00004B040000}"/>
    <cellStyle name="Финансовый 3 2 2 2 4" xfId="692" xr:uid="{00000000-0005-0000-0000-00004C040000}"/>
    <cellStyle name="Финансовый 3 2 2 2 4 2" xfId="1086" xr:uid="{00000000-0005-0000-0000-00004D040000}"/>
    <cellStyle name="Финансовый 3 2 2 2 5" xfId="962" xr:uid="{00000000-0005-0000-0000-00004E040000}"/>
    <cellStyle name="Финансовый 3 2 2 2 6" xfId="1607" xr:uid="{00000000-0005-0000-0000-00004F040000}"/>
    <cellStyle name="Финансовый 3 2 2 2 7" xfId="834" xr:uid="{00000000-0005-0000-0000-000050040000}"/>
    <cellStyle name="Финансовый 3 2 2 3" xfId="183" xr:uid="{00000000-0005-0000-0000-000051040000}"/>
    <cellStyle name="Финансовый 3 2 2 3 2" xfId="455" xr:uid="{00000000-0005-0000-0000-000052040000}"/>
    <cellStyle name="Финансовый 3 2 2 3 2 2" xfId="1422" xr:uid="{00000000-0005-0000-0000-000053040000}"/>
    <cellStyle name="Финансовый 3 2 2 3 3" xfId="1166" xr:uid="{00000000-0005-0000-0000-000054040000}"/>
    <cellStyle name="Финансовый 3 2 2 3 4" xfId="1687" xr:uid="{00000000-0005-0000-0000-000055040000}"/>
    <cellStyle name="Финансовый 3 2 2 4" xfId="319" xr:uid="{00000000-0005-0000-0000-000056040000}"/>
    <cellStyle name="Финансовый 3 2 2 4 2" xfId="1294" xr:uid="{00000000-0005-0000-0000-000057040000}"/>
    <cellStyle name="Финансовый 3 2 2 5" xfId="691" xr:uid="{00000000-0005-0000-0000-000058040000}"/>
    <cellStyle name="Финансовый 3 2 2 5 2" xfId="1030" xr:uid="{00000000-0005-0000-0000-000059040000}"/>
    <cellStyle name="Финансовый 3 2 2 6" xfId="914" xr:uid="{00000000-0005-0000-0000-00005A040000}"/>
    <cellStyle name="Финансовый 3 2 2 7" xfId="1550" xr:uid="{00000000-0005-0000-0000-00005B040000}"/>
    <cellStyle name="Финансовый 3 2 2 8" xfId="777" xr:uid="{00000000-0005-0000-0000-00005C040000}"/>
    <cellStyle name="Финансовый 3 2 3" xfId="115" xr:uid="{00000000-0005-0000-0000-00005D040000}"/>
    <cellStyle name="Финансовый 3 2 3 2" xfId="251" xr:uid="{00000000-0005-0000-0000-00005E040000}"/>
    <cellStyle name="Финансовый 3 2 3 2 2" xfId="523" xr:uid="{00000000-0005-0000-0000-00005F040000}"/>
    <cellStyle name="Финансовый 3 2 3 2 2 2" xfId="1482" xr:uid="{00000000-0005-0000-0000-000060040000}"/>
    <cellStyle name="Финансовый 3 2 3 2 3" xfId="1226" xr:uid="{00000000-0005-0000-0000-000061040000}"/>
    <cellStyle name="Финансовый 3 2 3 2 4" xfId="1755" xr:uid="{00000000-0005-0000-0000-000062040000}"/>
    <cellStyle name="Финансовый 3 2 3 3" xfId="387" xr:uid="{00000000-0005-0000-0000-000063040000}"/>
    <cellStyle name="Финансовый 3 2 3 3 2" xfId="1354" xr:uid="{00000000-0005-0000-0000-000064040000}"/>
    <cellStyle name="Финансовый 3 2 3 4" xfId="693" xr:uid="{00000000-0005-0000-0000-000065040000}"/>
    <cellStyle name="Финансовый 3 2 3 4 2" xfId="1098" xr:uid="{00000000-0005-0000-0000-000066040000}"/>
    <cellStyle name="Финансовый 3 2 3 5" xfId="974" xr:uid="{00000000-0005-0000-0000-000067040000}"/>
    <cellStyle name="Финансовый 3 2 3 6" xfId="1619" xr:uid="{00000000-0005-0000-0000-000068040000}"/>
    <cellStyle name="Финансовый 3 2 3 7" xfId="846" xr:uid="{00000000-0005-0000-0000-000069040000}"/>
    <cellStyle name="Финансовый 3 2 4" xfId="79" xr:uid="{00000000-0005-0000-0000-00006A040000}"/>
    <cellStyle name="Финансовый 3 2 4 2" xfId="215" xr:uid="{00000000-0005-0000-0000-00006B040000}"/>
    <cellStyle name="Финансовый 3 2 4 2 2" xfId="487" xr:uid="{00000000-0005-0000-0000-00006C040000}"/>
    <cellStyle name="Финансовый 3 2 4 2 2 2" xfId="1446" xr:uid="{00000000-0005-0000-0000-00006D040000}"/>
    <cellStyle name="Финансовый 3 2 4 2 3" xfId="1190" xr:uid="{00000000-0005-0000-0000-00006E040000}"/>
    <cellStyle name="Финансовый 3 2 4 2 4" xfId="1719" xr:uid="{00000000-0005-0000-0000-00006F040000}"/>
    <cellStyle name="Финансовый 3 2 4 3" xfId="351" xr:uid="{00000000-0005-0000-0000-000070040000}"/>
    <cellStyle name="Финансовый 3 2 4 3 2" xfId="1318" xr:uid="{00000000-0005-0000-0000-000071040000}"/>
    <cellStyle name="Финансовый 3 2 4 4" xfId="694" xr:uid="{00000000-0005-0000-0000-000072040000}"/>
    <cellStyle name="Финансовый 3 2 4 4 2" xfId="1062" xr:uid="{00000000-0005-0000-0000-000073040000}"/>
    <cellStyle name="Финансовый 3 2 4 5" xfId="938" xr:uid="{00000000-0005-0000-0000-000074040000}"/>
    <cellStyle name="Финансовый 3 2 4 6" xfId="1583" xr:uid="{00000000-0005-0000-0000-000075040000}"/>
    <cellStyle name="Финансовый 3 2 4 7" xfId="810" xr:uid="{00000000-0005-0000-0000-000076040000}"/>
    <cellStyle name="Финансовый 3 2 5" xfId="57" xr:uid="{00000000-0005-0000-0000-000077040000}"/>
    <cellStyle name="Финансовый 3 2 5 2" xfId="195" xr:uid="{00000000-0005-0000-0000-000078040000}"/>
    <cellStyle name="Финансовый 3 2 5 2 2" xfId="467" xr:uid="{00000000-0005-0000-0000-000079040000}"/>
    <cellStyle name="Финансовый 3 2 5 2 2 2" xfId="1434" xr:uid="{00000000-0005-0000-0000-00007A040000}"/>
    <cellStyle name="Финансовый 3 2 5 2 3" xfId="1178" xr:uid="{00000000-0005-0000-0000-00007B040000}"/>
    <cellStyle name="Финансовый 3 2 5 2 4" xfId="1699" xr:uid="{00000000-0005-0000-0000-00007C040000}"/>
    <cellStyle name="Финансовый 3 2 5 3" xfId="331" xr:uid="{00000000-0005-0000-0000-00007D040000}"/>
    <cellStyle name="Финансовый 3 2 5 3 2" xfId="1306" xr:uid="{00000000-0005-0000-0000-00007E040000}"/>
    <cellStyle name="Финансовый 3 2 5 4" xfId="695" xr:uid="{00000000-0005-0000-0000-00007F040000}"/>
    <cellStyle name="Финансовый 3 2 5 4 2" xfId="1042" xr:uid="{00000000-0005-0000-0000-000080040000}"/>
    <cellStyle name="Финансовый 3 2 5 5" xfId="926" xr:uid="{00000000-0005-0000-0000-000081040000}"/>
    <cellStyle name="Финансовый 3 2 5 6" xfId="1562" xr:uid="{00000000-0005-0000-0000-000082040000}"/>
    <cellStyle name="Финансовый 3 2 5 7" xfId="789" xr:uid="{00000000-0005-0000-0000-000083040000}"/>
    <cellStyle name="Финансовый 3 2 6" xfId="135" xr:uid="{00000000-0005-0000-0000-000084040000}"/>
    <cellStyle name="Финансовый 3 2 6 2" xfId="271" xr:uid="{00000000-0005-0000-0000-000085040000}"/>
    <cellStyle name="Финансовый 3 2 6 2 2" xfId="543" xr:uid="{00000000-0005-0000-0000-000086040000}"/>
    <cellStyle name="Финансовый 3 2 6 2 2 2" xfId="1502" xr:uid="{00000000-0005-0000-0000-000087040000}"/>
    <cellStyle name="Финансовый 3 2 6 2 3" xfId="1246" xr:uid="{00000000-0005-0000-0000-000088040000}"/>
    <cellStyle name="Финансовый 3 2 6 2 4" xfId="1775" xr:uid="{00000000-0005-0000-0000-000089040000}"/>
    <cellStyle name="Финансовый 3 2 6 3" xfId="407" xr:uid="{00000000-0005-0000-0000-00008A040000}"/>
    <cellStyle name="Финансовый 3 2 6 3 2" xfId="1374" xr:uid="{00000000-0005-0000-0000-00008B040000}"/>
    <cellStyle name="Финансовый 3 2 6 4" xfId="696" xr:uid="{00000000-0005-0000-0000-00008C040000}"/>
    <cellStyle name="Финансовый 3 2 6 4 2" xfId="1118" xr:uid="{00000000-0005-0000-0000-00008D040000}"/>
    <cellStyle name="Финансовый 3 2 6 5" xfId="994" xr:uid="{00000000-0005-0000-0000-00008E040000}"/>
    <cellStyle name="Финансовый 3 2 6 6" xfId="1639" xr:uid="{00000000-0005-0000-0000-00008F040000}"/>
    <cellStyle name="Финансовый 3 2 6 7" xfId="866" xr:uid="{00000000-0005-0000-0000-000090040000}"/>
    <cellStyle name="Финансовый 3 2 7" xfId="33" xr:uid="{00000000-0005-0000-0000-000091040000}"/>
    <cellStyle name="Финансовый 3 2 7 2" xfId="171" xr:uid="{00000000-0005-0000-0000-000092040000}"/>
    <cellStyle name="Финансовый 3 2 7 2 2" xfId="443" xr:uid="{00000000-0005-0000-0000-000093040000}"/>
    <cellStyle name="Финансовый 3 2 7 2 2 2" xfId="1410" xr:uid="{00000000-0005-0000-0000-000094040000}"/>
    <cellStyle name="Финансовый 3 2 7 2 3" xfId="1154" xr:uid="{00000000-0005-0000-0000-000095040000}"/>
    <cellStyle name="Финансовый 3 2 7 2 4" xfId="1675" xr:uid="{00000000-0005-0000-0000-000096040000}"/>
    <cellStyle name="Финансовый 3 2 7 3" xfId="307" xr:uid="{00000000-0005-0000-0000-000097040000}"/>
    <cellStyle name="Финансовый 3 2 7 3 2" xfId="1282" xr:uid="{00000000-0005-0000-0000-000098040000}"/>
    <cellStyle name="Финансовый 3 2 7 4" xfId="697" xr:uid="{00000000-0005-0000-0000-000099040000}"/>
    <cellStyle name="Финансовый 3 2 7 4 2" xfId="1018" xr:uid="{00000000-0005-0000-0000-00009A040000}"/>
    <cellStyle name="Финансовый 3 2 7 5" xfId="902" xr:uid="{00000000-0005-0000-0000-00009B040000}"/>
    <cellStyle name="Финансовый 3 2 7 6" xfId="1538" xr:uid="{00000000-0005-0000-0000-00009C040000}"/>
    <cellStyle name="Финансовый 3 2 7 7" xfId="765" xr:uid="{00000000-0005-0000-0000-00009D040000}"/>
    <cellStyle name="Финансовый 3 2 8" xfId="21" xr:uid="{00000000-0005-0000-0000-00009E040000}"/>
    <cellStyle name="Финансовый 3 2 8 2" xfId="159" xr:uid="{00000000-0005-0000-0000-00009F040000}"/>
    <cellStyle name="Финансовый 3 2 8 2 2" xfId="431" xr:uid="{00000000-0005-0000-0000-0000A0040000}"/>
    <cellStyle name="Финансовый 3 2 8 2 2 2" xfId="1398" xr:uid="{00000000-0005-0000-0000-0000A1040000}"/>
    <cellStyle name="Финансовый 3 2 8 2 3" xfId="1142" xr:uid="{00000000-0005-0000-0000-0000A2040000}"/>
    <cellStyle name="Финансовый 3 2 8 2 4" xfId="1663" xr:uid="{00000000-0005-0000-0000-0000A3040000}"/>
    <cellStyle name="Финансовый 3 2 8 3" xfId="295" xr:uid="{00000000-0005-0000-0000-0000A4040000}"/>
    <cellStyle name="Финансовый 3 2 8 3 2" xfId="1270" xr:uid="{00000000-0005-0000-0000-0000A5040000}"/>
    <cellStyle name="Финансовый 3 2 8 4" xfId="698" xr:uid="{00000000-0005-0000-0000-0000A6040000}"/>
    <cellStyle name="Финансовый 3 2 8 4 2" xfId="1006" xr:uid="{00000000-0005-0000-0000-0000A7040000}"/>
    <cellStyle name="Финансовый 3 2 8 5" xfId="890" xr:uid="{00000000-0005-0000-0000-0000A8040000}"/>
    <cellStyle name="Финансовый 3 2 8 6" xfId="1526" xr:uid="{00000000-0005-0000-0000-0000A9040000}"/>
    <cellStyle name="Финансовый 3 2 8 7" xfId="753" xr:uid="{00000000-0005-0000-0000-0000AA040000}"/>
    <cellStyle name="Финансовый 3 2 9" xfId="147" xr:uid="{00000000-0005-0000-0000-0000AB040000}"/>
    <cellStyle name="Финансовый 3 2 9 2" xfId="419" xr:uid="{00000000-0005-0000-0000-0000AC040000}"/>
    <cellStyle name="Финансовый 3 2 9 2 2" xfId="1386" xr:uid="{00000000-0005-0000-0000-0000AD040000}"/>
    <cellStyle name="Финансовый 3 2 9 3" xfId="1130" xr:uid="{00000000-0005-0000-0000-0000AE040000}"/>
    <cellStyle name="Финансовый 3 2 9 4" xfId="1651" xr:uid="{00000000-0005-0000-0000-0000AF040000}"/>
    <cellStyle name="Финансовый 3 3" xfId="39" xr:uid="{00000000-0005-0000-0000-0000B0040000}"/>
    <cellStyle name="Финансовый 3 3 2" xfId="121" xr:uid="{00000000-0005-0000-0000-0000B1040000}"/>
    <cellStyle name="Финансовый 3 3 2 2" xfId="257" xr:uid="{00000000-0005-0000-0000-0000B2040000}"/>
    <cellStyle name="Финансовый 3 3 2 2 2" xfId="529" xr:uid="{00000000-0005-0000-0000-0000B3040000}"/>
    <cellStyle name="Финансовый 3 3 2 2 2 2" xfId="1488" xr:uid="{00000000-0005-0000-0000-0000B4040000}"/>
    <cellStyle name="Финансовый 3 3 2 2 3" xfId="1232" xr:uid="{00000000-0005-0000-0000-0000B5040000}"/>
    <cellStyle name="Финансовый 3 3 2 2 4" xfId="1761" xr:uid="{00000000-0005-0000-0000-0000B6040000}"/>
    <cellStyle name="Финансовый 3 3 2 3" xfId="393" xr:uid="{00000000-0005-0000-0000-0000B7040000}"/>
    <cellStyle name="Финансовый 3 3 2 3 2" xfId="1360" xr:uid="{00000000-0005-0000-0000-0000B8040000}"/>
    <cellStyle name="Финансовый 3 3 2 4" xfId="700" xr:uid="{00000000-0005-0000-0000-0000B9040000}"/>
    <cellStyle name="Финансовый 3 3 2 4 2" xfId="1104" xr:uid="{00000000-0005-0000-0000-0000BA040000}"/>
    <cellStyle name="Финансовый 3 3 2 5" xfId="980" xr:uid="{00000000-0005-0000-0000-0000BB040000}"/>
    <cellStyle name="Финансовый 3 3 2 6" xfId="1625" xr:uid="{00000000-0005-0000-0000-0000BC040000}"/>
    <cellStyle name="Финансовый 3 3 2 7" xfId="852" xr:uid="{00000000-0005-0000-0000-0000BD040000}"/>
    <cellStyle name="Финансовый 3 3 3" xfId="85" xr:uid="{00000000-0005-0000-0000-0000BE040000}"/>
    <cellStyle name="Финансовый 3 3 3 2" xfId="221" xr:uid="{00000000-0005-0000-0000-0000BF040000}"/>
    <cellStyle name="Финансовый 3 3 3 2 2" xfId="493" xr:uid="{00000000-0005-0000-0000-0000C0040000}"/>
    <cellStyle name="Финансовый 3 3 3 2 2 2" xfId="1452" xr:uid="{00000000-0005-0000-0000-0000C1040000}"/>
    <cellStyle name="Финансовый 3 3 3 2 3" xfId="1196" xr:uid="{00000000-0005-0000-0000-0000C2040000}"/>
    <cellStyle name="Финансовый 3 3 3 2 4" xfId="1725" xr:uid="{00000000-0005-0000-0000-0000C3040000}"/>
    <cellStyle name="Финансовый 3 3 3 3" xfId="357" xr:uid="{00000000-0005-0000-0000-0000C4040000}"/>
    <cellStyle name="Финансовый 3 3 3 3 2" xfId="1324" xr:uid="{00000000-0005-0000-0000-0000C5040000}"/>
    <cellStyle name="Финансовый 3 3 3 4" xfId="701" xr:uid="{00000000-0005-0000-0000-0000C6040000}"/>
    <cellStyle name="Финансовый 3 3 3 4 2" xfId="1068" xr:uid="{00000000-0005-0000-0000-0000C7040000}"/>
    <cellStyle name="Финансовый 3 3 3 5" xfId="944" xr:uid="{00000000-0005-0000-0000-0000C8040000}"/>
    <cellStyle name="Финансовый 3 3 3 6" xfId="1589" xr:uid="{00000000-0005-0000-0000-0000C9040000}"/>
    <cellStyle name="Финансовый 3 3 3 7" xfId="816" xr:uid="{00000000-0005-0000-0000-0000CA040000}"/>
    <cellStyle name="Финансовый 3 3 4" xfId="177" xr:uid="{00000000-0005-0000-0000-0000CB040000}"/>
    <cellStyle name="Финансовый 3 3 4 2" xfId="449" xr:uid="{00000000-0005-0000-0000-0000CC040000}"/>
    <cellStyle name="Финансовый 3 3 4 2 2" xfId="1416" xr:uid="{00000000-0005-0000-0000-0000CD040000}"/>
    <cellStyle name="Финансовый 3 3 4 3" xfId="1160" xr:uid="{00000000-0005-0000-0000-0000CE040000}"/>
    <cellStyle name="Финансовый 3 3 4 4" xfId="1681" xr:uid="{00000000-0005-0000-0000-0000CF040000}"/>
    <cellStyle name="Финансовый 3 3 5" xfId="313" xr:uid="{00000000-0005-0000-0000-0000D0040000}"/>
    <cellStyle name="Финансовый 3 3 5 2" xfId="1288" xr:uid="{00000000-0005-0000-0000-0000D1040000}"/>
    <cellStyle name="Финансовый 3 3 6" xfId="699" xr:uid="{00000000-0005-0000-0000-0000D2040000}"/>
    <cellStyle name="Финансовый 3 3 6 2" xfId="1024" xr:uid="{00000000-0005-0000-0000-0000D3040000}"/>
    <cellStyle name="Финансовый 3 3 7" xfId="908" xr:uid="{00000000-0005-0000-0000-0000D4040000}"/>
    <cellStyle name="Финансовый 3 3 8" xfId="1544" xr:uid="{00000000-0005-0000-0000-0000D5040000}"/>
    <cellStyle name="Финансовый 3 3 9" xfId="771" xr:uid="{00000000-0005-0000-0000-0000D6040000}"/>
    <cellStyle name="Финансовый 3 4" xfId="91" xr:uid="{00000000-0005-0000-0000-0000D7040000}"/>
    <cellStyle name="Финансовый 3 4 2" xfId="227" xr:uid="{00000000-0005-0000-0000-0000D8040000}"/>
    <cellStyle name="Финансовый 3 4 2 2" xfId="499" xr:uid="{00000000-0005-0000-0000-0000D9040000}"/>
    <cellStyle name="Финансовый 3 4 2 2 2" xfId="1458" xr:uid="{00000000-0005-0000-0000-0000DA040000}"/>
    <cellStyle name="Финансовый 3 4 2 3" xfId="1202" xr:uid="{00000000-0005-0000-0000-0000DB040000}"/>
    <cellStyle name="Финансовый 3 4 2 4" xfId="1731" xr:uid="{00000000-0005-0000-0000-0000DC040000}"/>
    <cellStyle name="Финансовый 3 4 3" xfId="363" xr:uid="{00000000-0005-0000-0000-0000DD040000}"/>
    <cellStyle name="Финансовый 3 4 3 2" xfId="1330" xr:uid="{00000000-0005-0000-0000-0000DE040000}"/>
    <cellStyle name="Финансовый 3 4 4" xfId="702" xr:uid="{00000000-0005-0000-0000-0000DF040000}"/>
    <cellStyle name="Финансовый 3 4 4 2" xfId="1074" xr:uid="{00000000-0005-0000-0000-0000E0040000}"/>
    <cellStyle name="Финансовый 3 4 5" xfId="950" xr:uid="{00000000-0005-0000-0000-0000E1040000}"/>
    <cellStyle name="Финансовый 3 4 6" xfId="1595" xr:uid="{00000000-0005-0000-0000-0000E2040000}"/>
    <cellStyle name="Финансовый 3 4 7" xfId="822" xr:uid="{00000000-0005-0000-0000-0000E3040000}"/>
    <cellStyle name="Финансовый 3 5" xfId="97" xr:uid="{00000000-0005-0000-0000-0000E4040000}"/>
    <cellStyle name="Финансовый 3 5 2" xfId="233" xr:uid="{00000000-0005-0000-0000-0000E5040000}"/>
    <cellStyle name="Финансовый 3 5 2 2" xfId="505" xr:uid="{00000000-0005-0000-0000-0000E6040000}"/>
    <cellStyle name="Финансовый 3 5 2 2 2" xfId="1464" xr:uid="{00000000-0005-0000-0000-0000E7040000}"/>
    <cellStyle name="Финансовый 3 5 2 3" xfId="1208" xr:uid="{00000000-0005-0000-0000-0000E8040000}"/>
    <cellStyle name="Финансовый 3 5 2 4" xfId="1737" xr:uid="{00000000-0005-0000-0000-0000E9040000}"/>
    <cellStyle name="Финансовый 3 5 3" xfId="369" xr:uid="{00000000-0005-0000-0000-0000EA040000}"/>
    <cellStyle name="Финансовый 3 5 3 2" xfId="1336" xr:uid="{00000000-0005-0000-0000-0000EB040000}"/>
    <cellStyle name="Финансовый 3 5 4" xfId="703" xr:uid="{00000000-0005-0000-0000-0000EC040000}"/>
    <cellStyle name="Финансовый 3 5 4 2" xfId="1080" xr:uid="{00000000-0005-0000-0000-0000ED040000}"/>
    <cellStyle name="Финансовый 3 5 5" xfId="956" xr:uid="{00000000-0005-0000-0000-0000EE040000}"/>
    <cellStyle name="Финансовый 3 5 6" xfId="1601" xr:uid="{00000000-0005-0000-0000-0000EF040000}"/>
    <cellStyle name="Финансовый 3 5 7" xfId="828" xr:uid="{00000000-0005-0000-0000-0000F0040000}"/>
    <cellStyle name="Финансовый 3 6" xfId="109" xr:uid="{00000000-0005-0000-0000-0000F1040000}"/>
    <cellStyle name="Финансовый 3 6 2" xfId="245" xr:uid="{00000000-0005-0000-0000-0000F2040000}"/>
    <cellStyle name="Финансовый 3 6 2 2" xfId="517" xr:uid="{00000000-0005-0000-0000-0000F3040000}"/>
    <cellStyle name="Финансовый 3 6 2 2 2" xfId="1476" xr:uid="{00000000-0005-0000-0000-0000F4040000}"/>
    <cellStyle name="Финансовый 3 6 2 3" xfId="1220" xr:uid="{00000000-0005-0000-0000-0000F5040000}"/>
    <cellStyle name="Финансовый 3 6 2 4" xfId="1749" xr:uid="{00000000-0005-0000-0000-0000F6040000}"/>
    <cellStyle name="Финансовый 3 6 3" xfId="381" xr:uid="{00000000-0005-0000-0000-0000F7040000}"/>
    <cellStyle name="Финансовый 3 6 3 2" xfId="1348" xr:uid="{00000000-0005-0000-0000-0000F8040000}"/>
    <cellStyle name="Финансовый 3 6 4" xfId="704" xr:uid="{00000000-0005-0000-0000-0000F9040000}"/>
    <cellStyle name="Финансовый 3 6 4 2" xfId="1092" xr:uid="{00000000-0005-0000-0000-0000FA040000}"/>
    <cellStyle name="Финансовый 3 6 5" xfId="968" xr:uid="{00000000-0005-0000-0000-0000FB040000}"/>
    <cellStyle name="Финансовый 3 6 6" xfId="1613" xr:uid="{00000000-0005-0000-0000-0000FC040000}"/>
    <cellStyle name="Финансовый 3 6 7" xfId="840" xr:uid="{00000000-0005-0000-0000-0000FD040000}"/>
    <cellStyle name="Финансовый 3 7" xfId="74" xr:uid="{00000000-0005-0000-0000-0000FE040000}"/>
    <cellStyle name="Финансовый 3 7 2" xfId="210" xr:uid="{00000000-0005-0000-0000-0000FF040000}"/>
    <cellStyle name="Финансовый 3 7 2 2" xfId="482" xr:uid="{00000000-0005-0000-0000-000000050000}"/>
    <cellStyle name="Финансовый 3 7 2 2 2" xfId="1441" xr:uid="{00000000-0005-0000-0000-000001050000}"/>
    <cellStyle name="Финансовый 3 7 2 3" xfId="1185" xr:uid="{00000000-0005-0000-0000-000002050000}"/>
    <cellStyle name="Финансовый 3 7 2 4" xfId="1714" xr:uid="{00000000-0005-0000-0000-000003050000}"/>
    <cellStyle name="Финансовый 3 7 3" xfId="346" xr:uid="{00000000-0005-0000-0000-000004050000}"/>
    <cellStyle name="Финансовый 3 7 3 2" xfId="1313" xr:uid="{00000000-0005-0000-0000-000005050000}"/>
    <cellStyle name="Финансовый 3 7 4" xfId="705" xr:uid="{00000000-0005-0000-0000-000006050000}"/>
    <cellStyle name="Финансовый 3 7 4 2" xfId="1057" xr:uid="{00000000-0005-0000-0000-000007050000}"/>
    <cellStyle name="Финансовый 3 7 5" xfId="933" xr:uid="{00000000-0005-0000-0000-000008050000}"/>
    <cellStyle name="Финансовый 3 7 6" xfId="1578" xr:uid="{00000000-0005-0000-0000-000009050000}"/>
    <cellStyle name="Финансовый 3 7 7" xfId="805" xr:uid="{00000000-0005-0000-0000-00000A050000}"/>
    <cellStyle name="Финансовый 3 8" xfId="51" xr:uid="{00000000-0005-0000-0000-00000B050000}"/>
    <cellStyle name="Финансовый 3 8 2" xfId="189" xr:uid="{00000000-0005-0000-0000-00000C050000}"/>
    <cellStyle name="Финансовый 3 8 2 2" xfId="461" xr:uid="{00000000-0005-0000-0000-00000D050000}"/>
    <cellStyle name="Финансовый 3 8 2 2 2" xfId="1428" xr:uid="{00000000-0005-0000-0000-00000E050000}"/>
    <cellStyle name="Финансовый 3 8 2 3" xfId="1172" xr:uid="{00000000-0005-0000-0000-00000F050000}"/>
    <cellStyle name="Финансовый 3 8 2 4" xfId="1693" xr:uid="{00000000-0005-0000-0000-000010050000}"/>
    <cellStyle name="Финансовый 3 8 3" xfId="325" xr:uid="{00000000-0005-0000-0000-000011050000}"/>
    <cellStyle name="Финансовый 3 8 3 2" xfId="1300" xr:uid="{00000000-0005-0000-0000-000012050000}"/>
    <cellStyle name="Финансовый 3 8 4" xfId="595" xr:uid="{00000000-0005-0000-0000-000013050000}"/>
    <cellStyle name="Финансовый 3 8 4 2" xfId="1036" xr:uid="{00000000-0005-0000-0000-000014050000}"/>
    <cellStyle name="Финансовый 3 8 5" xfId="920" xr:uid="{00000000-0005-0000-0000-000015050000}"/>
    <cellStyle name="Финансовый 3 8 6" xfId="1556" xr:uid="{00000000-0005-0000-0000-000016050000}"/>
    <cellStyle name="Финансовый 3 8 7" xfId="783" xr:uid="{00000000-0005-0000-0000-000017050000}"/>
    <cellStyle name="Финансовый 3 9" xfId="129" xr:uid="{00000000-0005-0000-0000-000018050000}"/>
    <cellStyle name="Финансовый 3 9 2" xfId="265" xr:uid="{00000000-0005-0000-0000-000019050000}"/>
    <cellStyle name="Финансовый 3 9 2 2" xfId="537" xr:uid="{00000000-0005-0000-0000-00001A050000}"/>
    <cellStyle name="Финансовый 3 9 2 2 2" xfId="1496" xr:uid="{00000000-0005-0000-0000-00001B050000}"/>
    <cellStyle name="Финансовый 3 9 2 3" xfId="1240" xr:uid="{00000000-0005-0000-0000-00001C050000}"/>
    <cellStyle name="Финансовый 3 9 2 4" xfId="1769" xr:uid="{00000000-0005-0000-0000-00001D050000}"/>
    <cellStyle name="Финансовый 3 9 3" xfId="401" xr:uid="{00000000-0005-0000-0000-00001E050000}"/>
    <cellStyle name="Финансовый 3 9 3 2" xfId="1368" xr:uid="{00000000-0005-0000-0000-00001F050000}"/>
    <cellStyle name="Финансовый 3 9 4" xfId="598" xr:uid="{00000000-0005-0000-0000-000020050000}"/>
    <cellStyle name="Финансовый 3 9 4 2" xfId="1112" xr:uid="{00000000-0005-0000-0000-000021050000}"/>
    <cellStyle name="Финансовый 3 9 5" xfId="988" xr:uid="{00000000-0005-0000-0000-000022050000}"/>
    <cellStyle name="Финансовый 3 9 6" xfId="1633" xr:uid="{00000000-0005-0000-0000-000023050000}"/>
    <cellStyle name="Финансовый 3 9 7" xfId="860" xr:uid="{00000000-0005-0000-0000-000024050000}"/>
    <cellStyle name="Финансовый 30" xfId="795" xr:uid="{00000000-0005-0000-0000-000025050000}"/>
    <cellStyle name="Финансовый 4" xfId="5" xr:uid="{00000000-0005-0000-0000-000026050000}"/>
    <cellStyle name="Финансовый 4 10" xfId="29" xr:uid="{00000000-0005-0000-0000-000027050000}"/>
    <cellStyle name="Финансовый 4 10 2" xfId="167" xr:uid="{00000000-0005-0000-0000-000028050000}"/>
    <cellStyle name="Финансовый 4 10 2 2" xfId="439" xr:uid="{00000000-0005-0000-0000-000029050000}"/>
    <cellStyle name="Финансовый 4 10 2 2 2" xfId="1406" xr:uid="{00000000-0005-0000-0000-00002A050000}"/>
    <cellStyle name="Финансовый 4 10 2 3" xfId="1150" xr:uid="{00000000-0005-0000-0000-00002B050000}"/>
    <cellStyle name="Финансовый 4 10 2 4" xfId="1671" xr:uid="{00000000-0005-0000-0000-00002C050000}"/>
    <cellStyle name="Финансовый 4 10 3" xfId="303" xr:uid="{00000000-0005-0000-0000-00002D050000}"/>
    <cellStyle name="Финансовый 4 10 3 2" xfId="1278" xr:uid="{00000000-0005-0000-0000-00002E050000}"/>
    <cellStyle name="Финансовый 4 10 4" xfId="707" xr:uid="{00000000-0005-0000-0000-00002F050000}"/>
    <cellStyle name="Финансовый 4 10 4 2" xfId="1014" xr:uid="{00000000-0005-0000-0000-000030050000}"/>
    <cellStyle name="Финансовый 4 10 5" xfId="898" xr:uid="{00000000-0005-0000-0000-000031050000}"/>
    <cellStyle name="Финансовый 4 10 6" xfId="1534" xr:uid="{00000000-0005-0000-0000-000032050000}"/>
    <cellStyle name="Финансовый 4 10 7" xfId="761" xr:uid="{00000000-0005-0000-0000-000033050000}"/>
    <cellStyle name="Финансовый 4 11" xfId="17" xr:uid="{00000000-0005-0000-0000-000034050000}"/>
    <cellStyle name="Финансовый 4 11 2" xfId="155" xr:uid="{00000000-0005-0000-0000-000035050000}"/>
    <cellStyle name="Финансовый 4 11 2 2" xfId="427" xr:uid="{00000000-0005-0000-0000-000036050000}"/>
    <cellStyle name="Финансовый 4 11 2 2 2" xfId="1394" xr:uid="{00000000-0005-0000-0000-000037050000}"/>
    <cellStyle name="Финансовый 4 11 2 3" xfId="1138" xr:uid="{00000000-0005-0000-0000-000038050000}"/>
    <cellStyle name="Финансовый 4 11 2 4" xfId="1659" xr:uid="{00000000-0005-0000-0000-000039050000}"/>
    <cellStyle name="Финансовый 4 11 3" xfId="291" xr:uid="{00000000-0005-0000-0000-00003A050000}"/>
    <cellStyle name="Финансовый 4 11 3 2" xfId="1266" xr:uid="{00000000-0005-0000-0000-00003B050000}"/>
    <cellStyle name="Финансовый 4 11 4" xfId="708" xr:uid="{00000000-0005-0000-0000-00003C050000}"/>
    <cellStyle name="Финансовый 4 11 4 2" xfId="1002" xr:uid="{00000000-0005-0000-0000-00003D050000}"/>
    <cellStyle name="Финансовый 4 11 5" xfId="886" xr:uid="{00000000-0005-0000-0000-00003E050000}"/>
    <cellStyle name="Финансовый 4 11 6" xfId="1522" xr:uid="{00000000-0005-0000-0000-00003F050000}"/>
    <cellStyle name="Финансовый 4 11 7" xfId="749" xr:uid="{00000000-0005-0000-0000-000040050000}"/>
    <cellStyle name="Финансовый 4 12" xfId="143" xr:uid="{00000000-0005-0000-0000-000041050000}"/>
    <cellStyle name="Финансовый 4 12 2" xfId="415" xr:uid="{00000000-0005-0000-0000-000042050000}"/>
    <cellStyle name="Финансовый 4 12 2 2" xfId="1382" xr:uid="{00000000-0005-0000-0000-000043050000}"/>
    <cellStyle name="Финансовый 4 12 3" xfId="1126" xr:uid="{00000000-0005-0000-0000-000044050000}"/>
    <cellStyle name="Финансовый 4 12 4" xfId="1647" xr:uid="{00000000-0005-0000-0000-000045050000}"/>
    <cellStyle name="Финансовый 4 13" xfId="551" xr:uid="{00000000-0005-0000-0000-000046050000}"/>
    <cellStyle name="Финансовый 4 13 2" xfId="1254" xr:uid="{00000000-0005-0000-0000-000047050000}"/>
    <cellStyle name="Финансовый 4 14" xfId="279" xr:uid="{00000000-0005-0000-0000-000048050000}"/>
    <cellStyle name="Финансовый 4 15" xfId="706" xr:uid="{00000000-0005-0000-0000-000049050000}"/>
    <cellStyle name="Финансовый 4 15 2" xfId="874" xr:uid="{00000000-0005-0000-0000-00004A050000}"/>
    <cellStyle name="Финансовый 4 16" xfId="1510" xr:uid="{00000000-0005-0000-0000-00004B050000}"/>
    <cellStyle name="Финансовый 4 17" xfId="737" xr:uid="{00000000-0005-0000-0000-00004C050000}"/>
    <cellStyle name="Финансовый 4 2" xfId="11" xr:uid="{00000000-0005-0000-0000-00004D050000}"/>
    <cellStyle name="Финансовый 4 2 10" xfId="557" xr:uid="{00000000-0005-0000-0000-00004E050000}"/>
    <cellStyle name="Финансовый 4 2 10 2" xfId="1260" xr:uid="{00000000-0005-0000-0000-00004F050000}"/>
    <cellStyle name="Финансовый 4 2 11" xfId="285" xr:uid="{00000000-0005-0000-0000-000050050000}"/>
    <cellStyle name="Финансовый 4 2 12" xfId="709" xr:uid="{00000000-0005-0000-0000-000051050000}"/>
    <cellStyle name="Финансовый 4 2 12 2" xfId="880" xr:uid="{00000000-0005-0000-0000-000052050000}"/>
    <cellStyle name="Финансовый 4 2 13" xfId="1516" xr:uid="{00000000-0005-0000-0000-000053050000}"/>
    <cellStyle name="Финансовый 4 2 14" xfId="743" xr:uid="{00000000-0005-0000-0000-000054050000}"/>
    <cellStyle name="Финансовый 4 2 2" xfId="47" xr:uid="{00000000-0005-0000-0000-000055050000}"/>
    <cellStyle name="Финансовый 4 2 2 2" xfId="105" xr:uid="{00000000-0005-0000-0000-000056050000}"/>
    <cellStyle name="Финансовый 4 2 2 2 2" xfId="241" xr:uid="{00000000-0005-0000-0000-000057050000}"/>
    <cellStyle name="Финансовый 4 2 2 2 2 2" xfId="513" xr:uid="{00000000-0005-0000-0000-000058050000}"/>
    <cellStyle name="Финансовый 4 2 2 2 2 2 2" xfId="1472" xr:uid="{00000000-0005-0000-0000-000059050000}"/>
    <cellStyle name="Финансовый 4 2 2 2 2 3" xfId="1216" xr:uid="{00000000-0005-0000-0000-00005A050000}"/>
    <cellStyle name="Финансовый 4 2 2 2 2 4" xfId="1745" xr:uid="{00000000-0005-0000-0000-00005B050000}"/>
    <cellStyle name="Финансовый 4 2 2 2 3" xfId="377" xr:uid="{00000000-0005-0000-0000-00005C050000}"/>
    <cellStyle name="Финансовый 4 2 2 2 3 2" xfId="1344" xr:uid="{00000000-0005-0000-0000-00005D050000}"/>
    <cellStyle name="Финансовый 4 2 2 2 4" xfId="602" xr:uid="{00000000-0005-0000-0000-00005E050000}"/>
    <cellStyle name="Финансовый 4 2 2 2 4 2" xfId="1088" xr:uid="{00000000-0005-0000-0000-00005F050000}"/>
    <cellStyle name="Финансовый 4 2 2 2 5" xfId="964" xr:uid="{00000000-0005-0000-0000-000060050000}"/>
    <cellStyle name="Финансовый 4 2 2 2 6" xfId="1609" xr:uid="{00000000-0005-0000-0000-000061050000}"/>
    <cellStyle name="Финансовый 4 2 2 2 7" xfId="836" xr:uid="{00000000-0005-0000-0000-000062050000}"/>
    <cellStyle name="Финансовый 4 2 2 3" xfId="185" xr:uid="{00000000-0005-0000-0000-000063050000}"/>
    <cellStyle name="Финансовый 4 2 2 3 2" xfId="457" xr:uid="{00000000-0005-0000-0000-000064050000}"/>
    <cellStyle name="Финансовый 4 2 2 3 2 2" xfId="1424" xr:uid="{00000000-0005-0000-0000-000065050000}"/>
    <cellStyle name="Финансовый 4 2 2 3 3" xfId="1168" xr:uid="{00000000-0005-0000-0000-000066050000}"/>
    <cellStyle name="Финансовый 4 2 2 3 4" xfId="1689" xr:uid="{00000000-0005-0000-0000-000067050000}"/>
    <cellStyle name="Финансовый 4 2 2 4" xfId="321" xr:uid="{00000000-0005-0000-0000-000068050000}"/>
    <cellStyle name="Финансовый 4 2 2 4 2" xfId="1296" xr:uid="{00000000-0005-0000-0000-000069050000}"/>
    <cellStyle name="Финансовый 4 2 2 5" xfId="710" xr:uid="{00000000-0005-0000-0000-00006A050000}"/>
    <cellStyle name="Финансовый 4 2 2 5 2" xfId="1032" xr:uid="{00000000-0005-0000-0000-00006B050000}"/>
    <cellStyle name="Финансовый 4 2 2 6" xfId="916" xr:uid="{00000000-0005-0000-0000-00006C050000}"/>
    <cellStyle name="Финансовый 4 2 2 7" xfId="1552" xr:uid="{00000000-0005-0000-0000-00006D050000}"/>
    <cellStyle name="Финансовый 4 2 2 8" xfId="779" xr:uid="{00000000-0005-0000-0000-00006E050000}"/>
    <cellStyle name="Финансовый 4 2 3" xfId="117" xr:uid="{00000000-0005-0000-0000-00006F050000}"/>
    <cellStyle name="Финансовый 4 2 3 2" xfId="253" xr:uid="{00000000-0005-0000-0000-000070050000}"/>
    <cellStyle name="Финансовый 4 2 3 2 2" xfId="525" xr:uid="{00000000-0005-0000-0000-000071050000}"/>
    <cellStyle name="Финансовый 4 2 3 2 2 2" xfId="1484" xr:uid="{00000000-0005-0000-0000-000072050000}"/>
    <cellStyle name="Финансовый 4 2 3 2 3" xfId="1228" xr:uid="{00000000-0005-0000-0000-000073050000}"/>
    <cellStyle name="Финансовый 4 2 3 2 4" xfId="1757" xr:uid="{00000000-0005-0000-0000-000074050000}"/>
    <cellStyle name="Финансовый 4 2 3 3" xfId="389" xr:uid="{00000000-0005-0000-0000-000075050000}"/>
    <cellStyle name="Финансовый 4 2 3 3 2" xfId="1356" xr:uid="{00000000-0005-0000-0000-000076050000}"/>
    <cellStyle name="Финансовый 4 2 3 4" xfId="711" xr:uid="{00000000-0005-0000-0000-000077050000}"/>
    <cellStyle name="Финансовый 4 2 3 4 2" xfId="1100" xr:uid="{00000000-0005-0000-0000-000078050000}"/>
    <cellStyle name="Финансовый 4 2 3 5" xfId="976" xr:uid="{00000000-0005-0000-0000-000079050000}"/>
    <cellStyle name="Финансовый 4 2 3 6" xfId="1621" xr:uid="{00000000-0005-0000-0000-00007A050000}"/>
    <cellStyle name="Финансовый 4 2 3 7" xfId="848" xr:uid="{00000000-0005-0000-0000-00007B050000}"/>
    <cellStyle name="Финансовый 4 2 4" xfId="81" xr:uid="{00000000-0005-0000-0000-00007C050000}"/>
    <cellStyle name="Финансовый 4 2 4 2" xfId="217" xr:uid="{00000000-0005-0000-0000-00007D050000}"/>
    <cellStyle name="Финансовый 4 2 4 2 2" xfId="489" xr:uid="{00000000-0005-0000-0000-00007E050000}"/>
    <cellStyle name="Финансовый 4 2 4 2 2 2" xfId="1448" xr:uid="{00000000-0005-0000-0000-00007F050000}"/>
    <cellStyle name="Финансовый 4 2 4 2 3" xfId="1192" xr:uid="{00000000-0005-0000-0000-000080050000}"/>
    <cellStyle name="Финансовый 4 2 4 2 4" xfId="1721" xr:uid="{00000000-0005-0000-0000-000081050000}"/>
    <cellStyle name="Финансовый 4 2 4 3" xfId="353" xr:uid="{00000000-0005-0000-0000-000082050000}"/>
    <cellStyle name="Финансовый 4 2 4 3 2" xfId="1320" xr:uid="{00000000-0005-0000-0000-000083050000}"/>
    <cellStyle name="Финансовый 4 2 4 4" xfId="712" xr:uid="{00000000-0005-0000-0000-000084050000}"/>
    <cellStyle name="Финансовый 4 2 4 4 2" xfId="1064" xr:uid="{00000000-0005-0000-0000-000085050000}"/>
    <cellStyle name="Финансовый 4 2 4 5" xfId="940" xr:uid="{00000000-0005-0000-0000-000086050000}"/>
    <cellStyle name="Финансовый 4 2 4 6" xfId="1585" xr:uid="{00000000-0005-0000-0000-000087050000}"/>
    <cellStyle name="Финансовый 4 2 4 7" xfId="812" xr:uid="{00000000-0005-0000-0000-000088050000}"/>
    <cellStyle name="Финансовый 4 2 5" xfId="59" xr:uid="{00000000-0005-0000-0000-000089050000}"/>
    <cellStyle name="Финансовый 4 2 5 2" xfId="197" xr:uid="{00000000-0005-0000-0000-00008A050000}"/>
    <cellStyle name="Финансовый 4 2 5 2 2" xfId="469" xr:uid="{00000000-0005-0000-0000-00008B050000}"/>
    <cellStyle name="Финансовый 4 2 5 2 2 2" xfId="1436" xr:uid="{00000000-0005-0000-0000-00008C050000}"/>
    <cellStyle name="Финансовый 4 2 5 2 3" xfId="1180" xr:uid="{00000000-0005-0000-0000-00008D050000}"/>
    <cellStyle name="Финансовый 4 2 5 2 4" xfId="1701" xr:uid="{00000000-0005-0000-0000-00008E050000}"/>
    <cellStyle name="Финансовый 4 2 5 3" xfId="333" xr:uid="{00000000-0005-0000-0000-00008F050000}"/>
    <cellStyle name="Финансовый 4 2 5 3 2" xfId="1308" xr:uid="{00000000-0005-0000-0000-000090050000}"/>
    <cellStyle name="Финансовый 4 2 5 4" xfId="713" xr:uid="{00000000-0005-0000-0000-000091050000}"/>
    <cellStyle name="Финансовый 4 2 5 4 2" xfId="1044" xr:uid="{00000000-0005-0000-0000-000092050000}"/>
    <cellStyle name="Финансовый 4 2 5 5" xfId="928" xr:uid="{00000000-0005-0000-0000-000093050000}"/>
    <cellStyle name="Финансовый 4 2 5 6" xfId="1564" xr:uid="{00000000-0005-0000-0000-000094050000}"/>
    <cellStyle name="Финансовый 4 2 5 7" xfId="791" xr:uid="{00000000-0005-0000-0000-000095050000}"/>
    <cellStyle name="Финансовый 4 2 6" xfId="137" xr:uid="{00000000-0005-0000-0000-000096050000}"/>
    <cellStyle name="Финансовый 4 2 6 2" xfId="273" xr:uid="{00000000-0005-0000-0000-000097050000}"/>
    <cellStyle name="Финансовый 4 2 6 2 2" xfId="545" xr:uid="{00000000-0005-0000-0000-000098050000}"/>
    <cellStyle name="Финансовый 4 2 6 2 2 2" xfId="1504" xr:uid="{00000000-0005-0000-0000-000099050000}"/>
    <cellStyle name="Финансовый 4 2 6 2 3" xfId="1248" xr:uid="{00000000-0005-0000-0000-00009A050000}"/>
    <cellStyle name="Финансовый 4 2 6 2 4" xfId="1777" xr:uid="{00000000-0005-0000-0000-00009B050000}"/>
    <cellStyle name="Финансовый 4 2 6 3" xfId="409" xr:uid="{00000000-0005-0000-0000-00009C050000}"/>
    <cellStyle name="Финансовый 4 2 6 3 2" xfId="1376" xr:uid="{00000000-0005-0000-0000-00009D050000}"/>
    <cellStyle name="Финансовый 4 2 6 4" xfId="628" xr:uid="{00000000-0005-0000-0000-00009E050000}"/>
    <cellStyle name="Финансовый 4 2 6 4 2" xfId="1120" xr:uid="{00000000-0005-0000-0000-00009F050000}"/>
    <cellStyle name="Финансовый 4 2 6 5" xfId="996" xr:uid="{00000000-0005-0000-0000-0000A0050000}"/>
    <cellStyle name="Финансовый 4 2 6 6" xfId="1641" xr:uid="{00000000-0005-0000-0000-0000A1050000}"/>
    <cellStyle name="Финансовый 4 2 6 7" xfId="868" xr:uid="{00000000-0005-0000-0000-0000A2050000}"/>
    <cellStyle name="Финансовый 4 2 7" xfId="35" xr:uid="{00000000-0005-0000-0000-0000A3050000}"/>
    <cellStyle name="Финансовый 4 2 7 2" xfId="173" xr:uid="{00000000-0005-0000-0000-0000A4050000}"/>
    <cellStyle name="Финансовый 4 2 7 2 2" xfId="445" xr:uid="{00000000-0005-0000-0000-0000A5050000}"/>
    <cellStyle name="Финансовый 4 2 7 2 2 2" xfId="1412" xr:uid="{00000000-0005-0000-0000-0000A6050000}"/>
    <cellStyle name="Финансовый 4 2 7 2 3" xfId="1156" xr:uid="{00000000-0005-0000-0000-0000A7050000}"/>
    <cellStyle name="Финансовый 4 2 7 2 4" xfId="1677" xr:uid="{00000000-0005-0000-0000-0000A8050000}"/>
    <cellStyle name="Финансовый 4 2 7 3" xfId="309" xr:uid="{00000000-0005-0000-0000-0000A9050000}"/>
    <cellStyle name="Финансовый 4 2 7 3 2" xfId="1284" xr:uid="{00000000-0005-0000-0000-0000AA050000}"/>
    <cellStyle name="Финансовый 4 2 7 4" xfId="651" xr:uid="{00000000-0005-0000-0000-0000AB050000}"/>
    <cellStyle name="Финансовый 4 2 7 4 2" xfId="1020" xr:uid="{00000000-0005-0000-0000-0000AC050000}"/>
    <cellStyle name="Финансовый 4 2 7 5" xfId="904" xr:uid="{00000000-0005-0000-0000-0000AD050000}"/>
    <cellStyle name="Финансовый 4 2 7 6" xfId="1540" xr:uid="{00000000-0005-0000-0000-0000AE050000}"/>
    <cellStyle name="Финансовый 4 2 7 7" xfId="767" xr:uid="{00000000-0005-0000-0000-0000AF050000}"/>
    <cellStyle name="Финансовый 4 2 8" xfId="23" xr:uid="{00000000-0005-0000-0000-0000B0050000}"/>
    <cellStyle name="Финансовый 4 2 8 2" xfId="161" xr:uid="{00000000-0005-0000-0000-0000B1050000}"/>
    <cellStyle name="Финансовый 4 2 8 2 2" xfId="433" xr:uid="{00000000-0005-0000-0000-0000B2050000}"/>
    <cellStyle name="Финансовый 4 2 8 2 2 2" xfId="1400" xr:uid="{00000000-0005-0000-0000-0000B3050000}"/>
    <cellStyle name="Финансовый 4 2 8 2 3" xfId="1144" xr:uid="{00000000-0005-0000-0000-0000B4050000}"/>
    <cellStyle name="Финансовый 4 2 8 2 4" xfId="1665" xr:uid="{00000000-0005-0000-0000-0000B5050000}"/>
    <cellStyle name="Финансовый 4 2 8 3" xfId="297" xr:uid="{00000000-0005-0000-0000-0000B6050000}"/>
    <cellStyle name="Финансовый 4 2 8 3 2" xfId="1272" xr:uid="{00000000-0005-0000-0000-0000B7050000}"/>
    <cellStyle name="Финансовый 4 2 8 4" xfId="671" xr:uid="{00000000-0005-0000-0000-0000B8050000}"/>
    <cellStyle name="Финансовый 4 2 8 4 2" xfId="1008" xr:uid="{00000000-0005-0000-0000-0000B9050000}"/>
    <cellStyle name="Финансовый 4 2 8 5" xfId="892" xr:uid="{00000000-0005-0000-0000-0000BA050000}"/>
    <cellStyle name="Финансовый 4 2 8 6" xfId="1528" xr:uid="{00000000-0005-0000-0000-0000BB050000}"/>
    <cellStyle name="Финансовый 4 2 8 7" xfId="755" xr:uid="{00000000-0005-0000-0000-0000BC050000}"/>
    <cellStyle name="Финансовый 4 2 9" xfId="149" xr:uid="{00000000-0005-0000-0000-0000BD050000}"/>
    <cellStyle name="Финансовый 4 2 9 2" xfId="421" xr:uid="{00000000-0005-0000-0000-0000BE050000}"/>
    <cellStyle name="Финансовый 4 2 9 2 2" xfId="1388" xr:uid="{00000000-0005-0000-0000-0000BF050000}"/>
    <cellStyle name="Финансовый 4 2 9 3" xfId="1132" xr:uid="{00000000-0005-0000-0000-0000C0050000}"/>
    <cellStyle name="Финансовый 4 2 9 4" xfId="1653" xr:uid="{00000000-0005-0000-0000-0000C1050000}"/>
    <cellStyle name="Финансовый 4 3" xfId="41" xr:uid="{00000000-0005-0000-0000-0000C2050000}"/>
    <cellStyle name="Финансовый 4 3 2" xfId="123" xr:uid="{00000000-0005-0000-0000-0000C3050000}"/>
    <cellStyle name="Финансовый 4 3 2 2" xfId="259" xr:uid="{00000000-0005-0000-0000-0000C4050000}"/>
    <cellStyle name="Финансовый 4 3 2 2 2" xfId="531" xr:uid="{00000000-0005-0000-0000-0000C5050000}"/>
    <cellStyle name="Финансовый 4 3 2 2 2 2" xfId="1490" xr:uid="{00000000-0005-0000-0000-0000C6050000}"/>
    <cellStyle name="Финансовый 4 3 2 2 3" xfId="1234" xr:uid="{00000000-0005-0000-0000-0000C7050000}"/>
    <cellStyle name="Финансовый 4 3 2 2 4" xfId="1763" xr:uid="{00000000-0005-0000-0000-0000C8050000}"/>
    <cellStyle name="Финансовый 4 3 2 3" xfId="395" xr:uid="{00000000-0005-0000-0000-0000C9050000}"/>
    <cellStyle name="Финансовый 4 3 2 3 2" xfId="1362" xr:uid="{00000000-0005-0000-0000-0000CA050000}"/>
    <cellStyle name="Финансовый 4 3 2 4" xfId="714" xr:uid="{00000000-0005-0000-0000-0000CB050000}"/>
    <cellStyle name="Финансовый 4 3 2 4 2" xfId="1106" xr:uid="{00000000-0005-0000-0000-0000CC050000}"/>
    <cellStyle name="Финансовый 4 3 2 5" xfId="982" xr:uid="{00000000-0005-0000-0000-0000CD050000}"/>
    <cellStyle name="Финансовый 4 3 2 6" xfId="1627" xr:uid="{00000000-0005-0000-0000-0000CE050000}"/>
    <cellStyle name="Финансовый 4 3 2 7" xfId="854" xr:uid="{00000000-0005-0000-0000-0000CF050000}"/>
    <cellStyle name="Финансовый 4 3 3" xfId="87" xr:uid="{00000000-0005-0000-0000-0000D0050000}"/>
    <cellStyle name="Финансовый 4 3 3 2" xfId="223" xr:uid="{00000000-0005-0000-0000-0000D1050000}"/>
    <cellStyle name="Финансовый 4 3 3 2 2" xfId="495" xr:uid="{00000000-0005-0000-0000-0000D2050000}"/>
    <cellStyle name="Финансовый 4 3 3 2 2 2" xfId="1454" xr:uid="{00000000-0005-0000-0000-0000D3050000}"/>
    <cellStyle name="Финансовый 4 3 3 2 3" xfId="1198" xr:uid="{00000000-0005-0000-0000-0000D4050000}"/>
    <cellStyle name="Финансовый 4 3 3 2 4" xfId="1727" xr:uid="{00000000-0005-0000-0000-0000D5050000}"/>
    <cellStyle name="Финансовый 4 3 3 3" xfId="359" xr:uid="{00000000-0005-0000-0000-0000D6050000}"/>
    <cellStyle name="Финансовый 4 3 3 3 2" xfId="1326" xr:uid="{00000000-0005-0000-0000-0000D7050000}"/>
    <cellStyle name="Финансовый 4 3 3 4" xfId="715" xr:uid="{00000000-0005-0000-0000-0000D8050000}"/>
    <cellStyle name="Финансовый 4 3 3 4 2" xfId="1070" xr:uid="{00000000-0005-0000-0000-0000D9050000}"/>
    <cellStyle name="Финансовый 4 3 3 5" xfId="946" xr:uid="{00000000-0005-0000-0000-0000DA050000}"/>
    <cellStyle name="Финансовый 4 3 3 6" xfId="1591" xr:uid="{00000000-0005-0000-0000-0000DB050000}"/>
    <cellStyle name="Финансовый 4 3 3 7" xfId="818" xr:uid="{00000000-0005-0000-0000-0000DC050000}"/>
    <cellStyle name="Финансовый 4 3 4" xfId="179" xr:uid="{00000000-0005-0000-0000-0000DD050000}"/>
    <cellStyle name="Финансовый 4 3 4 2" xfId="451" xr:uid="{00000000-0005-0000-0000-0000DE050000}"/>
    <cellStyle name="Финансовый 4 3 4 2 2" xfId="1418" xr:uid="{00000000-0005-0000-0000-0000DF050000}"/>
    <cellStyle name="Финансовый 4 3 4 3" xfId="1162" xr:uid="{00000000-0005-0000-0000-0000E0050000}"/>
    <cellStyle name="Финансовый 4 3 4 4" xfId="1683" xr:uid="{00000000-0005-0000-0000-0000E1050000}"/>
    <cellStyle name="Финансовый 4 3 5" xfId="315" xr:uid="{00000000-0005-0000-0000-0000E2050000}"/>
    <cellStyle name="Финансовый 4 3 5 2" xfId="1290" xr:uid="{00000000-0005-0000-0000-0000E3050000}"/>
    <cellStyle name="Финансовый 4 3 6" xfId="607" xr:uid="{00000000-0005-0000-0000-0000E4050000}"/>
    <cellStyle name="Финансовый 4 3 6 2" xfId="1026" xr:uid="{00000000-0005-0000-0000-0000E5050000}"/>
    <cellStyle name="Финансовый 4 3 7" xfId="910" xr:uid="{00000000-0005-0000-0000-0000E6050000}"/>
    <cellStyle name="Финансовый 4 3 8" xfId="1546" xr:uid="{00000000-0005-0000-0000-0000E7050000}"/>
    <cellStyle name="Финансовый 4 3 9" xfId="773" xr:uid="{00000000-0005-0000-0000-0000E8050000}"/>
    <cellStyle name="Финансовый 4 4" xfId="93" xr:uid="{00000000-0005-0000-0000-0000E9050000}"/>
    <cellStyle name="Финансовый 4 4 2" xfId="229" xr:uid="{00000000-0005-0000-0000-0000EA050000}"/>
    <cellStyle name="Финансовый 4 4 2 2" xfId="501" xr:uid="{00000000-0005-0000-0000-0000EB050000}"/>
    <cellStyle name="Финансовый 4 4 2 2 2" xfId="1460" xr:uid="{00000000-0005-0000-0000-0000EC050000}"/>
    <cellStyle name="Финансовый 4 4 2 3" xfId="1204" xr:uid="{00000000-0005-0000-0000-0000ED050000}"/>
    <cellStyle name="Финансовый 4 4 2 4" xfId="1733" xr:uid="{00000000-0005-0000-0000-0000EE050000}"/>
    <cellStyle name="Финансовый 4 4 3" xfId="365" xr:uid="{00000000-0005-0000-0000-0000EF050000}"/>
    <cellStyle name="Финансовый 4 4 3 2" xfId="1332" xr:uid="{00000000-0005-0000-0000-0000F0050000}"/>
    <cellStyle name="Финансовый 4 4 4" xfId="716" xr:uid="{00000000-0005-0000-0000-0000F1050000}"/>
    <cellStyle name="Финансовый 4 4 4 2" xfId="1076" xr:uid="{00000000-0005-0000-0000-0000F2050000}"/>
    <cellStyle name="Финансовый 4 4 5" xfId="952" xr:uid="{00000000-0005-0000-0000-0000F3050000}"/>
    <cellStyle name="Финансовый 4 4 6" xfId="1597" xr:uid="{00000000-0005-0000-0000-0000F4050000}"/>
    <cellStyle name="Финансовый 4 4 7" xfId="824" xr:uid="{00000000-0005-0000-0000-0000F5050000}"/>
    <cellStyle name="Финансовый 4 5" xfId="99" xr:uid="{00000000-0005-0000-0000-0000F6050000}"/>
    <cellStyle name="Финансовый 4 5 2" xfId="235" xr:uid="{00000000-0005-0000-0000-0000F7050000}"/>
    <cellStyle name="Финансовый 4 5 2 2" xfId="507" xr:uid="{00000000-0005-0000-0000-0000F8050000}"/>
    <cellStyle name="Финансовый 4 5 2 2 2" xfId="1466" xr:uid="{00000000-0005-0000-0000-0000F9050000}"/>
    <cellStyle name="Финансовый 4 5 2 3" xfId="1210" xr:uid="{00000000-0005-0000-0000-0000FA050000}"/>
    <cellStyle name="Финансовый 4 5 2 4" xfId="1739" xr:uid="{00000000-0005-0000-0000-0000FB050000}"/>
    <cellStyle name="Финансовый 4 5 3" xfId="371" xr:uid="{00000000-0005-0000-0000-0000FC050000}"/>
    <cellStyle name="Финансовый 4 5 3 2" xfId="1338" xr:uid="{00000000-0005-0000-0000-0000FD050000}"/>
    <cellStyle name="Финансовый 4 5 4" xfId="717" xr:uid="{00000000-0005-0000-0000-0000FE050000}"/>
    <cellStyle name="Финансовый 4 5 4 2" xfId="1082" xr:uid="{00000000-0005-0000-0000-0000FF050000}"/>
    <cellStyle name="Финансовый 4 5 5" xfId="958" xr:uid="{00000000-0005-0000-0000-000000060000}"/>
    <cellStyle name="Финансовый 4 5 6" xfId="1603" xr:uid="{00000000-0005-0000-0000-000001060000}"/>
    <cellStyle name="Финансовый 4 5 7" xfId="830" xr:uid="{00000000-0005-0000-0000-000002060000}"/>
    <cellStyle name="Финансовый 4 6" xfId="111" xr:uid="{00000000-0005-0000-0000-000003060000}"/>
    <cellStyle name="Финансовый 4 6 2" xfId="247" xr:uid="{00000000-0005-0000-0000-000004060000}"/>
    <cellStyle name="Финансовый 4 6 2 2" xfId="519" xr:uid="{00000000-0005-0000-0000-000005060000}"/>
    <cellStyle name="Финансовый 4 6 2 2 2" xfId="1478" xr:uid="{00000000-0005-0000-0000-000006060000}"/>
    <cellStyle name="Финансовый 4 6 2 3" xfId="1222" xr:uid="{00000000-0005-0000-0000-000007060000}"/>
    <cellStyle name="Финансовый 4 6 2 4" xfId="1751" xr:uid="{00000000-0005-0000-0000-000008060000}"/>
    <cellStyle name="Финансовый 4 6 3" xfId="383" xr:uid="{00000000-0005-0000-0000-000009060000}"/>
    <cellStyle name="Финансовый 4 6 3 2" xfId="1350" xr:uid="{00000000-0005-0000-0000-00000A060000}"/>
    <cellStyle name="Финансовый 4 6 4" xfId="653" xr:uid="{00000000-0005-0000-0000-00000B060000}"/>
    <cellStyle name="Финансовый 4 6 4 2" xfId="1094" xr:uid="{00000000-0005-0000-0000-00000C060000}"/>
    <cellStyle name="Финансовый 4 6 5" xfId="970" xr:uid="{00000000-0005-0000-0000-00000D060000}"/>
    <cellStyle name="Финансовый 4 6 6" xfId="1615" xr:uid="{00000000-0005-0000-0000-00000E060000}"/>
    <cellStyle name="Финансовый 4 6 7" xfId="842" xr:uid="{00000000-0005-0000-0000-00000F060000}"/>
    <cellStyle name="Финансовый 4 7" xfId="75" xr:uid="{00000000-0005-0000-0000-000010060000}"/>
    <cellStyle name="Финансовый 4 7 2" xfId="211" xr:uid="{00000000-0005-0000-0000-000011060000}"/>
    <cellStyle name="Финансовый 4 7 2 2" xfId="483" xr:uid="{00000000-0005-0000-0000-000012060000}"/>
    <cellStyle name="Финансовый 4 7 2 2 2" xfId="1442" xr:uid="{00000000-0005-0000-0000-000013060000}"/>
    <cellStyle name="Финансовый 4 7 2 3" xfId="1186" xr:uid="{00000000-0005-0000-0000-000014060000}"/>
    <cellStyle name="Финансовый 4 7 2 4" xfId="1715" xr:uid="{00000000-0005-0000-0000-000015060000}"/>
    <cellStyle name="Финансовый 4 7 3" xfId="347" xr:uid="{00000000-0005-0000-0000-000016060000}"/>
    <cellStyle name="Финансовый 4 7 3 2" xfId="1314" xr:uid="{00000000-0005-0000-0000-000017060000}"/>
    <cellStyle name="Финансовый 4 7 4" xfId="621" xr:uid="{00000000-0005-0000-0000-000018060000}"/>
    <cellStyle name="Финансовый 4 7 4 2" xfId="1058" xr:uid="{00000000-0005-0000-0000-000019060000}"/>
    <cellStyle name="Финансовый 4 7 5" xfId="934" xr:uid="{00000000-0005-0000-0000-00001A060000}"/>
    <cellStyle name="Финансовый 4 7 6" xfId="1579" xr:uid="{00000000-0005-0000-0000-00001B060000}"/>
    <cellStyle name="Финансовый 4 7 7" xfId="806" xr:uid="{00000000-0005-0000-0000-00001C060000}"/>
    <cellStyle name="Финансовый 4 8" xfId="53" xr:uid="{00000000-0005-0000-0000-00001D060000}"/>
    <cellStyle name="Финансовый 4 8 2" xfId="191" xr:uid="{00000000-0005-0000-0000-00001E060000}"/>
    <cellStyle name="Финансовый 4 8 2 2" xfId="463" xr:uid="{00000000-0005-0000-0000-00001F060000}"/>
    <cellStyle name="Финансовый 4 8 2 2 2" xfId="1430" xr:uid="{00000000-0005-0000-0000-000020060000}"/>
    <cellStyle name="Финансовый 4 8 2 3" xfId="1174" xr:uid="{00000000-0005-0000-0000-000021060000}"/>
    <cellStyle name="Финансовый 4 8 2 4" xfId="1695" xr:uid="{00000000-0005-0000-0000-000022060000}"/>
    <cellStyle name="Финансовый 4 8 3" xfId="327" xr:uid="{00000000-0005-0000-0000-000023060000}"/>
    <cellStyle name="Финансовый 4 8 3 2" xfId="1302" xr:uid="{00000000-0005-0000-0000-000024060000}"/>
    <cellStyle name="Финансовый 4 8 4" xfId="608" xr:uid="{00000000-0005-0000-0000-000025060000}"/>
    <cellStyle name="Финансовый 4 8 4 2" xfId="1038" xr:uid="{00000000-0005-0000-0000-000026060000}"/>
    <cellStyle name="Финансовый 4 8 5" xfId="922" xr:uid="{00000000-0005-0000-0000-000027060000}"/>
    <cellStyle name="Финансовый 4 8 6" xfId="1558" xr:uid="{00000000-0005-0000-0000-000028060000}"/>
    <cellStyle name="Финансовый 4 8 7" xfId="785" xr:uid="{00000000-0005-0000-0000-000029060000}"/>
    <cellStyle name="Финансовый 4 9" xfId="131" xr:uid="{00000000-0005-0000-0000-00002A060000}"/>
    <cellStyle name="Финансовый 4 9 2" xfId="267" xr:uid="{00000000-0005-0000-0000-00002B060000}"/>
    <cellStyle name="Финансовый 4 9 2 2" xfId="539" xr:uid="{00000000-0005-0000-0000-00002C060000}"/>
    <cellStyle name="Финансовый 4 9 2 2 2" xfId="1498" xr:uid="{00000000-0005-0000-0000-00002D060000}"/>
    <cellStyle name="Финансовый 4 9 2 3" xfId="1242" xr:uid="{00000000-0005-0000-0000-00002E060000}"/>
    <cellStyle name="Финансовый 4 9 2 4" xfId="1771" xr:uid="{00000000-0005-0000-0000-00002F060000}"/>
    <cellStyle name="Финансовый 4 9 3" xfId="403" xr:uid="{00000000-0005-0000-0000-000030060000}"/>
    <cellStyle name="Финансовый 4 9 3 2" xfId="1370" xr:uid="{00000000-0005-0000-0000-000031060000}"/>
    <cellStyle name="Финансовый 4 9 4" xfId="624" xr:uid="{00000000-0005-0000-0000-000032060000}"/>
    <cellStyle name="Финансовый 4 9 4 2" xfId="1114" xr:uid="{00000000-0005-0000-0000-000033060000}"/>
    <cellStyle name="Финансовый 4 9 5" xfId="990" xr:uid="{00000000-0005-0000-0000-000034060000}"/>
    <cellStyle name="Финансовый 4 9 6" xfId="1635" xr:uid="{00000000-0005-0000-0000-000035060000}"/>
    <cellStyle name="Финансовый 4 9 7" xfId="862" xr:uid="{00000000-0005-0000-0000-000036060000}"/>
    <cellStyle name="Финансовый 5" xfId="7" xr:uid="{00000000-0005-0000-0000-000037060000}"/>
    <cellStyle name="Финансовый 5 10" xfId="553" xr:uid="{00000000-0005-0000-0000-000038060000}"/>
    <cellStyle name="Финансовый 5 10 2" xfId="1256" xr:uid="{00000000-0005-0000-0000-000039060000}"/>
    <cellStyle name="Финансовый 5 11" xfId="281" xr:uid="{00000000-0005-0000-0000-00003A060000}"/>
    <cellStyle name="Финансовый 5 12" xfId="718" xr:uid="{00000000-0005-0000-0000-00003B060000}"/>
    <cellStyle name="Финансовый 5 12 2" xfId="876" xr:uid="{00000000-0005-0000-0000-00003C060000}"/>
    <cellStyle name="Финансовый 5 13" xfId="1512" xr:uid="{00000000-0005-0000-0000-00003D060000}"/>
    <cellStyle name="Финансовый 5 14" xfId="739" xr:uid="{00000000-0005-0000-0000-00003E060000}"/>
    <cellStyle name="Финансовый 5 2" xfId="43" xr:uid="{00000000-0005-0000-0000-00003F060000}"/>
    <cellStyle name="Финансовый 5 2 2" xfId="101" xr:uid="{00000000-0005-0000-0000-000040060000}"/>
    <cellStyle name="Финансовый 5 2 2 2" xfId="237" xr:uid="{00000000-0005-0000-0000-000041060000}"/>
    <cellStyle name="Финансовый 5 2 2 2 2" xfId="509" xr:uid="{00000000-0005-0000-0000-000042060000}"/>
    <cellStyle name="Финансовый 5 2 2 2 2 2" xfId="1468" xr:uid="{00000000-0005-0000-0000-000043060000}"/>
    <cellStyle name="Финансовый 5 2 2 2 3" xfId="1212" xr:uid="{00000000-0005-0000-0000-000044060000}"/>
    <cellStyle name="Финансовый 5 2 2 2 4" xfId="1741" xr:uid="{00000000-0005-0000-0000-000045060000}"/>
    <cellStyle name="Финансовый 5 2 2 3" xfId="373" xr:uid="{00000000-0005-0000-0000-000046060000}"/>
    <cellStyle name="Финансовый 5 2 2 3 2" xfId="1340" xr:uid="{00000000-0005-0000-0000-000047060000}"/>
    <cellStyle name="Финансовый 5 2 2 4" xfId="720" xr:uid="{00000000-0005-0000-0000-000048060000}"/>
    <cellStyle name="Финансовый 5 2 2 4 2" xfId="1084" xr:uid="{00000000-0005-0000-0000-000049060000}"/>
    <cellStyle name="Финансовый 5 2 2 5" xfId="960" xr:uid="{00000000-0005-0000-0000-00004A060000}"/>
    <cellStyle name="Финансовый 5 2 2 6" xfId="1605" xr:uid="{00000000-0005-0000-0000-00004B060000}"/>
    <cellStyle name="Финансовый 5 2 2 7" xfId="832" xr:uid="{00000000-0005-0000-0000-00004C060000}"/>
    <cellStyle name="Финансовый 5 2 3" xfId="181" xr:uid="{00000000-0005-0000-0000-00004D060000}"/>
    <cellStyle name="Финансовый 5 2 3 2" xfId="453" xr:uid="{00000000-0005-0000-0000-00004E060000}"/>
    <cellStyle name="Финансовый 5 2 3 2 2" xfId="1420" xr:uid="{00000000-0005-0000-0000-00004F060000}"/>
    <cellStyle name="Финансовый 5 2 3 3" xfId="1164" xr:uid="{00000000-0005-0000-0000-000050060000}"/>
    <cellStyle name="Финансовый 5 2 3 4" xfId="1685" xr:uid="{00000000-0005-0000-0000-000051060000}"/>
    <cellStyle name="Финансовый 5 2 4" xfId="317" xr:uid="{00000000-0005-0000-0000-000052060000}"/>
    <cellStyle name="Финансовый 5 2 4 2" xfId="1292" xr:uid="{00000000-0005-0000-0000-000053060000}"/>
    <cellStyle name="Финансовый 5 2 5" xfId="719" xr:uid="{00000000-0005-0000-0000-000054060000}"/>
    <cellStyle name="Финансовый 5 2 5 2" xfId="1028" xr:uid="{00000000-0005-0000-0000-000055060000}"/>
    <cellStyle name="Финансовый 5 2 6" xfId="912" xr:uid="{00000000-0005-0000-0000-000056060000}"/>
    <cellStyle name="Финансовый 5 2 7" xfId="1548" xr:uid="{00000000-0005-0000-0000-000057060000}"/>
    <cellStyle name="Финансовый 5 2 8" xfId="775" xr:uid="{00000000-0005-0000-0000-000058060000}"/>
    <cellStyle name="Финансовый 5 3" xfId="113" xr:uid="{00000000-0005-0000-0000-000059060000}"/>
    <cellStyle name="Финансовый 5 3 2" xfId="249" xr:uid="{00000000-0005-0000-0000-00005A060000}"/>
    <cellStyle name="Финансовый 5 3 2 2" xfId="521" xr:uid="{00000000-0005-0000-0000-00005B060000}"/>
    <cellStyle name="Финансовый 5 3 2 2 2" xfId="1480" xr:uid="{00000000-0005-0000-0000-00005C060000}"/>
    <cellStyle name="Финансовый 5 3 2 3" xfId="1224" xr:uid="{00000000-0005-0000-0000-00005D060000}"/>
    <cellStyle name="Финансовый 5 3 2 4" xfId="1753" xr:uid="{00000000-0005-0000-0000-00005E060000}"/>
    <cellStyle name="Финансовый 5 3 3" xfId="385" xr:uid="{00000000-0005-0000-0000-00005F060000}"/>
    <cellStyle name="Финансовый 5 3 3 2" xfId="1352" xr:uid="{00000000-0005-0000-0000-000060060000}"/>
    <cellStyle name="Финансовый 5 3 4" xfId="721" xr:uid="{00000000-0005-0000-0000-000061060000}"/>
    <cellStyle name="Финансовый 5 3 4 2" xfId="1096" xr:uid="{00000000-0005-0000-0000-000062060000}"/>
    <cellStyle name="Финансовый 5 3 5" xfId="972" xr:uid="{00000000-0005-0000-0000-000063060000}"/>
    <cellStyle name="Финансовый 5 3 6" xfId="1617" xr:uid="{00000000-0005-0000-0000-000064060000}"/>
    <cellStyle name="Финансовый 5 3 7" xfId="844" xr:uid="{00000000-0005-0000-0000-000065060000}"/>
    <cellStyle name="Финансовый 5 4" xfId="77" xr:uid="{00000000-0005-0000-0000-000066060000}"/>
    <cellStyle name="Финансовый 5 4 2" xfId="213" xr:uid="{00000000-0005-0000-0000-000067060000}"/>
    <cellStyle name="Финансовый 5 4 2 2" xfId="485" xr:uid="{00000000-0005-0000-0000-000068060000}"/>
    <cellStyle name="Финансовый 5 4 2 2 2" xfId="1444" xr:uid="{00000000-0005-0000-0000-000069060000}"/>
    <cellStyle name="Финансовый 5 4 2 3" xfId="1188" xr:uid="{00000000-0005-0000-0000-00006A060000}"/>
    <cellStyle name="Финансовый 5 4 2 4" xfId="1717" xr:uid="{00000000-0005-0000-0000-00006B060000}"/>
    <cellStyle name="Финансовый 5 4 3" xfId="349" xr:uid="{00000000-0005-0000-0000-00006C060000}"/>
    <cellStyle name="Финансовый 5 4 3 2" xfId="1316" xr:uid="{00000000-0005-0000-0000-00006D060000}"/>
    <cellStyle name="Финансовый 5 4 4" xfId="722" xr:uid="{00000000-0005-0000-0000-00006E060000}"/>
    <cellStyle name="Финансовый 5 4 4 2" xfId="1060" xr:uid="{00000000-0005-0000-0000-00006F060000}"/>
    <cellStyle name="Финансовый 5 4 5" xfId="936" xr:uid="{00000000-0005-0000-0000-000070060000}"/>
    <cellStyle name="Финансовый 5 4 6" xfId="1581" xr:uid="{00000000-0005-0000-0000-000071060000}"/>
    <cellStyle name="Финансовый 5 4 7" xfId="808" xr:uid="{00000000-0005-0000-0000-000072060000}"/>
    <cellStyle name="Финансовый 5 5" xfId="55" xr:uid="{00000000-0005-0000-0000-000073060000}"/>
    <cellStyle name="Финансовый 5 5 2" xfId="193" xr:uid="{00000000-0005-0000-0000-000074060000}"/>
    <cellStyle name="Финансовый 5 5 2 2" xfId="465" xr:uid="{00000000-0005-0000-0000-000075060000}"/>
    <cellStyle name="Финансовый 5 5 2 2 2" xfId="1432" xr:uid="{00000000-0005-0000-0000-000076060000}"/>
    <cellStyle name="Финансовый 5 5 2 3" xfId="1176" xr:uid="{00000000-0005-0000-0000-000077060000}"/>
    <cellStyle name="Финансовый 5 5 2 4" xfId="1697" xr:uid="{00000000-0005-0000-0000-000078060000}"/>
    <cellStyle name="Финансовый 5 5 3" xfId="329" xr:uid="{00000000-0005-0000-0000-000079060000}"/>
    <cellStyle name="Финансовый 5 5 3 2" xfId="1304" xr:uid="{00000000-0005-0000-0000-00007A060000}"/>
    <cellStyle name="Финансовый 5 5 4" xfId="723" xr:uid="{00000000-0005-0000-0000-00007B060000}"/>
    <cellStyle name="Финансовый 5 5 4 2" xfId="1040" xr:uid="{00000000-0005-0000-0000-00007C060000}"/>
    <cellStyle name="Финансовый 5 5 5" xfId="924" xr:uid="{00000000-0005-0000-0000-00007D060000}"/>
    <cellStyle name="Финансовый 5 5 6" xfId="1560" xr:uid="{00000000-0005-0000-0000-00007E060000}"/>
    <cellStyle name="Финансовый 5 5 7" xfId="787" xr:uid="{00000000-0005-0000-0000-00007F060000}"/>
    <cellStyle name="Финансовый 5 6" xfId="133" xr:uid="{00000000-0005-0000-0000-000080060000}"/>
    <cellStyle name="Финансовый 5 6 2" xfId="269" xr:uid="{00000000-0005-0000-0000-000081060000}"/>
    <cellStyle name="Финансовый 5 6 2 2" xfId="541" xr:uid="{00000000-0005-0000-0000-000082060000}"/>
    <cellStyle name="Финансовый 5 6 2 2 2" xfId="1500" xr:uid="{00000000-0005-0000-0000-000083060000}"/>
    <cellStyle name="Финансовый 5 6 2 3" xfId="1244" xr:uid="{00000000-0005-0000-0000-000084060000}"/>
    <cellStyle name="Финансовый 5 6 2 4" xfId="1773" xr:uid="{00000000-0005-0000-0000-000085060000}"/>
    <cellStyle name="Финансовый 5 6 3" xfId="405" xr:uid="{00000000-0005-0000-0000-000086060000}"/>
    <cellStyle name="Финансовый 5 6 3 2" xfId="1372" xr:uid="{00000000-0005-0000-0000-000087060000}"/>
    <cellStyle name="Финансовый 5 6 4" xfId="724" xr:uid="{00000000-0005-0000-0000-000088060000}"/>
    <cellStyle name="Финансовый 5 6 4 2" xfId="1116" xr:uid="{00000000-0005-0000-0000-000089060000}"/>
    <cellStyle name="Финансовый 5 6 5" xfId="992" xr:uid="{00000000-0005-0000-0000-00008A060000}"/>
    <cellStyle name="Финансовый 5 6 6" xfId="1637" xr:uid="{00000000-0005-0000-0000-00008B060000}"/>
    <cellStyle name="Финансовый 5 6 7" xfId="864" xr:uid="{00000000-0005-0000-0000-00008C060000}"/>
    <cellStyle name="Финансовый 5 7" xfId="31" xr:uid="{00000000-0005-0000-0000-00008D060000}"/>
    <cellStyle name="Финансовый 5 7 2" xfId="169" xr:uid="{00000000-0005-0000-0000-00008E060000}"/>
    <cellStyle name="Финансовый 5 7 2 2" xfId="441" xr:uid="{00000000-0005-0000-0000-00008F060000}"/>
    <cellStyle name="Финансовый 5 7 2 2 2" xfId="1408" xr:uid="{00000000-0005-0000-0000-000090060000}"/>
    <cellStyle name="Финансовый 5 7 2 3" xfId="1152" xr:uid="{00000000-0005-0000-0000-000091060000}"/>
    <cellStyle name="Финансовый 5 7 2 4" xfId="1673" xr:uid="{00000000-0005-0000-0000-000092060000}"/>
    <cellStyle name="Финансовый 5 7 3" xfId="305" xr:uid="{00000000-0005-0000-0000-000093060000}"/>
    <cellStyle name="Финансовый 5 7 3 2" xfId="1280" xr:uid="{00000000-0005-0000-0000-000094060000}"/>
    <cellStyle name="Финансовый 5 7 4" xfId="725" xr:uid="{00000000-0005-0000-0000-000095060000}"/>
    <cellStyle name="Финансовый 5 7 4 2" xfId="1016" xr:uid="{00000000-0005-0000-0000-000096060000}"/>
    <cellStyle name="Финансовый 5 7 5" xfId="900" xr:uid="{00000000-0005-0000-0000-000097060000}"/>
    <cellStyle name="Финансовый 5 7 6" xfId="1536" xr:uid="{00000000-0005-0000-0000-000098060000}"/>
    <cellStyle name="Финансовый 5 7 7" xfId="763" xr:uid="{00000000-0005-0000-0000-000099060000}"/>
    <cellStyle name="Финансовый 5 8" xfId="19" xr:uid="{00000000-0005-0000-0000-00009A060000}"/>
    <cellStyle name="Финансовый 5 8 2" xfId="157" xr:uid="{00000000-0005-0000-0000-00009B060000}"/>
    <cellStyle name="Финансовый 5 8 2 2" xfId="429" xr:uid="{00000000-0005-0000-0000-00009C060000}"/>
    <cellStyle name="Финансовый 5 8 2 2 2" xfId="1396" xr:uid="{00000000-0005-0000-0000-00009D060000}"/>
    <cellStyle name="Финансовый 5 8 2 3" xfId="1140" xr:uid="{00000000-0005-0000-0000-00009E060000}"/>
    <cellStyle name="Финансовый 5 8 2 4" xfId="1661" xr:uid="{00000000-0005-0000-0000-00009F060000}"/>
    <cellStyle name="Финансовый 5 8 3" xfId="293" xr:uid="{00000000-0005-0000-0000-0000A0060000}"/>
    <cellStyle name="Финансовый 5 8 3 2" xfId="1268" xr:uid="{00000000-0005-0000-0000-0000A1060000}"/>
    <cellStyle name="Финансовый 5 8 4" xfId="726" xr:uid="{00000000-0005-0000-0000-0000A2060000}"/>
    <cellStyle name="Финансовый 5 8 4 2" xfId="1004" xr:uid="{00000000-0005-0000-0000-0000A3060000}"/>
    <cellStyle name="Финансовый 5 8 5" xfId="888" xr:uid="{00000000-0005-0000-0000-0000A4060000}"/>
    <cellStyle name="Финансовый 5 8 6" xfId="1524" xr:uid="{00000000-0005-0000-0000-0000A5060000}"/>
    <cellStyle name="Финансовый 5 8 7" xfId="751" xr:uid="{00000000-0005-0000-0000-0000A6060000}"/>
    <cellStyle name="Финансовый 5 9" xfId="145" xr:uid="{00000000-0005-0000-0000-0000A7060000}"/>
    <cellStyle name="Финансовый 5 9 2" xfId="417" xr:uid="{00000000-0005-0000-0000-0000A8060000}"/>
    <cellStyle name="Финансовый 5 9 2 2" xfId="1384" xr:uid="{00000000-0005-0000-0000-0000A9060000}"/>
    <cellStyle name="Финансовый 5 9 3" xfId="1128" xr:uid="{00000000-0005-0000-0000-0000AA060000}"/>
    <cellStyle name="Финансовый 5 9 4" xfId="1649" xr:uid="{00000000-0005-0000-0000-0000AB060000}"/>
    <cellStyle name="Финансовый 6" xfId="37" xr:uid="{00000000-0005-0000-0000-0000AC060000}"/>
    <cellStyle name="Финансовый 6 2" xfId="119" xr:uid="{00000000-0005-0000-0000-0000AD060000}"/>
    <cellStyle name="Финансовый 6 2 2" xfId="255" xr:uid="{00000000-0005-0000-0000-0000AE060000}"/>
    <cellStyle name="Финансовый 6 2 2 2" xfId="527" xr:uid="{00000000-0005-0000-0000-0000AF060000}"/>
    <cellStyle name="Финансовый 6 2 2 2 2" xfId="1486" xr:uid="{00000000-0005-0000-0000-0000B0060000}"/>
    <cellStyle name="Финансовый 6 2 2 3" xfId="1230" xr:uid="{00000000-0005-0000-0000-0000B1060000}"/>
    <cellStyle name="Финансовый 6 2 2 4" xfId="1759" xr:uid="{00000000-0005-0000-0000-0000B2060000}"/>
    <cellStyle name="Финансовый 6 2 3" xfId="391" xr:uid="{00000000-0005-0000-0000-0000B3060000}"/>
    <cellStyle name="Финансовый 6 2 3 2" xfId="1358" xr:uid="{00000000-0005-0000-0000-0000B4060000}"/>
    <cellStyle name="Финансовый 6 2 4" xfId="728" xr:uid="{00000000-0005-0000-0000-0000B5060000}"/>
    <cellStyle name="Финансовый 6 2 4 2" xfId="1102" xr:uid="{00000000-0005-0000-0000-0000B6060000}"/>
    <cellStyle name="Финансовый 6 2 5" xfId="978" xr:uid="{00000000-0005-0000-0000-0000B7060000}"/>
    <cellStyle name="Финансовый 6 2 6" xfId="1623" xr:uid="{00000000-0005-0000-0000-0000B8060000}"/>
    <cellStyle name="Финансовый 6 2 7" xfId="850" xr:uid="{00000000-0005-0000-0000-0000B9060000}"/>
    <cellStyle name="Финансовый 6 3" xfId="83" xr:uid="{00000000-0005-0000-0000-0000BA060000}"/>
    <cellStyle name="Финансовый 6 3 2" xfId="219" xr:uid="{00000000-0005-0000-0000-0000BB060000}"/>
    <cellStyle name="Финансовый 6 3 2 2" xfId="491" xr:uid="{00000000-0005-0000-0000-0000BC060000}"/>
    <cellStyle name="Финансовый 6 3 2 2 2" xfId="1450" xr:uid="{00000000-0005-0000-0000-0000BD060000}"/>
    <cellStyle name="Финансовый 6 3 2 3" xfId="1194" xr:uid="{00000000-0005-0000-0000-0000BE060000}"/>
    <cellStyle name="Финансовый 6 3 2 4" xfId="1723" xr:uid="{00000000-0005-0000-0000-0000BF060000}"/>
    <cellStyle name="Финансовый 6 3 3" xfId="355" xr:uid="{00000000-0005-0000-0000-0000C0060000}"/>
    <cellStyle name="Финансовый 6 3 3 2" xfId="1322" xr:uid="{00000000-0005-0000-0000-0000C1060000}"/>
    <cellStyle name="Финансовый 6 3 4" xfId="618" xr:uid="{00000000-0005-0000-0000-0000C2060000}"/>
    <cellStyle name="Финансовый 6 3 4 2" xfId="1066" xr:uid="{00000000-0005-0000-0000-0000C3060000}"/>
    <cellStyle name="Финансовый 6 3 5" xfId="942" xr:uid="{00000000-0005-0000-0000-0000C4060000}"/>
    <cellStyle name="Финансовый 6 3 6" xfId="1587" xr:uid="{00000000-0005-0000-0000-0000C5060000}"/>
    <cellStyle name="Финансовый 6 3 7" xfId="814" xr:uid="{00000000-0005-0000-0000-0000C6060000}"/>
    <cellStyle name="Финансовый 6 4" xfId="175" xr:uid="{00000000-0005-0000-0000-0000C7060000}"/>
    <cellStyle name="Финансовый 6 4 2" xfId="447" xr:uid="{00000000-0005-0000-0000-0000C8060000}"/>
    <cellStyle name="Финансовый 6 4 2 2" xfId="1414" xr:uid="{00000000-0005-0000-0000-0000C9060000}"/>
    <cellStyle name="Финансовый 6 4 3" xfId="1158" xr:uid="{00000000-0005-0000-0000-0000CA060000}"/>
    <cellStyle name="Финансовый 6 4 4" xfId="1679" xr:uid="{00000000-0005-0000-0000-0000CB060000}"/>
    <cellStyle name="Финансовый 6 5" xfId="311" xr:uid="{00000000-0005-0000-0000-0000CC060000}"/>
    <cellStyle name="Финансовый 6 5 2" xfId="1286" xr:uid="{00000000-0005-0000-0000-0000CD060000}"/>
    <cellStyle name="Финансовый 6 6" xfId="727" xr:uid="{00000000-0005-0000-0000-0000CE060000}"/>
    <cellStyle name="Финансовый 6 6 2" xfId="1022" xr:uid="{00000000-0005-0000-0000-0000CF060000}"/>
    <cellStyle name="Финансовый 6 7" xfId="906" xr:uid="{00000000-0005-0000-0000-0000D0060000}"/>
    <cellStyle name="Финансовый 6 8" xfId="1542" xr:uid="{00000000-0005-0000-0000-0000D1060000}"/>
    <cellStyle name="Финансовый 6 9" xfId="769" xr:uid="{00000000-0005-0000-0000-0000D2060000}"/>
    <cellStyle name="Финансовый 7" xfId="89" xr:uid="{00000000-0005-0000-0000-0000D3060000}"/>
    <cellStyle name="Финансовый 7 2" xfId="225" xr:uid="{00000000-0005-0000-0000-0000D4060000}"/>
    <cellStyle name="Финансовый 7 2 2" xfId="497" xr:uid="{00000000-0005-0000-0000-0000D5060000}"/>
    <cellStyle name="Финансовый 7 2 2 2" xfId="1456" xr:uid="{00000000-0005-0000-0000-0000D6060000}"/>
    <cellStyle name="Финансовый 7 2 3" xfId="1200" xr:uid="{00000000-0005-0000-0000-0000D7060000}"/>
    <cellStyle name="Финансовый 7 2 4" xfId="1729" xr:uid="{00000000-0005-0000-0000-0000D8060000}"/>
    <cellStyle name="Финансовый 7 3" xfId="361" xr:uid="{00000000-0005-0000-0000-0000D9060000}"/>
    <cellStyle name="Финансовый 7 3 2" xfId="1328" xr:uid="{00000000-0005-0000-0000-0000DA060000}"/>
    <cellStyle name="Финансовый 7 4" xfId="729" xr:uid="{00000000-0005-0000-0000-0000DB060000}"/>
    <cellStyle name="Финансовый 7 4 2" xfId="1072" xr:uid="{00000000-0005-0000-0000-0000DC060000}"/>
    <cellStyle name="Финансовый 7 5" xfId="948" xr:uid="{00000000-0005-0000-0000-0000DD060000}"/>
    <cellStyle name="Финансовый 7 6" xfId="1593" xr:uid="{00000000-0005-0000-0000-0000DE060000}"/>
    <cellStyle name="Финансовый 7 7" xfId="820" xr:uid="{00000000-0005-0000-0000-0000DF060000}"/>
    <cellStyle name="Финансовый 8" xfId="95" xr:uid="{00000000-0005-0000-0000-0000E0060000}"/>
    <cellStyle name="Финансовый 8 2" xfId="231" xr:uid="{00000000-0005-0000-0000-0000E1060000}"/>
    <cellStyle name="Финансовый 8 2 2" xfId="503" xr:uid="{00000000-0005-0000-0000-0000E2060000}"/>
    <cellStyle name="Финансовый 8 2 2 2" xfId="1462" xr:uid="{00000000-0005-0000-0000-0000E3060000}"/>
    <cellStyle name="Финансовый 8 2 3" xfId="1206" xr:uid="{00000000-0005-0000-0000-0000E4060000}"/>
    <cellStyle name="Финансовый 8 2 4" xfId="1735" xr:uid="{00000000-0005-0000-0000-0000E5060000}"/>
    <cellStyle name="Финансовый 8 3" xfId="367" xr:uid="{00000000-0005-0000-0000-0000E6060000}"/>
    <cellStyle name="Финансовый 8 3 2" xfId="1334" xr:uid="{00000000-0005-0000-0000-0000E7060000}"/>
    <cellStyle name="Финансовый 8 4" xfId="730" xr:uid="{00000000-0005-0000-0000-0000E8060000}"/>
    <cellStyle name="Финансовый 8 4 2" xfId="1078" xr:uid="{00000000-0005-0000-0000-0000E9060000}"/>
    <cellStyle name="Финансовый 8 5" xfId="954" xr:uid="{00000000-0005-0000-0000-0000EA060000}"/>
    <cellStyle name="Финансовый 8 6" xfId="1599" xr:uid="{00000000-0005-0000-0000-0000EB060000}"/>
    <cellStyle name="Финансовый 8 7" xfId="826" xr:uid="{00000000-0005-0000-0000-0000EC060000}"/>
    <cellStyle name="Финансовый 9" xfId="107" xr:uid="{00000000-0005-0000-0000-0000ED060000}"/>
    <cellStyle name="Финансовый 9 2" xfId="243" xr:uid="{00000000-0005-0000-0000-0000EE060000}"/>
    <cellStyle name="Финансовый 9 2 2" xfId="515" xr:uid="{00000000-0005-0000-0000-0000EF060000}"/>
    <cellStyle name="Финансовый 9 2 2 2" xfId="1474" xr:uid="{00000000-0005-0000-0000-0000F0060000}"/>
    <cellStyle name="Финансовый 9 2 3" xfId="1218" xr:uid="{00000000-0005-0000-0000-0000F1060000}"/>
    <cellStyle name="Финансовый 9 2 4" xfId="1747" xr:uid="{00000000-0005-0000-0000-0000F2060000}"/>
    <cellStyle name="Финансовый 9 3" xfId="379" xr:uid="{00000000-0005-0000-0000-0000F3060000}"/>
    <cellStyle name="Финансовый 9 3 2" xfId="1346" xr:uid="{00000000-0005-0000-0000-0000F4060000}"/>
    <cellStyle name="Финансовый 9 4" xfId="731" xr:uid="{00000000-0005-0000-0000-0000F5060000}"/>
    <cellStyle name="Финансовый 9 4 2" xfId="1090" xr:uid="{00000000-0005-0000-0000-0000F6060000}"/>
    <cellStyle name="Финансовый 9 5" xfId="966" xr:uid="{00000000-0005-0000-0000-0000F7060000}"/>
    <cellStyle name="Финансовый 9 6" xfId="1611" xr:uid="{00000000-0005-0000-0000-0000F8060000}"/>
    <cellStyle name="Финансовый 9 7" xfId="838" xr:uid="{00000000-0005-0000-0000-0000F906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39"/>
  <sheetViews>
    <sheetView view="pageBreakPreview" topLeftCell="A28" zoomScaleNormal="100" zoomScaleSheetLayoutView="100" workbookViewId="0">
      <selection activeCell="C54" sqref="C54"/>
    </sheetView>
  </sheetViews>
  <sheetFormatPr defaultRowHeight="15"/>
  <cols>
    <col min="1" max="1" width="22.85546875" style="61" customWidth="1"/>
    <col min="2" max="2" width="24.28515625" style="61" customWidth="1"/>
    <col min="3" max="3" width="21.28515625" style="61" customWidth="1"/>
    <col min="4" max="4" width="18" style="61" customWidth="1"/>
    <col min="5" max="5" width="25.140625" style="61"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c r="A1" s="238" t="str">
        <f>""&amp;'Общие данные'!B147&amp;"
mikromoliya tashkiloti
Kredit qo‘mitasining yig‘ilishi"</f>
        <v>«CLEVER MIKROMOLIYA TASHKILOTI» MChJ
mikromoliya tashkiloti
Kredit qo‘mitasining yig‘ilishi</v>
      </c>
      <c r="B1" s="238"/>
      <c r="C1" s="238"/>
      <c r="D1" s="238"/>
      <c r="E1" s="238"/>
    </row>
    <row r="2" spans="1:33" ht="29.25" customHeight="1">
      <c r="A2" s="238" t="str">
        <f>""&amp;H7&amp;" protokolidan ko'chirma"</f>
        <v>№ -AL protokolidan ko'chirma</v>
      </c>
      <c r="B2" s="238"/>
      <c r="C2" s="238"/>
      <c r="D2" s="238"/>
      <c r="E2" s="238"/>
    </row>
    <row r="3" spans="1:33" ht="29.25" customHeight="1">
      <c r="A3" s="132" t="s">
        <v>203</v>
      </c>
      <c r="B3" s="50"/>
      <c r="C3" s="50"/>
      <c r="D3" s="50"/>
      <c r="E3" s="133" t="str">
        <f>'Общие данные'!B68</f>
        <v>11 mart 2025 y.</v>
      </c>
    </row>
    <row r="4" spans="1:33" ht="29.25" customHeight="1">
      <c r="A4" s="50"/>
      <c r="B4" s="238" t="s">
        <v>202</v>
      </c>
      <c r="C4" s="238"/>
      <c r="D4" s="238"/>
      <c r="E4" s="50"/>
    </row>
    <row r="5" spans="1:33" ht="36" customHeight="1">
      <c r="A5" s="237" t="str">
        <f>"         "&amp;H8&amp;"."&amp;'Общие данные'!B5&amp;" ga "&amp;'Общие данные'!B65&amp;" berish masalasini ko‘rib chiqish to‘g‘risida."</f>
        <v xml:space="preserve">         1.NUTFULLAYEV AKBARJON AXMEDOVICH ga mikroqarz berish masalasini ko‘rib chiqish to‘g‘risida.</v>
      </c>
      <c r="B5" s="237"/>
      <c r="C5" s="237"/>
      <c r="D5" s="237"/>
      <c r="E5" s="237"/>
    </row>
    <row r="7" spans="1:33" ht="21" customHeight="1">
      <c r="A7" s="236" t="str">
        <f>"      "&amp;H9&amp;" masala yuzasidan: «Clever Mikromoliya Tashkiloti» MChJ mikromoliya tashkiloti kredit bo‘yicha menejeri  "&amp;'Общие данные'!B5&amp;"ga "&amp;FIXED('Общие данные'!B75)&amp;" ("&amp;'Общие данные'!B76&amp;") so‘m miqdorida, muddati "&amp;'Общие данные'!B81&amp;" ("&amp;'Общие данные'!B82&amp;") oyga va yillik 60 (Oltmish) foiz miqdorida "&amp;'Общие данные'!B65&amp;" berich bo‘yicha "&amp;'Общие данные'!B5&amp;"ning kredit arizasi va "&amp;'Общие данные'!B147&amp;"ning xulosasi bilan ishtirokchilarni tanishtirdi."</f>
        <v xml:space="preserve">      Birinchi masala yuzasidan: «Clever Mikromoliya Tashkiloti» MChJ mikromoliya tashkiloti kredit bo‘yicha menejeri  NUTFULLAYEV AKBARJON AXMEDOVICHga 27 000 000,00 (yigirma yetti million so'm) so‘m miqdorida, muddati 36 (o'ttiz olti) oyga va yillik 60 (Oltmish) foiz miqdorida mikroqarz berich bo‘yicha NUTFULLAYEV AKBARJON AXMEDOVICHning kredit arizasi va «CLEVER MIKROMOLIYA TASHKILOTI» MChJning xulosasi bilan ishtirokchilarni tanishtirdi.</v>
      </c>
      <c r="B7" s="236"/>
      <c r="C7" s="236"/>
      <c r="D7" s="236"/>
      <c r="E7" s="236"/>
      <c r="G7" s="62" t="s">
        <v>258</v>
      </c>
      <c r="H7" s="63" t="str">
        <f>'Общие данные'!B1</f>
        <v>№ -AL</v>
      </c>
    </row>
    <row r="8" spans="1:33" ht="23.25">
      <c r="A8" s="236"/>
      <c r="B8" s="236"/>
      <c r="C8" s="236"/>
      <c r="D8" s="236"/>
      <c r="E8" s="236"/>
      <c r="G8" s="62" t="s">
        <v>259</v>
      </c>
      <c r="H8" s="63">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24" customHeight="1">
      <c r="A9" s="236"/>
      <c r="B9" s="236"/>
      <c r="C9" s="236"/>
      <c r="D9" s="236"/>
      <c r="E9" s="236"/>
      <c r="G9" s="62" t="s">
        <v>260</v>
      </c>
      <c r="H9" s="63" t="str">
        <f>IF(H8=I8,I9,IF(H8=J8,J9,IF(H8=K8,K9,IF(H8=L8,L9,IF(H8=M8,M9,IF(H8=N8,N9,IF(H8=O8,O9,IF(H8=P8,P9,IF(H8=Q8,Q9,IF(H8=R8,R9,IF(H8=S8,S9,IF(H8=T8,T9,IF(H8=U8,U9,IF(H8=V8,V9,IF(H8=W8,W9,IF(H8=X8,X9,IF(H8=Y8,Y9,IF(H8=Z8,Z9,IF(H8=AA8,AA9,IF(H8=AB8,AB9,IF(H8=AC8,AC9,IF(H8=AD8,AD9,IF(H8=AE8,AE9,IF(H8=AF8,AF9,IF(H8=AG8,AG9)))))))))))))))))))))))))</f>
        <v>Birinchi</v>
      </c>
      <c r="I9" s="151" t="s">
        <v>190</v>
      </c>
      <c r="J9" s="152" t="s">
        <v>191</v>
      </c>
      <c r="K9" s="152" t="s">
        <v>192</v>
      </c>
      <c r="L9" s="152" t="s">
        <v>371</v>
      </c>
      <c r="M9" s="152" t="s">
        <v>193</v>
      </c>
      <c r="N9" s="152" t="s">
        <v>372</v>
      </c>
      <c r="O9" s="152" t="s">
        <v>194</v>
      </c>
      <c r="P9" s="152" t="s">
        <v>195</v>
      </c>
      <c r="Q9" s="152" t="s">
        <v>196</v>
      </c>
      <c r="R9" s="152" t="s">
        <v>361</v>
      </c>
      <c r="S9" s="152" t="s">
        <v>362</v>
      </c>
      <c r="T9" s="152" t="s">
        <v>363</v>
      </c>
      <c r="U9" s="152" t="s">
        <v>364</v>
      </c>
      <c r="V9" s="152" t="s">
        <v>373</v>
      </c>
      <c r="W9" s="152" t="s">
        <v>365</v>
      </c>
      <c r="X9" s="152" t="s">
        <v>366</v>
      </c>
      <c r="Y9" s="152" t="s">
        <v>367</v>
      </c>
      <c r="Z9" s="152" t="s">
        <v>368</v>
      </c>
      <c r="AA9" s="152" t="s">
        <v>369</v>
      </c>
      <c r="AB9" s="152" t="s">
        <v>197</v>
      </c>
      <c r="AC9" s="152" t="s">
        <v>198</v>
      </c>
      <c r="AD9" s="152" t="s">
        <v>199</v>
      </c>
      <c r="AE9" s="152" t="s">
        <v>200</v>
      </c>
      <c r="AF9" s="152" t="s">
        <v>370</v>
      </c>
      <c r="AG9" s="152" t="s">
        <v>201</v>
      </c>
    </row>
    <row r="10" spans="1:33" ht="10.5" hidden="1" customHeight="1">
      <c r="A10" s="236"/>
      <c r="B10" s="236"/>
      <c r="C10" s="236"/>
      <c r="D10" s="236"/>
      <c r="E10" s="236"/>
    </row>
    <row r="11" spans="1:33" ht="9" hidden="1" customHeight="1">
      <c r="A11" s="236"/>
      <c r="B11" s="236"/>
      <c r="C11" s="236"/>
      <c r="D11" s="236"/>
      <c r="E11" s="236"/>
    </row>
    <row r="12" spans="1:33" ht="3" hidden="1" customHeight="1">
      <c r="A12" s="236"/>
      <c r="B12" s="236"/>
      <c r="C12" s="236"/>
      <c r="D12" s="236"/>
      <c r="E12" s="236"/>
    </row>
    <row r="13" spans="1:33" ht="7.5" customHeight="1"/>
    <row r="14" spans="1:33" ht="15.75" customHeight="1">
      <c r="A14" s="239" t="str">
        <f>""&amp;'Общие данные'!C64&amp;" ta’minoti:"</f>
        <v>Mikroqarz ta’minoti:</v>
      </c>
      <c r="B14" s="239"/>
      <c r="C14" s="239"/>
      <c r="D14" s="239"/>
      <c r="E14" s="239"/>
    </row>
    <row r="15" spans="1:33" ht="7.5" customHeight="1"/>
    <row r="16" spans="1:33" ht="57" customHeight="1">
      <c r="A16" s="236" t="str">
        <f>'Заключение КК'!A18:E18</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6" s="236"/>
      <c r="C16" s="236"/>
      <c r="D16" s="236"/>
      <c r="E16" s="236"/>
    </row>
    <row r="17" spans="1:5" ht="17.25" customHeight="1">
      <c r="C17" s="153" t="s">
        <v>380</v>
      </c>
      <c r="D17" s="153" t="str">
        <f>""&amp;'Общие данные'!B147&amp;" kredit qo‘mitasi"</f>
        <v>«CLEVER MIKROMOLIYA TASHKILOTI» MChJ kredit qo‘mitasi</v>
      </c>
      <c r="E17" s="153"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36"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36"/>
      <c r="C18" s="236"/>
      <c r="D18" s="236"/>
      <c r="E18" s="236"/>
    </row>
    <row r="19" spans="1:5" ht="24" customHeight="1">
      <c r="A19" s="240" t="s">
        <v>261</v>
      </c>
      <c r="B19" s="240"/>
      <c r="C19" s="240"/>
      <c r="D19" s="240"/>
      <c r="E19" s="240"/>
    </row>
    <row r="20" spans="1:5" ht="32.25" customHeight="1">
      <c r="A20" s="236" t="str">
        <f>"       "&amp;'Общие данные'!B5&amp;"ga quyidagi shartlarda "&amp;'Общие данные'!B65&amp;" berish masalasi ma’qullansin:"</f>
        <v xml:space="preserve">       NUTFULLAYEV AKBARJON AXMEDOVICHga quyidagi shartlarda mikroqarz berish masalasi ma’qullansin:</v>
      </c>
      <c r="B20" s="236"/>
      <c r="C20" s="236"/>
      <c r="D20" s="236"/>
      <c r="E20" s="236"/>
    </row>
    <row r="21" spans="1:5" s="134" customFormat="1" ht="18.75" customHeight="1">
      <c r="A21" s="237" t="str">
        <f>"1. "&amp;'Общие данные'!C64&amp;" summasi: "&amp;FIXED('Общие данные'!B75)&amp;" ("&amp;'Общие данные'!B76&amp;") so'm."</f>
        <v>1. Mikroqarz summasi: 27 000 000,00 (yigirma yetti million so'm) so'm.</v>
      </c>
      <c r="B21" s="237"/>
      <c r="C21" s="237"/>
      <c r="D21" s="237"/>
      <c r="E21" s="237"/>
    </row>
    <row r="22" spans="1:5" s="134" customFormat="1" ht="18.75" customHeight="1">
      <c r="A22" s="237" t="str">
        <f>"2. "&amp;'Общие данные'!C64&amp;" muddati: "&amp;'Общие данные'!B81&amp;" ("&amp;'Общие данные'!B82&amp;") oy "</f>
        <v xml:space="preserve">2. Mikroqarz muddati: 36 (o'ttiz olti) oy </v>
      </c>
      <c r="B22" s="237"/>
      <c r="C22" s="237"/>
      <c r="D22" s="237"/>
      <c r="E22" s="237"/>
    </row>
    <row r="23" spans="1:5" s="134" customFormat="1" ht="18.75" customHeight="1">
      <c r="A23" s="237" t="str">
        <f>"3. "&amp;'Общие данные'!C64&amp;"dan foydalanganlik uchun foiz stavkasi:yillik "&amp;'Общие данные'!B85&amp;"% ("&amp;'Общие данные'!B86&amp;") foiz."</f>
        <v>3. Mikroqarzdan foydalanganlik uchun foiz stavkasi:yillik 60% (Oltmish) foiz.</v>
      </c>
      <c r="B23" s="237"/>
      <c r="C23" s="237"/>
      <c r="D23" s="237"/>
      <c r="E23" s="237"/>
    </row>
    <row r="24" spans="1:5" s="134" customFormat="1" ht="18.75" customHeight="1">
      <c r="A24" s="237" t="str">
        <f>"4. "&amp;'Общие данные'!C64&amp;" bo‘yicha asosiy qarz va foizlarni to‘lash:"</f>
        <v>4. Mikroqarz bo‘yicha asosiy qarz va foizlarni to‘lash:</v>
      </c>
      <c r="B24" s="237"/>
      <c r="C24" s="237"/>
      <c r="D24" s="237"/>
      <c r="E24" s="237"/>
    </row>
    <row r="25" spans="1:5" s="134" customFormat="1" ht="18.75" customHeight="1">
      <c r="A25" s="237" t="str">
        <f>'Кредитная заявка'!A19:D19</f>
        <v xml:space="preserve"> - mikroqarz shartnomasi bo'yicha har oy differensial to'lovlari amalga oshiriladi</v>
      </c>
      <c r="B25" s="237"/>
      <c r="C25" s="237"/>
      <c r="D25" s="237"/>
      <c r="E25" s="237"/>
    </row>
    <row r="26" spans="1:5" ht="48" customHeight="1">
      <c r="A26" s="236" t="str">
        <f>"5. "&amp;'Общие данные'!C64&amp;" bo‘yicha garov  "&amp;'Заключение КК'!A29:E29&amp;""</f>
        <v>5. Mikroqarz bo‘yicha garov   - NUTFULLAYEV AKBARJON AXMEDOVICH ga mulk huquqi asosida tegishli avtotransport vositasi CHANGAN CHANGAN SC 1027SB , quyidagi tafsilotlarga muvofiq:</v>
      </c>
      <c r="B26" s="236"/>
      <c r="C26" s="236"/>
      <c r="D26" s="236"/>
      <c r="E26" s="236"/>
    </row>
    <row r="27" spans="1:5" ht="40.5" customHeight="1">
      <c r="A27" s="17" t="str">
        <f>'Акт согласования'!A29</f>
        <v>Nomi</v>
      </c>
      <c r="B27" s="17" t="str">
        <f>'Акт согласования'!B29</f>
        <v>Kuzov turi  va kuzov raqami*</v>
      </c>
      <c r="C27" s="17" t="str">
        <f>'Акт согласования'!C29</f>
        <v>Dvigatel va shassi raqami*</v>
      </c>
      <c r="D27" s="17" t="str">
        <f>'Акт согласования'!D29</f>
        <v>Ishlab chiqarilgan yili va rangi*</v>
      </c>
      <c r="E27" s="17" t="str">
        <f>'Акт согласования'!E29</f>
        <v>Kelishilgan garov qiymati, so'm</v>
      </c>
    </row>
    <row r="28" spans="1:5" ht="84" customHeight="1">
      <c r="A28" s="17" t="str">
        <f>'Акт согласования'!A30</f>
        <v>CHANGAN CHANGAN SC 1027SB</v>
      </c>
      <c r="B28" s="17" t="str">
        <f>'Акт согласования'!B30</f>
        <v>kuzov turi - YUK BORTLI TENT, kuzov raqami LSCAB23D8EG228387</v>
      </c>
      <c r="C28" s="17" t="str">
        <f>'Акт согласования'!C30</f>
        <v>dvigatel raqami JL466Q1%E61H022801, shassi raqami - URINDIKLAR SONI 5TA</v>
      </c>
      <c r="D28" s="17" t="str">
        <f>'Акт согласования'!D30</f>
        <v>rangi -  OQ BELIY, ishlab chiqarilgan yili - 2014</v>
      </c>
      <c r="E28" s="17" t="str">
        <f>'Акт согласования'!E30</f>
        <v>40 500 000,00 
(qirq million besh yuz ming so'm)</v>
      </c>
    </row>
    <row r="29" spans="1:5" ht="20.25" customHeight="1">
      <c r="A29" s="236" t="str">
        <f>'Акт согласования'!A22:E22</f>
        <v>-* avtotransport egasi: NUTFULLAYEV AKBARJON AXMEDOVICH</v>
      </c>
      <c r="B29" s="236"/>
      <c r="C29" s="236"/>
      <c r="D29" s="236"/>
      <c r="E29" s="236"/>
    </row>
    <row r="30" spans="1:5" ht="20.25" customHeight="1">
      <c r="A30" s="236" t="str">
        <f>'Акт согласования'!A23:E23</f>
        <v>-* texnik pasport: AAG   2346592  13.09.2023y</v>
      </c>
      <c r="B30" s="236"/>
      <c r="C30" s="236"/>
      <c r="D30" s="236"/>
      <c r="E30" s="236"/>
    </row>
    <row r="31" spans="1:5" ht="22.5" customHeight="1">
      <c r="A31" s="236" t="str">
        <f>'Акт согласования'!A24:E24</f>
        <v>-* roʻyxatdan oʻtgan manzili/garaj manzili: BUXORO VILOYATI BUXORO SHAHAR TADBIRKOR KO'CHASI 12-UY</v>
      </c>
      <c r="B31" s="236"/>
      <c r="C31" s="236"/>
      <c r="D31" s="236"/>
      <c r="E31" s="236"/>
    </row>
    <row r="32" spans="1:5" ht="25.5" customHeight="1">
      <c r="A32" s="236" t="str">
        <f>'Акт согласования'!A25:E25</f>
        <v>-* davlat raqami: 80T312WA</v>
      </c>
      <c r="B32" s="236"/>
      <c r="C32" s="236"/>
      <c r="D32" s="236"/>
      <c r="E32" s="236"/>
    </row>
    <row r="33" spans="1:5" ht="12" customHeight="1">
      <c r="A33" s="135"/>
      <c r="B33" s="135"/>
      <c r="C33" s="135"/>
      <c r="D33" s="135"/>
      <c r="E33" s="135"/>
    </row>
    <row r="34" spans="1:5" ht="20.25" customHeight="1">
      <c r="A34" s="236" t="str">
        <f>"6. Boshqa shartlar – "&amp;IF('Общие данные'!B103='Общие данные'!B104,"avtotransport vositasi",IF('Общие данные'!B103='Общие данные'!C104,"ko'chmas mulk",0))&amp;" shaklida garov ta'minlangandan keyin "&amp;'Общие данные'!B65&amp;" berish."</f>
        <v>6. Boshqa shartlar – 0 shaklida garov ta'minlangandan keyin mikroqarz berish.</v>
      </c>
      <c r="B34" s="236"/>
      <c r="C34" s="236"/>
      <c r="D34" s="236"/>
      <c r="E34" s="236"/>
    </row>
    <row r="36" spans="1:5" ht="29.25" customHeight="1">
      <c r="A36" s="233" t="s">
        <v>262</v>
      </c>
      <c r="B36" s="233"/>
      <c r="C36" s="233"/>
      <c r="D36" s="233"/>
      <c r="E36" s="233"/>
    </row>
    <row r="37" spans="1:5" ht="29.25" customHeight="1">
      <c r="A37" s="234" t="s">
        <v>399</v>
      </c>
      <c r="B37" s="234"/>
      <c r="C37" s="162"/>
      <c r="D37" s="163"/>
      <c r="E37" s="163"/>
    </row>
    <row r="38" spans="1:5" ht="29.25" customHeight="1">
      <c r="A38" s="235" t="str">
        <f>"2. "&amp;'Общие данные'!B159&amp;""</f>
        <v>2. B. Mominov</v>
      </c>
      <c r="B38" s="235"/>
      <c r="C38" s="162"/>
      <c r="D38" s="164"/>
      <c r="E38" s="164"/>
    </row>
    <row r="39" spans="1:5" ht="29.25" customHeight="1">
      <c r="A39" s="234" t="str">
        <f>"3. "&amp;'Общие данные'!B160&amp;""</f>
        <v>3. B. Jumanazarov</v>
      </c>
      <c r="B39" s="234"/>
      <c r="C39" s="131"/>
      <c r="D39" s="165"/>
      <c r="E39" s="165"/>
    </row>
  </sheetData>
  <mergeCells count="25">
    <mergeCell ref="A39:B39"/>
    <mergeCell ref="A22:E22"/>
    <mergeCell ref="A1:E1"/>
    <mergeCell ref="A2:E2"/>
    <mergeCell ref="B4:D4"/>
    <mergeCell ref="A5:E5"/>
    <mergeCell ref="A7:E12"/>
    <mergeCell ref="A14:E14"/>
    <mergeCell ref="A16:E16"/>
    <mergeCell ref="A18:E18"/>
    <mergeCell ref="A19:E19"/>
    <mergeCell ref="A20:E20"/>
    <mergeCell ref="A21:E21"/>
    <mergeCell ref="A23:E23"/>
    <mergeCell ref="A24:E24"/>
    <mergeCell ref="A25:E25"/>
    <mergeCell ref="A36:E36"/>
    <mergeCell ref="A37:B37"/>
    <mergeCell ref="A38:B38"/>
    <mergeCell ref="A32:E32"/>
    <mergeCell ref="A26:E26"/>
    <mergeCell ref="A29:E29"/>
    <mergeCell ref="A30:E30"/>
    <mergeCell ref="A31:E31"/>
    <mergeCell ref="A34:E34"/>
  </mergeCells>
  <pageMargins left="0.70866141732283472" right="0.70866141732283472" top="0.74803149606299213" bottom="0.74803149606299213" header="0.31496062992125984" footer="0.31496062992125984"/>
  <pageSetup paperSize="9" scale="72" orientation="portrait" verticalDpi="300"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zoomScale="70" zoomScaleNormal="70" zoomScaleSheetLayoutView="70" workbookViewId="0">
      <selection activeCell="D43" sqref="D43"/>
    </sheetView>
  </sheetViews>
  <sheetFormatPr defaultColWidth="9.140625" defaultRowHeight="15" outlineLevelCol="1"/>
  <cols>
    <col min="1" max="1" width="9.140625" style="87"/>
    <col min="2" max="2" width="12.28515625" style="87" customWidth="1"/>
    <col min="3" max="3" width="16.5703125" style="87" customWidth="1"/>
    <col min="4" max="4" width="16.7109375" style="87" customWidth="1"/>
    <col min="5" max="5" width="16.5703125" style="87" customWidth="1"/>
    <col min="6" max="6" width="20.85546875" style="87" customWidth="1"/>
    <col min="7" max="7" width="10.140625" style="87" customWidth="1" outlineLevel="1"/>
    <col min="8" max="8" width="19.140625" style="87" customWidth="1"/>
    <col min="9" max="9" width="21.42578125" style="87" customWidth="1"/>
    <col min="10" max="10" width="20.85546875" style="87" customWidth="1"/>
    <col min="11" max="11" width="20.140625" style="87" customWidth="1"/>
    <col min="12" max="12" width="21.42578125" style="87" customWidth="1"/>
    <col min="13" max="13" width="25.42578125" style="87" customWidth="1"/>
    <col min="14" max="14" width="18.28515625" style="87" customWidth="1"/>
    <col min="15" max="17" width="9.140625" style="15"/>
    <col min="18" max="18" width="24.42578125" style="15" customWidth="1"/>
    <col min="19" max="16384" width="9.140625" style="15"/>
  </cols>
  <sheetData>
    <row r="1" spans="1:22">
      <c r="A1" s="86"/>
      <c r="B1" s="86"/>
      <c r="C1" s="86"/>
      <c r="D1" s="86"/>
      <c r="E1" s="250" t="s">
        <v>16</v>
      </c>
      <c r="F1" s="250"/>
    </row>
    <row r="2" spans="1:22">
      <c r="A2" s="86"/>
      <c r="B2" s="86"/>
      <c r="C2" s="86"/>
      <c r="D2" s="86"/>
      <c r="E2" s="86"/>
      <c r="F2" s="88" t="str">
        <f>"к договору микрозайма "&amp;'Общие данные'!B74&amp;""</f>
        <v>к договору микрозайма 11 mart 2025 y.dan № -AL</v>
      </c>
    </row>
    <row r="3" spans="1:22" ht="19.5" customHeight="1">
      <c r="A3" s="86"/>
      <c r="B3" s="86"/>
      <c r="C3" s="86"/>
      <c r="D3" s="86"/>
      <c r="E3" s="86"/>
      <c r="F3" s="86"/>
      <c r="H3" s="89"/>
      <c r="I3" s="89"/>
      <c r="J3" s="90"/>
      <c r="K3" s="90"/>
    </row>
    <row r="4" spans="1:22" ht="19.5" customHeight="1">
      <c r="A4" s="251" t="s">
        <v>17</v>
      </c>
      <c r="B4" s="251"/>
      <c r="C4" s="251"/>
      <c r="D4" s="251"/>
      <c r="E4" s="251"/>
      <c r="F4" s="251"/>
      <c r="H4" s="89"/>
      <c r="I4" s="89"/>
      <c r="J4" s="89"/>
      <c r="K4" s="89"/>
    </row>
    <row r="5" spans="1:22" ht="19.5" customHeight="1">
      <c r="L5" s="87">
        <f>'Общие данные'!B81</f>
        <v>36</v>
      </c>
    </row>
    <row r="6" spans="1:22">
      <c r="A6" s="252" t="s">
        <v>15</v>
      </c>
      <c r="B6" s="253" t="s">
        <v>9</v>
      </c>
      <c r="C6" s="253" t="s">
        <v>10</v>
      </c>
      <c r="D6" s="254" t="s">
        <v>11</v>
      </c>
      <c r="E6" s="254"/>
      <c r="F6" s="254"/>
    </row>
    <row r="7" spans="1:22" s="16" customFormat="1">
      <c r="A7" s="252"/>
      <c r="B7" s="253"/>
      <c r="C7" s="253"/>
      <c r="D7" s="91" t="s">
        <v>12</v>
      </c>
      <c r="E7" s="91" t="s">
        <v>13</v>
      </c>
      <c r="F7" s="91" t="s">
        <v>14</v>
      </c>
      <c r="G7" s="92"/>
      <c r="H7" s="92"/>
      <c r="I7" s="92"/>
      <c r="J7" s="92"/>
      <c r="K7" s="92"/>
      <c r="L7" s="92"/>
      <c r="M7" s="92"/>
      <c r="N7" s="92"/>
    </row>
    <row r="8" spans="1:22">
      <c r="A8" s="93">
        <v>1</v>
      </c>
      <c r="B8" s="94">
        <f>'Общие данные'!B79</f>
        <v>45754</v>
      </c>
      <c r="C8" s="51">
        <f>'Общие данные'!B75</f>
        <v>27000000</v>
      </c>
      <c r="D8" s="51">
        <f>IF(IF(C8=0,L8,IF(C8&gt;1,I8))="",0,(IF(C8=0,L8,IF(C8&gt;1,I8))))</f>
        <v>750000</v>
      </c>
      <c r="E8" s="51">
        <f>IF(C8=0,N6,IF(C8&gt;1,L8))</f>
        <v>1198356.1199999999</v>
      </c>
      <c r="F8" s="51">
        <f>IF(C8=0,O6,IF(C8&gt;1,M8))</f>
        <v>1948356.1199999999</v>
      </c>
      <c r="G8" s="107">
        <f>B8-'Общие данные'!B67</f>
        <v>27</v>
      </c>
      <c r="H8" s="87">
        <f>DATE(YEAR(B8),12,31)-DATE(YEAR(B8),1,1)+1</f>
        <v>365</v>
      </c>
      <c r="I8" s="95">
        <f>IF('Общие данные'!B83=0,ROUND(C8/L5,2),"")</f>
        <v>750000</v>
      </c>
      <c r="J8" s="95"/>
      <c r="K8" s="95"/>
      <c r="L8" s="89">
        <f>ROUND(C8*'Общие данные'!$B$84/H8,2)*G8</f>
        <v>1198356.1199999999</v>
      </c>
      <c r="M8" s="89">
        <f t="shared" ref="M8:M31" si="0">D8+E8</f>
        <v>1948356.1199999999</v>
      </c>
      <c r="N8" s="89"/>
      <c r="O8" s="104" t="str">
        <f>TEXT(B8,"ддд")</f>
        <v>Пн</v>
      </c>
      <c r="P8" s="106">
        <f>IF(O8=$U$8,2,IF(O8=$V$8,1,0))</f>
        <v>0</v>
      </c>
      <c r="Q8" s="106">
        <f>DAY('Общие данные'!$B$78)+P8</f>
        <v>5</v>
      </c>
      <c r="R8" s="101"/>
      <c r="S8" s="102" t="s">
        <v>32</v>
      </c>
      <c r="T8" s="102" t="s">
        <v>33</v>
      </c>
      <c r="U8" s="102" t="s">
        <v>34</v>
      </c>
      <c r="V8" s="103" t="s">
        <v>35</v>
      </c>
    </row>
    <row r="9" spans="1:22">
      <c r="A9" s="93">
        <v>2</v>
      </c>
      <c r="B9" s="94">
        <f>IF(A9&lt;='Общие данные'!$B$81,DATE(YEAR(R9),MONTH(R9),DAY(IF(A9='Общие данные'!$B$81,'Общие данные'!$B$67,IF(A9&lt;'Общие данные'!$B$81,(Q9),IF(A9&gt;'Общие данные'!$B$81,$H$44,0))))))</f>
        <v>45782</v>
      </c>
      <c r="C9" s="51">
        <f t="shared" ref="C9:C30" si="1">C8-D8</f>
        <v>26250000</v>
      </c>
      <c r="D9" s="51">
        <f t="shared" ref="D9:D30" si="2">IF(C9=0,L9,IF(C9&gt;1,I9))</f>
        <v>750000</v>
      </c>
      <c r="E9" s="51">
        <f t="shared" ref="E9:E30" si="3">IF(C9=0,N8,IF(C9&gt;1,L9))</f>
        <v>1208219.04</v>
      </c>
      <c r="F9" s="51">
        <f t="shared" ref="F9:F30" si="4">IF(C9=0,N8,IF(C9&gt;1,M9))</f>
        <v>1958219.04</v>
      </c>
      <c r="G9" s="87">
        <f>B9-B8</f>
        <v>28</v>
      </c>
      <c r="H9" s="87">
        <f t="shared" ref="H9:H31" si="5">DATE(YEAR(B9),12,31)-DATE(YEAR(B9),1,1)+1</f>
        <v>365</v>
      </c>
      <c r="I9" s="95">
        <f>IF(I8="",ROUND(C8/(L5-1),2),I8)</f>
        <v>750000</v>
      </c>
      <c r="J9" s="95"/>
      <c r="K9" s="95"/>
      <c r="L9" s="89">
        <f>ROUND(C9*'Общие данные'!$B$84/H9,2)*G9</f>
        <v>1208219.04</v>
      </c>
      <c r="M9" s="89">
        <f t="shared" si="0"/>
        <v>1958219.04</v>
      </c>
      <c r="N9" s="89"/>
      <c r="O9" s="104" t="str">
        <f>TEXT(R9,"ддд")</f>
        <v>Пн</v>
      </c>
      <c r="P9" s="106">
        <f t="shared" ref="P9:P31" si="6">IF(O9=$U$8,2,IF(O9=$V$8,1,0))</f>
        <v>0</v>
      </c>
      <c r="Q9" s="106">
        <f>DAY('Общие данные'!$B$78)+P9</f>
        <v>5</v>
      </c>
      <c r="R9" s="101">
        <f>IF(A9&lt;='Общие данные'!$B$81,DATE(YEAR($B$8),MONTH($B$8)+A8,DAY('Общие данные'!$B$78)),0)</f>
        <v>45782</v>
      </c>
      <c r="S9" s="87"/>
      <c r="T9" s="87"/>
      <c r="U9" s="87"/>
      <c r="V9" s="87"/>
    </row>
    <row r="10" spans="1:22">
      <c r="A10" s="93">
        <v>3</v>
      </c>
      <c r="B10" s="94">
        <f>IF(A10&lt;='Общие данные'!$B$81,DATE(YEAR(R10),MONTH(R10),DAY(IF(A10='Общие данные'!$B$81,'Общие данные'!$B$67,IF(A10&lt;'Общие данные'!$B$81,(Q10),IF(A10&gt;'Общие данные'!$B$81,$H$44,0))))))</f>
        <v>45813</v>
      </c>
      <c r="C10" s="51">
        <f t="shared" si="1"/>
        <v>25500000</v>
      </c>
      <c r="D10" s="51">
        <f t="shared" si="2"/>
        <v>750000</v>
      </c>
      <c r="E10" s="51">
        <f t="shared" si="3"/>
        <v>1299452.1099999999</v>
      </c>
      <c r="F10" s="51">
        <f t="shared" si="4"/>
        <v>2049452.1099999999</v>
      </c>
      <c r="G10" s="87">
        <f t="shared" ref="G10:G31" si="7">B10-B9</f>
        <v>31</v>
      </c>
      <c r="H10" s="87">
        <f t="shared" si="5"/>
        <v>365</v>
      </c>
      <c r="I10" s="95">
        <f>I9</f>
        <v>750000</v>
      </c>
      <c r="J10" s="95"/>
      <c r="K10" s="95"/>
      <c r="L10" s="89">
        <f>ROUND(C10*'Общие данные'!$B$84/H10,2)*G10</f>
        <v>1299452.1099999999</v>
      </c>
      <c r="M10" s="89">
        <f t="shared" si="0"/>
        <v>2049452.1099999999</v>
      </c>
      <c r="N10" s="89"/>
      <c r="O10" s="104" t="str">
        <f t="shared" ref="O10:O31" si="8">TEXT(R10,"ддд")</f>
        <v>Чт</v>
      </c>
      <c r="P10" s="106">
        <f t="shared" si="6"/>
        <v>0</v>
      </c>
      <c r="Q10" s="106">
        <f>DAY('Общие данные'!$B$78)+P10</f>
        <v>5</v>
      </c>
      <c r="R10" s="101">
        <f>IF(A10&lt;='Общие данные'!$B$81,DATE(YEAR($B$8),MONTH($B$8)+A9,DAY('Общие данные'!$B$78)),0)</f>
        <v>45813</v>
      </c>
      <c r="S10" s="87"/>
      <c r="T10" s="87"/>
      <c r="U10" s="87"/>
      <c r="V10" s="87"/>
    </row>
    <row r="11" spans="1:22">
      <c r="A11" s="93">
        <v>4</v>
      </c>
      <c r="B11" s="94">
        <f>IF(A11&lt;='Общие данные'!$B$81,DATE(YEAR(R11),MONTH(R11),DAY(IF(A11='Общие данные'!$B$81,'Общие данные'!$B$67,IF(A11&lt;'Общие данные'!$B$81,(Q11),IF(A11&gt;'Общие данные'!$B$81,$H$44,0))))))</f>
        <v>45845</v>
      </c>
      <c r="C11" s="51">
        <f t="shared" si="1"/>
        <v>24750000</v>
      </c>
      <c r="D11" s="51">
        <f t="shared" si="2"/>
        <v>750000</v>
      </c>
      <c r="E11" s="51">
        <f t="shared" si="3"/>
        <v>1301917.76</v>
      </c>
      <c r="F11" s="51">
        <f t="shared" si="4"/>
        <v>2051917.76</v>
      </c>
      <c r="G11" s="87">
        <f t="shared" si="7"/>
        <v>32</v>
      </c>
      <c r="H11" s="87">
        <f t="shared" si="5"/>
        <v>365</v>
      </c>
      <c r="I11" s="95">
        <f>I10</f>
        <v>750000</v>
      </c>
      <c r="J11" s="95"/>
      <c r="K11" s="95"/>
      <c r="L11" s="89">
        <f>ROUND(C11*'Общие данные'!$B$84/H11,2)*G11</f>
        <v>1301917.76</v>
      </c>
      <c r="M11" s="89">
        <f t="shared" si="0"/>
        <v>2051917.76</v>
      </c>
      <c r="N11" s="89"/>
      <c r="O11" s="104" t="str">
        <f t="shared" si="8"/>
        <v>Сб</v>
      </c>
      <c r="P11" s="106">
        <f t="shared" si="6"/>
        <v>2</v>
      </c>
      <c r="Q11" s="106">
        <f>DAY('Общие данные'!$B$78)+P11</f>
        <v>7</v>
      </c>
      <c r="R11" s="101">
        <f>IF(A11&lt;='Общие данные'!$B$81,DATE(YEAR($B$8),MONTH($B$8)+A10,DAY('Общие данные'!$B$78)),0)</f>
        <v>45843</v>
      </c>
      <c r="S11" s="87"/>
      <c r="T11" s="87"/>
      <c r="U11" s="87"/>
      <c r="V11" s="87"/>
    </row>
    <row r="12" spans="1:22">
      <c r="A12" s="93">
        <v>5</v>
      </c>
      <c r="B12" s="94">
        <f>IF(A12&lt;='Общие данные'!$B$81,DATE(YEAR(R12),MONTH(R12),DAY(IF(A12='Общие данные'!$B$81,'Общие данные'!$B$67,IF(A12&lt;'Общие данные'!$B$81,(Q12),IF(A12&gt;'Общие данные'!$B$81,$H$44,0))))))</f>
        <v>45874</v>
      </c>
      <c r="C12" s="51">
        <f t="shared" si="1"/>
        <v>24000000</v>
      </c>
      <c r="D12" s="51">
        <f t="shared" si="2"/>
        <v>750000</v>
      </c>
      <c r="E12" s="51">
        <f t="shared" si="3"/>
        <v>1144109.4500000002</v>
      </c>
      <c r="F12" s="51">
        <f t="shared" si="4"/>
        <v>1894109.4500000002</v>
      </c>
      <c r="G12" s="87">
        <f t="shared" si="7"/>
        <v>29</v>
      </c>
      <c r="H12" s="87">
        <f t="shared" si="5"/>
        <v>365</v>
      </c>
      <c r="I12" s="95">
        <f>I11</f>
        <v>750000</v>
      </c>
      <c r="J12" s="95">
        <f>'Общие данные'!B75</f>
        <v>27000000</v>
      </c>
      <c r="K12" s="95"/>
      <c r="L12" s="89">
        <f>ROUND(C12*'Общие данные'!$B$84/H12,2)*G12</f>
        <v>1144109.4500000002</v>
      </c>
      <c r="M12" s="89">
        <f t="shared" si="0"/>
        <v>1894109.4500000002</v>
      </c>
      <c r="N12" s="89"/>
      <c r="O12" s="104" t="str">
        <f t="shared" si="8"/>
        <v>Вт</v>
      </c>
      <c r="P12" s="106">
        <f t="shared" si="6"/>
        <v>0</v>
      </c>
      <c r="Q12" s="106">
        <f>DAY('Общие данные'!$B$78)+P12</f>
        <v>5</v>
      </c>
      <c r="R12" s="101">
        <f>IF(A12&lt;='Общие данные'!$B$81,DATE(YEAR($B$8),MONTH($B$8)+A11,DAY('Общие данные'!$B$78)),0)</f>
        <v>45874</v>
      </c>
      <c r="S12" s="87"/>
      <c r="T12" s="87"/>
      <c r="U12" s="87"/>
      <c r="V12" s="87"/>
    </row>
    <row r="13" spans="1:22">
      <c r="A13" s="93">
        <v>6</v>
      </c>
      <c r="B13" s="94">
        <f>IF(A13&lt;='Общие данные'!$B$81,DATE(YEAR(R13),MONTH(R13),DAY(IF(A13='Общие данные'!$B$81,'Общие данные'!$B$67,IF(A13&lt;'Общие данные'!$B$81,(Q13),IF(A13&gt;'Общие данные'!$B$81,$H$44,0))))))</f>
        <v>45905</v>
      </c>
      <c r="C13" s="51">
        <f t="shared" si="1"/>
        <v>23250000</v>
      </c>
      <c r="D13" s="51">
        <f t="shared" si="2"/>
        <v>750000</v>
      </c>
      <c r="E13" s="51">
        <f t="shared" si="3"/>
        <v>1184794.58</v>
      </c>
      <c r="F13" s="51">
        <f t="shared" si="4"/>
        <v>1934794.58</v>
      </c>
      <c r="G13" s="87">
        <f t="shared" si="7"/>
        <v>31</v>
      </c>
      <c r="H13" s="87">
        <f t="shared" si="5"/>
        <v>365</v>
      </c>
      <c r="I13" s="95">
        <f>IF(L5=H1,K13,IF(L5&gt;H1,I12))</f>
        <v>750000</v>
      </c>
      <c r="J13" s="95">
        <f>SUM($I$8:I12)</f>
        <v>3750000</v>
      </c>
      <c r="K13" s="95">
        <f>$J$12-J13</f>
        <v>23250000</v>
      </c>
      <c r="L13" s="89">
        <f>ROUND(C13*'Общие данные'!$B$84/H13,2)*G13</f>
        <v>1184794.58</v>
      </c>
      <c r="M13" s="89">
        <f t="shared" si="0"/>
        <v>1934794.58</v>
      </c>
      <c r="N13" s="89"/>
      <c r="O13" s="104" t="str">
        <f t="shared" si="8"/>
        <v>Пт</v>
      </c>
      <c r="P13" s="106">
        <f t="shared" si="6"/>
        <v>0</v>
      </c>
      <c r="Q13" s="106">
        <f>DAY('Общие данные'!$B$78)+P13</f>
        <v>5</v>
      </c>
      <c r="R13" s="101">
        <f>IF(A13&lt;='Общие данные'!$B$81,DATE(YEAR($B$8),MONTH($B$8)+A12,DAY('Общие данные'!$B$78)),0)</f>
        <v>45905</v>
      </c>
      <c r="S13" s="87"/>
      <c r="T13" s="87"/>
      <c r="U13" s="87"/>
      <c r="V13" s="87"/>
    </row>
    <row r="14" spans="1:22">
      <c r="A14" s="93">
        <v>7</v>
      </c>
      <c r="B14" s="94">
        <f>IF(A14&lt;='Общие данные'!$B$81,DATE(YEAR(R14),MONTH(R14),DAY(IF(A14='Общие данные'!$B$81,'Общие данные'!$B$67,IF(A14&lt;'Общие данные'!$B$81,(Q14),IF(A14&gt;'Общие данные'!$B$81,$H$44,0))))))</f>
        <v>45936</v>
      </c>
      <c r="C14" s="51">
        <f t="shared" si="1"/>
        <v>22500000</v>
      </c>
      <c r="D14" s="51">
        <f t="shared" si="2"/>
        <v>750000</v>
      </c>
      <c r="E14" s="51">
        <f t="shared" si="3"/>
        <v>1146575.3</v>
      </c>
      <c r="F14" s="51">
        <f t="shared" si="4"/>
        <v>1896575.3</v>
      </c>
      <c r="G14" s="87">
        <f t="shared" si="7"/>
        <v>31</v>
      </c>
      <c r="H14" s="87">
        <f t="shared" si="5"/>
        <v>365</v>
      </c>
      <c r="I14" s="95">
        <f>IF($L$5=A14,K14,IF($L$5&gt;A14,I13))</f>
        <v>750000</v>
      </c>
      <c r="J14" s="95">
        <f>SUM($I$8:I13)</f>
        <v>4500000</v>
      </c>
      <c r="K14" s="95">
        <f t="shared" ref="K14:K31" si="9">$J$12-J14</f>
        <v>22500000</v>
      </c>
      <c r="L14" s="89">
        <f>ROUND(C14*'Общие данные'!$B$84/H14,2)*G14</f>
        <v>1146575.3</v>
      </c>
      <c r="M14" s="89">
        <f t="shared" si="0"/>
        <v>1896575.3</v>
      </c>
      <c r="N14" s="89"/>
      <c r="O14" s="104" t="str">
        <f t="shared" si="8"/>
        <v>Вс</v>
      </c>
      <c r="P14" s="106">
        <f t="shared" si="6"/>
        <v>1</v>
      </c>
      <c r="Q14" s="106">
        <f>DAY('Общие данные'!$B$78)+P14</f>
        <v>6</v>
      </c>
      <c r="R14" s="101">
        <f>IF(A14&lt;='Общие данные'!$B$81,DATE(YEAR($B$8),MONTH($B$8)+A13,DAY('Общие данные'!$B$78)),0)</f>
        <v>45935</v>
      </c>
      <c r="S14" s="87"/>
      <c r="T14" s="87"/>
      <c r="U14" s="87"/>
      <c r="V14" s="87"/>
    </row>
    <row r="15" spans="1:22">
      <c r="A15" s="93">
        <v>8</v>
      </c>
      <c r="B15" s="94">
        <f>IF(A15&lt;='Общие данные'!$B$81,DATE(YEAR(R15),MONTH(R15),DAY(IF(A15='Общие данные'!$B$81,'Общие данные'!$B$67,IF(A15&lt;'Общие данные'!$B$81,(Q15),IF(A15&gt;'Общие данные'!$B$81,$H$44,0))))))</f>
        <v>45966</v>
      </c>
      <c r="C15" s="51">
        <f t="shared" si="1"/>
        <v>21750000</v>
      </c>
      <c r="D15" s="51">
        <f t="shared" si="2"/>
        <v>750000</v>
      </c>
      <c r="E15" s="51">
        <f t="shared" si="3"/>
        <v>1072602.5999999999</v>
      </c>
      <c r="F15" s="51">
        <f t="shared" si="4"/>
        <v>1822602.5999999999</v>
      </c>
      <c r="G15" s="87">
        <f t="shared" si="7"/>
        <v>30</v>
      </c>
      <c r="H15" s="87">
        <f t="shared" si="5"/>
        <v>365</v>
      </c>
      <c r="I15" s="95">
        <f t="shared" ref="I15:I31" si="10">IF($L$5=A15,K15,IF($L$5&gt;A15,I14))</f>
        <v>750000</v>
      </c>
      <c r="J15" s="95">
        <f>SUM($I$8:I14)</f>
        <v>5250000</v>
      </c>
      <c r="K15" s="95">
        <f t="shared" si="9"/>
        <v>21750000</v>
      </c>
      <c r="L15" s="89">
        <f>ROUND(C15*'Общие данные'!$B$84/H15,2)*G15</f>
        <v>1072602.5999999999</v>
      </c>
      <c r="M15" s="89">
        <f t="shared" si="0"/>
        <v>1822602.5999999999</v>
      </c>
      <c r="N15" s="89"/>
      <c r="O15" s="104" t="str">
        <f t="shared" si="8"/>
        <v>Ср</v>
      </c>
      <c r="P15" s="106">
        <f t="shared" si="6"/>
        <v>0</v>
      </c>
      <c r="Q15" s="106">
        <f>DAY('Общие данные'!$B$78)+P15</f>
        <v>5</v>
      </c>
      <c r="R15" s="101">
        <f>IF(A15&lt;='Общие данные'!$B$81,DATE(YEAR($B$8),MONTH($B$8)+A14,DAY('Общие данные'!$B$78)),0)</f>
        <v>45966</v>
      </c>
      <c r="S15" s="87"/>
      <c r="T15" s="87"/>
      <c r="U15" s="87"/>
      <c r="V15" s="87"/>
    </row>
    <row r="16" spans="1:22">
      <c r="A16" s="93">
        <v>9</v>
      </c>
      <c r="B16" s="94">
        <f>IF(A16&lt;='Общие данные'!$B$81,DATE(YEAR(R16),MONTH(R16),DAY(IF(A16='Общие данные'!$B$81,'Общие данные'!$B$67,IF(A16&lt;'Общие данные'!$B$81,(Q16),IF(A16&gt;'Общие данные'!$B$81,$H$44,0))))))</f>
        <v>45996</v>
      </c>
      <c r="C16" s="51">
        <f t="shared" si="1"/>
        <v>21000000</v>
      </c>
      <c r="D16" s="51">
        <f t="shared" si="2"/>
        <v>750000</v>
      </c>
      <c r="E16" s="51">
        <f t="shared" si="3"/>
        <v>1035616.5000000001</v>
      </c>
      <c r="F16" s="51">
        <f t="shared" si="4"/>
        <v>1785616.5</v>
      </c>
      <c r="G16" s="87">
        <f t="shared" si="7"/>
        <v>30</v>
      </c>
      <c r="H16" s="87">
        <f t="shared" si="5"/>
        <v>365</v>
      </c>
      <c r="I16" s="95">
        <f t="shared" si="10"/>
        <v>750000</v>
      </c>
      <c r="J16" s="95">
        <f>SUM($I$8:I15)</f>
        <v>6000000</v>
      </c>
      <c r="K16" s="95">
        <f t="shared" si="9"/>
        <v>21000000</v>
      </c>
      <c r="L16" s="89">
        <f>ROUND(C16*'Общие данные'!$B$84/H16,2)*G16</f>
        <v>1035616.5000000001</v>
      </c>
      <c r="M16" s="89">
        <f t="shared" si="0"/>
        <v>1785616.5</v>
      </c>
      <c r="N16" s="89"/>
      <c r="O16" s="104" t="str">
        <f t="shared" si="8"/>
        <v>Пт</v>
      </c>
      <c r="P16" s="106">
        <f t="shared" si="6"/>
        <v>0</v>
      </c>
      <c r="Q16" s="106">
        <f>DAY('Общие данные'!$B$78)+P16</f>
        <v>5</v>
      </c>
      <c r="R16" s="101">
        <f>IF(A16&lt;='Общие данные'!$B$81,DATE(YEAR($B$8),MONTH($B$8)+A15,DAY('Общие данные'!$B$78)),0)</f>
        <v>45996</v>
      </c>
      <c r="S16" s="87"/>
      <c r="T16" s="87"/>
      <c r="U16" s="87"/>
      <c r="V16" s="87"/>
    </row>
    <row r="17" spans="1:22">
      <c r="A17" s="93">
        <v>10</v>
      </c>
      <c r="B17" s="94">
        <f>IF(A17&lt;='Общие данные'!$B$81,DATE(YEAR(R17),MONTH(R17),DAY(IF(A17='Общие данные'!$B$81,'Общие данные'!$B$67,IF(A17&lt;'Общие данные'!$B$81,(Q17),IF(A17&gt;'Общие данные'!$B$81,$H$44,0))))))</f>
        <v>46027</v>
      </c>
      <c r="C17" s="51">
        <f t="shared" si="1"/>
        <v>20250000</v>
      </c>
      <c r="D17" s="51">
        <f t="shared" si="2"/>
        <v>750000</v>
      </c>
      <c r="E17" s="51">
        <f t="shared" si="3"/>
        <v>1031917.7699999999</v>
      </c>
      <c r="F17" s="51">
        <f t="shared" si="4"/>
        <v>1781917.77</v>
      </c>
      <c r="G17" s="87">
        <f t="shared" si="7"/>
        <v>31</v>
      </c>
      <c r="H17" s="87">
        <f t="shared" si="5"/>
        <v>365</v>
      </c>
      <c r="I17" s="95">
        <f t="shared" si="10"/>
        <v>750000</v>
      </c>
      <c r="J17" s="95">
        <f>SUM($I$8:I16)</f>
        <v>6750000</v>
      </c>
      <c r="K17" s="95">
        <f>$J$12-J17</f>
        <v>20250000</v>
      </c>
      <c r="L17" s="89">
        <f>ROUND(C17*'Общие данные'!$B$84/H17,2)*G17</f>
        <v>1031917.7699999999</v>
      </c>
      <c r="M17" s="89">
        <f t="shared" si="0"/>
        <v>1781917.77</v>
      </c>
      <c r="N17" s="89"/>
      <c r="O17" s="104" t="str">
        <f t="shared" si="8"/>
        <v>Пн</v>
      </c>
      <c r="P17" s="106">
        <f t="shared" si="6"/>
        <v>0</v>
      </c>
      <c r="Q17" s="106">
        <f>DAY('Общие данные'!$B$78)+P17</f>
        <v>5</v>
      </c>
      <c r="R17" s="101">
        <f>IF(A17&lt;='Общие данные'!$B$81,DATE(YEAR($B$8),MONTH($B$8)+A16,DAY('Общие данные'!$B$78)),0)</f>
        <v>46027</v>
      </c>
      <c r="S17" s="87"/>
      <c r="T17" s="87"/>
      <c r="U17" s="87"/>
      <c r="V17" s="87"/>
    </row>
    <row r="18" spans="1:22">
      <c r="A18" s="93">
        <v>11</v>
      </c>
      <c r="B18" s="94">
        <f>IF(A18&lt;='Общие данные'!$B$81,DATE(YEAR(R18),MONTH(R18),DAY(IF(A18='Общие данные'!$B$81,'Общие данные'!$B$67,IF(A18&lt;'Общие данные'!$B$81,(Q18),IF(A18&gt;'Общие данные'!$B$81,$H$44,0))))))</f>
        <v>46058</v>
      </c>
      <c r="C18" s="51">
        <f t="shared" si="1"/>
        <v>19500000</v>
      </c>
      <c r="D18" s="51">
        <f t="shared" si="2"/>
        <v>750000</v>
      </c>
      <c r="E18" s="51">
        <f t="shared" si="3"/>
        <v>993698.49</v>
      </c>
      <c r="F18" s="51">
        <f t="shared" si="4"/>
        <v>1743698.49</v>
      </c>
      <c r="G18" s="87">
        <f t="shared" si="7"/>
        <v>31</v>
      </c>
      <c r="H18" s="87">
        <f t="shared" si="5"/>
        <v>365</v>
      </c>
      <c r="I18" s="95">
        <f t="shared" si="10"/>
        <v>750000</v>
      </c>
      <c r="J18" s="95">
        <f>SUM($I$8:I17)</f>
        <v>7500000</v>
      </c>
      <c r="K18" s="95">
        <f t="shared" si="9"/>
        <v>19500000</v>
      </c>
      <c r="L18" s="89">
        <f>ROUND(C18*'Общие данные'!$B$84/H18,2)*G18</f>
        <v>993698.49</v>
      </c>
      <c r="M18" s="89">
        <f t="shared" si="0"/>
        <v>1743698.49</v>
      </c>
      <c r="N18" s="89"/>
      <c r="O18" s="104" t="str">
        <f t="shared" si="8"/>
        <v>Чт</v>
      </c>
      <c r="P18" s="106">
        <f t="shared" si="6"/>
        <v>0</v>
      </c>
      <c r="Q18" s="106">
        <f>DAY('Общие данные'!$B$78)+P18</f>
        <v>5</v>
      </c>
      <c r="R18" s="101">
        <f>IF(A18&lt;='Общие данные'!$B$81,DATE(YEAR($B$8),MONTH($B$8)+A17,DAY('Общие данные'!$B$78)),0)</f>
        <v>46058</v>
      </c>
      <c r="S18" s="87"/>
      <c r="T18" s="87"/>
      <c r="U18" s="87"/>
      <c r="V18" s="87"/>
    </row>
    <row r="19" spans="1:22">
      <c r="A19" s="93">
        <v>12</v>
      </c>
      <c r="B19" s="94">
        <f>IF(A19&lt;='Общие данные'!$B$81,DATE(YEAR(R19),MONTH(R19),DAY(IF(A19='Общие данные'!$B$81,'Общие данные'!$B$67,IF(A19&lt;'Общие данные'!$B$81,(Q19),IF(A19&gt;'Общие данные'!$B$81,$H$44,0))))))</f>
        <v>46086</v>
      </c>
      <c r="C19" s="51">
        <f t="shared" si="1"/>
        <v>18750000</v>
      </c>
      <c r="D19" s="51">
        <f t="shared" si="2"/>
        <v>750000</v>
      </c>
      <c r="E19" s="51">
        <f t="shared" si="3"/>
        <v>863013.76</v>
      </c>
      <c r="F19" s="51">
        <f t="shared" si="4"/>
        <v>1613013.76</v>
      </c>
      <c r="G19" s="87">
        <f t="shared" si="7"/>
        <v>28</v>
      </c>
      <c r="H19" s="87">
        <f t="shared" si="5"/>
        <v>365</v>
      </c>
      <c r="I19" s="95">
        <f t="shared" si="10"/>
        <v>750000</v>
      </c>
      <c r="J19" s="95">
        <f>SUM($I$8:I18)</f>
        <v>8250000</v>
      </c>
      <c r="K19" s="95">
        <f t="shared" si="9"/>
        <v>18750000</v>
      </c>
      <c r="L19" s="89">
        <f>ROUND(C19*'Общие данные'!$B$84/H19,2)*G19</f>
        <v>863013.76</v>
      </c>
      <c r="M19" s="89">
        <f t="shared" si="0"/>
        <v>1613013.76</v>
      </c>
      <c r="N19" s="89"/>
      <c r="O19" s="104" t="str">
        <f t="shared" si="8"/>
        <v>Чт</v>
      </c>
      <c r="P19" s="106">
        <f t="shared" si="6"/>
        <v>0</v>
      </c>
      <c r="Q19" s="106">
        <f>DAY('Общие данные'!$B$78)+P19</f>
        <v>5</v>
      </c>
      <c r="R19" s="101">
        <f>IF(A19&lt;='Общие данные'!$B$81,DATE(YEAR($B$8),MONTH($B$8)+A18,DAY('Общие данные'!$B$78)),0)</f>
        <v>46086</v>
      </c>
      <c r="S19" s="87"/>
      <c r="T19" s="87"/>
      <c r="U19" s="87"/>
      <c r="V19" s="87"/>
    </row>
    <row r="20" spans="1:22">
      <c r="A20" s="93">
        <v>13</v>
      </c>
      <c r="B20" s="94">
        <f>IF(A20&lt;='Общие данные'!$B$81,DATE(YEAR(R20),MONTH(R20),DAY(IF(A20='Общие данные'!$B$81,'Общие данные'!$B$67,IF(A20&lt;'Общие данные'!$B$81,(Q20),IF(A20&gt;'Общие данные'!$B$81,$H$44,0))))))</f>
        <v>46118</v>
      </c>
      <c r="C20" s="51">
        <f t="shared" si="1"/>
        <v>18000000</v>
      </c>
      <c r="D20" s="51">
        <f t="shared" si="2"/>
        <v>750000</v>
      </c>
      <c r="E20" s="51">
        <f t="shared" si="3"/>
        <v>946849.28000000003</v>
      </c>
      <c r="F20" s="51">
        <f t="shared" si="4"/>
        <v>1696849.28</v>
      </c>
      <c r="G20" s="87">
        <f t="shared" si="7"/>
        <v>32</v>
      </c>
      <c r="H20" s="87">
        <f t="shared" si="5"/>
        <v>365</v>
      </c>
      <c r="I20" s="95">
        <f t="shared" si="10"/>
        <v>750000</v>
      </c>
      <c r="J20" s="95">
        <f>SUM($I$8:I19)</f>
        <v>9000000</v>
      </c>
      <c r="K20" s="95">
        <f>$J$12-J20</f>
        <v>18000000</v>
      </c>
      <c r="L20" s="89">
        <f>ROUND(C20*'Общие данные'!$B$84/H20,2)*G20</f>
        <v>946849.28000000003</v>
      </c>
      <c r="M20" s="89">
        <f t="shared" si="0"/>
        <v>1696849.28</v>
      </c>
      <c r="N20" s="89"/>
      <c r="O20" s="104" t="str">
        <f t="shared" si="8"/>
        <v>Вс</v>
      </c>
      <c r="P20" s="106">
        <f t="shared" si="6"/>
        <v>1</v>
      </c>
      <c r="Q20" s="106">
        <f>DAY('Общие данные'!$B$78)+P20</f>
        <v>6</v>
      </c>
      <c r="R20" s="101">
        <f>IF(A20&lt;='Общие данные'!$B$81,DATE(YEAR($B$8),MONTH($B$8)+A19,DAY('Общие данные'!$B$78)),0)</f>
        <v>46117</v>
      </c>
      <c r="S20" s="87"/>
      <c r="T20" s="87"/>
      <c r="U20" s="87"/>
      <c r="V20" s="87"/>
    </row>
    <row r="21" spans="1:22">
      <c r="A21" s="93">
        <v>14</v>
      </c>
      <c r="B21" s="94">
        <f>IF(A21&lt;='Общие данные'!$B$81,DATE(YEAR(R21),MONTH(R21),DAY(IF(A21='Общие данные'!$B$81,'Общие данные'!$B$67,IF(A21&lt;'Общие данные'!$B$81,(Q21),IF(A21&gt;'Общие данные'!$B$81,$H$44,0))))))</f>
        <v>46147</v>
      </c>
      <c r="C21" s="51">
        <f t="shared" si="1"/>
        <v>17250000</v>
      </c>
      <c r="D21" s="51">
        <f t="shared" si="2"/>
        <v>750000</v>
      </c>
      <c r="E21" s="51">
        <f t="shared" si="3"/>
        <v>822328.64</v>
      </c>
      <c r="F21" s="51">
        <f t="shared" si="4"/>
        <v>1572328.6400000001</v>
      </c>
      <c r="G21" s="87">
        <f t="shared" si="7"/>
        <v>29</v>
      </c>
      <c r="H21" s="87">
        <f t="shared" si="5"/>
        <v>365</v>
      </c>
      <c r="I21" s="95">
        <f t="shared" si="10"/>
        <v>750000</v>
      </c>
      <c r="J21" s="95">
        <f>SUM($I$8:I20)</f>
        <v>9750000</v>
      </c>
      <c r="K21" s="95">
        <f t="shared" si="9"/>
        <v>17250000</v>
      </c>
      <c r="L21" s="89">
        <f>ROUND(C21*'Общие данные'!$B$84/H21,2)*G21</f>
        <v>822328.64</v>
      </c>
      <c r="M21" s="89">
        <f t="shared" si="0"/>
        <v>1572328.6400000001</v>
      </c>
      <c r="N21" s="89"/>
      <c r="O21" s="104" t="str">
        <f t="shared" si="8"/>
        <v>Вт</v>
      </c>
      <c r="P21" s="106">
        <f t="shared" si="6"/>
        <v>0</v>
      </c>
      <c r="Q21" s="106">
        <f>DAY('Общие данные'!$B$78)+P21</f>
        <v>5</v>
      </c>
      <c r="R21" s="101">
        <f>IF(A21&lt;='Общие данные'!$B$81,DATE(YEAR($B$8),MONTH($B$8)+A20,DAY('Общие данные'!$B$78)),0)</f>
        <v>46147</v>
      </c>
      <c r="S21" s="87"/>
      <c r="T21" s="87"/>
      <c r="U21" s="87"/>
      <c r="V21" s="87"/>
    </row>
    <row r="22" spans="1:22">
      <c r="A22" s="93">
        <v>15</v>
      </c>
      <c r="B22" s="94">
        <f>IF(A22&lt;='Общие данные'!$B$81,DATE(YEAR(R22),MONTH(R22),DAY(IF(A22='Общие данные'!$B$81,'Общие данные'!$B$67,IF(A22&lt;'Общие данные'!$B$81,(Q22),IF(A22&gt;'Общие данные'!$B$81,$H$44,0))))))</f>
        <v>46178</v>
      </c>
      <c r="C22" s="51">
        <f t="shared" si="1"/>
        <v>16500000</v>
      </c>
      <c r="D22" s="51">
        <f t="shared" si="2"/>
        <v>750000</v>
      </c>
      <c r="E22" s="51">
        <f t="shared" si="3"/>
        <v>840821.99</v>
      </c>
      <c r="F22" s="51">
        <f t="shared" si="4"/>
        <v>1590821.99</v>
      </c>
      <c r="G22" s="87">
        <f t="shared" si="7"/>
        <v>31</v>
      </c>
      <c r="H22" s="87">
        <f t="shared" si="5"/>
        <v>365</v>
      </c>
      <c r="I22" s="95">
        <f t="shared" si="10"/>
        <v>750000</v>
      </c>
      <c r="J22" s="95">
        <f>SUM($I$8:I21)</f>
        <v>10500000</v>
      </c>
      <c r="K22" s="95">
        <f t="shared" si="9"/>
        <v>16500000</v>
      </c>
      <c r="L22" s="89">
        <f>ROUND(C22*'Общие данные'!$B$84/H22,2)*G22</f>
        <v>840821.99</v>
      </c>
      <c r="M22" s="89">
        <f t="shared" si="0"/>
        <v>1590821.99</v>
      </c>
      <c r="N22" s="89"/>
      <c r="O22" s="104" t="str">
        <f t="shared" si="8"/>
        <v>Пт</v>
      </c>
      <c r="P22" s="106">
        <f t="shared" si="6"/>
        <v>0</v>
      </c>
      <c r="Q22" s="106">
        <f>DAY('Общие данные'!$B$78)+P22</f>
        <v>5</v>
      </c>
      <c r="R22" s="101">
        <f>IF(A22&lt;='Общие данные'!$B$81,DATE(YEAR($B$8),MONTH($B$8)+A21,DAY('Общие данные'!$B$78)),0)</f>
        <v>46178</v>
      </c>
      <c r="S22" s="87"/>
      <c r="T22" s="87"/>
      <c r="U22" s="87"/>
      <c r="V22" s="87"/>
    </row>
    <row r="23" spans="1:22">
      <c r="A23" s="93">
        <v>16</v>
      </c>
      <c r="B23" s="94">
        <f>IF(A23&lt;='Общие данные'!$B$81,DATE(YEAR(R23),MONTH(R23),DAY(IF(A23='Общие данные'!$B$81,'Общие данные'!$B$67,IF(A23&lt;'Общие данные'!$B$81,(Q23),IF(A23&gt;'Общие данные'!$B$81,$H$44,0))))))</f>
        <v>46209</v>
      </c>
      <c r="C23" s="51">
        <f t="shared" si="1"/>
        <v>15750000</v>
      </c>
      <c r="D23" s="51">
        <f t="shared" si="2"/>
        <v>750000</v>
      </c>
      <c r="E23" s="51">
        <f t="shared" si="3"/>
        <v>802602.71</v>
      </c>
      <c r="F23" s="51">
        <f t="shared" si="4"/>
        <v>1552602.71</v>
      </c>
      <c r="G23" s="87">
        <f t="shared" si="7"/>
        <v>31</v>
      </c>
      <c r="H23" s="87">
        <f t="shared" si="5"/>
        <v>365</v>
      </c>
      <c r="I23" s="95">
        <f t="shared" si="10"/>
        <v>750000</v>
      </c>
      <c r="J23" s="95">
        <f>SUM($I$8:I22)</f>
        <v>11250000</v>
      </c>
      <c r="K23" s="95">
        <f t="shared" si="9"/>
        <v>15750000</v>
      </c>
      <c r="L23" s="89">
        <f>ROUND(C23*'Общие данные'!$B$84/H23,2)*G23</f>
        <v>802602.71</v>
      </c>
      <c r="M23" s="89">
        <f t="shared" si="0"/>
        <v>1552602.71</v>
      </c>
      <c r="N23" s="89"/>
      <c r="O23" s="104" t="str">
        <f t="shared" si="8"/>
        <v>Вс</v>
      </c>
      <c r="P23" s="106">
        <f t="shared" si="6"/>
        <v>1</v>
      </c>
      <c r="Q23" s="106">
        <f>DAY('Общие данные'!$B$78)+P23</f>
        <v>6</v>
      </c>
      <c r="R23" s="101">
        <f>IF(A23&lt;='Общие данные'!$B$81,DATE(YEAR($B$8),MONTH($B$8)+A22,DAY('Общие данные'!$B$78)),0)</f>
        <v>46208</v>
      </c>
      <c r="S23" s="87"/>
      <c r="T23" s="87"/>
      <c r="U23" s="87"/>
      <c r="V23" s="87"/>
    </row>
    <row r="24" spans="1:22">
      <c r="A24" s="93">
        <v>17</v>
      </c>
      <c r="B24" s="94">
        <f>IF(A24&lt;='Общие данные'!$B$81,DATE(YEAR(R24),MONTH(R24),DAY(IF(A24='Общие данные'!$B$81,'Общие данные'!$B$67,IF(A24&lt;'Общие данные'!$B$81,(Q24),IF(A24&gt;'Общие данные'!$B$81,$H$44,0))))))</f>
        <v>46239</v>
      </c>
      <c r="C24" s="51">
        <f t="shared" si="1"/>
        <v>15000000</v>
      </c>
      <c r="D24" s="51">
        <f t="shared" si="2"/>
        <v>750000</v>
      </c>
      <c r="E24" s="51">
        <f t="shared" si="3"/>
        <v>739725.89999999991</v>
      </c>
      <c r="F24" s="51">
        <f t="shared" si="4"/>
        <v>1489725.9</v>
      </c>
      <c r="G24" s="87">
        <f t="shared" si="7"/>
        <v>30</v>
      </c>
      <c r="H24" s="87">
        <f t="shared" si="5"/>
        <v>365</v>
      </c>
      <c r="I24" s="95">
        <f t="shared" si="10"/>
        <v>750000</v>
      </c>
      <c r="J24" s="95">
        <f>SUM($I$8:I23)</f>
        <v>12000000</v>
      </c>
      <c r="K24" s="95">
        <f t="shared" si="9"/>
        <v>15000000</v>
      </c>
      <c r="L24" s="89">
        <f>ROUND(C24*'Общие данные'!$B$84/H24,2)*G24</f>
        <v>739725.89999999991</v>
      </c>
      <c r="M24" s="89">
        <f t="shared" si="0"/>
        <v>1489725.9</v>
      </c>
      <c r="N24" s="89"/>
      <c r="O24" s="104" t="str">
        <f t="shared" si="8"/>
        <v>Ср</v>
      </c>
      <c r="P24" s="106">
        <f t="shared" si="6"/>
        <v>0</v>
      </c>
      <c r="Q24" s="106">
        <f>DAY('Общие данные'!$B$78)+P24</f>
        <v>5</v>
      </c>
      <c r="R24" s="101">
        <f>IF(A24&lt;='Общие данные'!$B$81,DATE(YEAR($B$8),MONTH($B$8)+A23,DAY('Общие данные'!$B$78)),0)</f>
        <v>46239</v>
      </c>
      <c r="S24" s="87"/>
      <c r="T24" s="87"/>
      <c r="U24" s="87"/>
      <c r="V24" s="87"/>
    </row>
    <row r="25" spans="1:22">
      <c r="A25" s="93">
        <v>18</v>
      </c>
      <c r="B25" s="94">
        <f>IF(A25&lt;='Общие данные'!$B$81,DATE(YEAR(R25),MONTH(R25),DAY(IF(A25='Общие данные'!$B$81,'Общие данные'!$B$67,IF(A25&lt;'Общие данные'!$B$81,(Q25),IF(A25&gt;'Общие данные'!$B$81,$H$44,0))))))</f>
        <v>46272</v>
      </c>
      <c r="C25" s="51">
        <f t="shared" si="1"/>
        <v>14250000</v>
      </c>
      <c r="D25" s="51">
        <f t="shared" si="2"/>
        <v>750000</v>
      </c>
      <c r="E25" s="51">
        <f t="shared" si="3"/>
        <v>773013.78</v>
      </c>
      <c r="F25" s="51">
        <f t="shared" si="4"/>
        <v>1523013.78</v>
      </c>
      <c r="G25" s="87">
        <f t="shared" si="7"/>
        <v>33</v>
      </c>
      <c r="H25" s="87">
        <f t="shared" si="5"/>
        <v>365</v>
      </c>
      <c r="I25" s="95">
        <f t="shared" si="10"/>
        <v>750000</v>
      </c>
      <c r="J25" s="95">
        <f>SUM($I$8:I24)</f>
        <v>12750000</v>
      </c>
      <c r="K25" s="95">
        <f t="shared" si="9"/>
        <v>14250000</v>
      </c>
      <c r="L25" s="89">
        <f>ROUND(C25*'Общие данные'!$B$84/H25,2)*G25</f>
        <v>773013.78</v>
      </c>
      <c r="M25" s="89">
        <f t="shared" si="0"/>
        <v>1523013.78</v>
      </c>
      <c r="N25" s="89"/>
      <c r="O25" s="104" t="str">
        <f t="shared" si="8"/>
        <v>Сб</v>
      </c>
      <c r="P25" s="106">
        <f t="shared" si="6"/>
        <v>2</v>
      </c>
      <c r="Q25" s="106">
        <f>DAY('Общие данные'!$B$78)+P25</f>
        <v>7</v>
      </c>
      <c r="R25" s="101">
        <f>IF(A25&lt;='Общие данные'!$B$81,DATE(YEAR($B$8),MONTH($B$8)+A24,DAY('Общие данные'!$B$78)),0)</f>
        <v>46270</v>
      </c>
      <c r="S25" s="87"/>
      <c r="T25" s="87"/>
      <c r="U25" s="87"/>
      <c r="V25" s="87"/>
    </row>
    <row r="26" spans="1:22">
      <c r="A26" s="93">
        <v>19</v>
      </c>
      <c r="B26" s="94">
        <f>IF(A26&lt;='Общие данные'!$B$81,DATE(YEAR(R26),MONTH(R26),DAY(IF(A26='Общие данные'!$B$81,'Общие данные'!$B$67,IF(A26&lt;'Общие данные'!$B$81,(Q26),IF(A26&gt;'Общие данные'!$B$81,$H$44,0))))))</f>
        <v>46300</v>
      </c>
      <c r="C26" s="51">
        <f t="shared" si="1"/>
        <v>13500000</v>
      </c>
      <c r="D26" s="51">
        <f t="shared" si="2"/>
        <v>750000</v>
      </c>
      <c r="E26" s="51">
        <f t="shared" si="3"/>
        <v>621369.84</v>
      </c>
      <c r="F26" s="51">
        <f t="shared" si="4"/>
        <v>1371369.8399999999</v>
      </c>
      <c r="G26" s="87">
        <f t="shared" si="7"/>
        <v>28</v>
      </c>
      <c r="H26" s="87">
        <f t="shared" si="5"/>
        <v>365</v>
      </c>
      <c r="I26" s="95">
        <f t="shared" si="10"/>
        <v>750000</v>
      </c>
      <c r="J26" s="95">
        <f>SUM($I$8:I25)</f>
        <v>13500000</v>
      </c>
      <c r="K26" s="95">
        <f t="shared" si="9"/>
        <v>13500000</v>
      </c>
      <c r="L26" s="89">
        <f>ROUND(C26*'Общие данные'!$B$84/H26,2)*G26</f>
        <v>621369.84</v>
      </c>
      <c r="M26" s="89">
        <f t="shared" si="0"/>
        <v>1371369.8399999999</v>
      </c>
      <c r="N26" s="89"/>
      <c r="O26" s="104" t="str">
        <f t="shared" si="8"/>
        <v>Пн</v>
      </c>
      <c r="P26" s="106">
        <f t="shared" si="6"/>
        <v>0</v>
      </c>
      <c r="Q26" s="106">
        <f>DAY('Общие данные'!$B$78)+P26</f>
        <v>5</v>
      </c>
      <c r="R26" s="101">
        <f>IF(A26&lt;='Общие данные'!$B$81,DATE(YEAR($B$8),MONTH($B$8)+A25,DAY('Общие данные'!$B$78)),0)</f>
        <v>46300</v>
      </c>
      <c r="S26" s="87"/>
      <c r="T26" s="87"/>
      <c r="U26" s="87"/>
      <c r="V26" s="87"/>
    </row>
    <row r="27" spans="1:22">
      <c r="A27" s="93">
        <v>20</v>
      </c>
      <c r="B27" s="94">
        <f>IF(A27&lt;='Общие данные'!$B$81,DATE(YEAR(R27),MONTH(R27),DAY(IF(A27='Общие данные'!$B$81,'Общие данные'!$B$67,IF(A27&lt;'Общие данные'!$B$81,(Q27),IF(A27&gt;'Общие данные'!$B$81,$H$44,0))))))</f>
        <v>46331</v>
      </c>
      <c r="C27" s="51">
        <f t="shared" si="1"/>
        <v>12750000</v>
      </c>
      <c r="D27" s="51">
        <f t="shared" si="2"/>
        <v>750000</v>
      </c>
      <c r="E27" s="51">
        <f t="shared" si="3"/>
        <v>649725.9</v>
      </c>
      <c r="F27" s="51">
        <f t="shared" si="4"/>
        <v>1399725.9</v>
      </c>
      <c r="G27" s="87">
        <f t="shared" si="7"/>
        <v>31</v>
      </c>
      <c r="H27" s="87">
        <f t="shared" si="5"/>
        <v>365</v>
      </c>
      <c r="I27" s="95">
        <f t="shared" si="10"/>
        <v>750000</v>
      </c>
      <c r="J27" s="95">
        <f>SUM($I$8:I26)</f>
        <v>14250000</v>
      </c>
      <c r="K27" s="95">
        <f t="shared" si="9"/>
        <v>12750000</v>
      </c>
      <c r="L27" s="89">
        <f>ROUND(C27*'Общие данные'!$B$84/H27,2)*G27</f>
        <v>649725.9</v>
      </c>
      <c r="M27" s="89">
        <f t="shared" si="0"/>
        <v>1399725.9</v>
      </c>
      <c r="N27" s="89"/>
      <c r="O27" s="104" t="str">
        <f t="shared" si="8"/>
        <v>Чт</v>
      </c>
      <c r="P27" s="106">
        <f t="shared" si="6"/>
        <v>0</v>
      </c>
      <c r="Q27" s="106">
        <f>DAY('Общие данные'!$B$78)+P27</f>
        <v>5</v>
      </c>
      <c r="R27" s="101">
        <f>IF(A27&lt;='Общие данные'!$B$81,DATE(YEAR($B$8),MONTH($B$8)+A26,DAY('Общие данные'!$B$78)),0)</f>
        <v>46331</v>
      </c>
      <c r="S27" s="87"/>
      <c r="T27" s="87"/>
      <c r="U27" s="87"/>
      <c r="V27" s="87"/>
    </row>
    <row r="28" spans="1:22">
      <c r="A28" s="93">
        <v>21</v>
      </c>
      <c r="B28" s="94">
        <f>IF(A28&lt;='Общие данные'!$B$81,DATE(YEAR(R28),MONTH(R28),DAY(IF(A28='Общие данные'!$B$81,'Общие данные'!$B$67,IF(A28&lt;'Общие данные'!$B$81,(Q28),IF(A28&gt;'Общие данные'!$B$81,$H$44,0))))))</f>
        <v>46363</v>
      </c>
      <c r="C28" s="51">
        <f t="shared" si="1"/>
        <v>12000000</v>
      </c>
      <c r="D28" s="51">
        <f t="shared" si="2"/>
        <v>750000</v>
      </c>
      <c r="E28" s="51">
        <f t="shared" si="3"/>
        <v>631232.96</v>
      </c>
      <c r="F28" s="51">
        <f t="shared" si="4"/>
        <v>1381232.96</v>
      </c>
      <c r="G28" s="87">
        <f t="shared" si="7"/>
        <v>32</v>
      </c>
      <c r="H28" s="87">
        <f t="shared" si="5"/>
        <v>365</v>
      </c>
      <c r="I28" s="95">
        <f t="shared" si="10"/>
        <v>750000</v>
      </c>
      <c r="J28" s="95">
        <f>SUM($I$8:I27)</f>
        <v>15000000</v>
      </c>
      <c r="K28" s="95">
        <f t="shared" si="9"/>
        <v>12000000</v>
      </c>
      <c r="L28" s="89">
        <f>ROUND(C28*'Общие данные'!$B$84/H28,2)*G28</f>
        <v>631232.96</v>
      </c>
      <c r="M28" s="89">
        <f t="shared" si="0"/>
        <v>1381232.96</v>
      </c>
      <c r="N28" s="89"/>
      <c r="O28" s="104" t="str">
        <f t="shared" si="8"/>
        <v>Сб</v>
      </c>
      <c r="P28" s="106">
        <f t="shared" si="6"/>
        <v>2</v>
      </c>
      <c r="Q28" s="106">
        <f>DAY('Общие данные'!$B$78)+P28</f>
        <v>7</v>
      </c>
      <c r="R28" s="101">
        <f>IF(A28&lt;='Общие данные'!$B$81,DATE(YEAR($B$8),MONTH($B$8)+A27,DAY('Общие данные'!$B$78)),0)</f>
        <v>46361</v>
      </c>
      <c r="S28" s="87"/>
      <c r="T28" s="87"/>
      <c r="U28" s="87"/>
      <c r="V28" s="87"/>
    </row>
    <row r="29" spans="1:22">
      <c r="A29" s="93">
        <v>22</v>
      </c>
      <c r="B29" s="94">
        <f>IF(A29&lt;='Общие данные'!$B$81,DATE(YEAR(R29),MONTH(R29),DAY(IF(A29='Общие данные'!$B$81,'Общие данные'!$B$67,IF(A29&lt;'Общие данные'!$B$81,(Q29),IF(A29&gt;'Общие данные'!$B$81,$H$44,0))))))</f>
        <v>46392</v>
      </c>
      <c r="C29" s="51">
        <f t="shared" si="1"/>
        <v>11250000</v>
      </c>
      <c r="D29" s="51">
        <f t="shared" si="2"/>
        <v>750000</v>
      </c>
      <c r="E29" s="51">
        <f t="shared" si="3"/>
        <v>536301.35000000009</v>
      </c>
      <c r="F29" s="51">
        <f t="shared" si="4"/>
        <v>1286301.3500000001</v>
      </c>
      <c r="G29" s="87">
        <f t="shared" si="7"/>
        <v>29</v>
      </c>
      <c r="H29" s="87">
        <f t="shared" si="5"/>
        <v>365</v>
      </c>
      <c r="I29" s="95">
        <f t="shared" si="10"/>
        <v>750000</v>
      </c>
      <c r="J29" s="95">
        <f>SUM($I$8:I28)</f>
        <v>15750000</v>
      </c>
      <c r="K29" s="95">
        <f t="shared" si="9"/>
        <v>11250000</v>
      </c>
      <c r="L29" s="89">
        <f>ROUND(C29*'Общие данные'!$B$84/H29,2)*G29</f>
        <v>536301.35000000009</v>
      </c>
      <c r="M29" s="89">
        <f t="shared" si="0"/>
        <v>1286301.3500000001</v>
      </c>
      <c r="N29" s="89"/>
      <c r="O29" s="104" t="str">
        <f t="shared" si="8"/>
        <v>Вт</v>
      </c>
      <c r="P29" s="106">
        <f t="shared" si="6"/>
        <v>0</v>
      </c>
      <c r="Q29" s="106">
        <f>DAY('Общие данные'!$B$78)+P29</f>
        <v>5</v>
      </c>
      <c r="R29" s="101">
        <f>IF(A29&lt;='Общие данные'!$B$81,DATE(YEAR($B$8),MONTH($B$8)+A28,DAY('Общие данные'!$B$78)),0)</f>
        <v>46392</v>
      </c>
      <c r="S29" s="87"/>
      <c r="T29" s="87"/>
      <c r="U29" s="87"/>
      <c r="V29" s="87"/>
    </row>
    <row r="30" spans="1:22">
      <c r="A30" s="93">
        <v>23</v>
      </c>
      <c r="B30" s="94">
        <f>IF(A30&lt;='Общие данные'!$B$81,DATE(YEAR(R30),MONTH(R30),DAY(IF(A30='Общие данные'!$B$81,'Общие данные'!$B$67,IF(A30&lt;'Общие данные'!$B$81,(Q30),IF(A30&gt;'Общие данные'!$B$81,$H$44,0))))))</f>
        <v>46423</v>
      </c>
      <c r="C30" s="51">
        <f t="shared" si="1"/>
        <v>10500000</v>
      </c>
      <c r="D30" s="51">
        <f t="shared" si="2"/>
        <v>750000</v>
      </c>
      <c r="E30" s="51">
        <f t="shared" si="3"/>
        <v>535068.37</v>
      </c>
      <c r="F30" s="51">
        <f t="shared" si="4"/>
        <v>1285068.3700000001</v>
      </c>
      <c r="G30" s="87">
        <f t="shared" si="7"/>
        <v>31</v>
      </c>
      <c r="H30" s="87">
        <f t="shared" si="5"/>
        <v>365</v>
      </c>
      <c r="I30" s="95">
        <f t="shared" si="10"/>
        <v>750000</v>
      </c>
      <c r="J30" s="95">
        <f>SUM($I$8:I29)</f>
        <v>16500000</v>
      </c>
      <c r="K30" s="95">
        <f t="shared" si="9"/>
        <v>10500000</v>
      </c>
      <c r="L30" s="89">
        <f>ROUND(C30*'Общие данные'!$B$84/H30,2)*G30</f>
        <v>535068.37</v>
      </c>
      <c r="M30" s="89">
        <f t="shared" si="0"/>
        <v>1285068.3700000001</v>
      </c>
      <c r="N30" s="89"/>
      <c r="O30" s="104" t="str">
        <f t="shared" si="8"/>
        <v>Пт</v>
      </c>
      <c r="P30" s="106">
        <f t="shared" si="6"/>
        <v>0</v>
      </c>
      <c r="Q30" s="106">
        <f>DAY('Общие данные'!$B$78)+P30</f>
        <v>5</v>
      </c>
      <c r="R30" s="101">
        <f>IF(A30&lt;='Общие данные'!$B$81,DATE(YEAR($B$8),MONTH($B$8)+A29,DAY('Общие данные'!$B$78)),0)</f>
        <v>46423</v>
      </c>
      <c r="S30" s="87"/>
      <c r="T30" s="87"/>
      <c r="U30" s="87"/>
      <c r="V30" s="87"/>
    </row>
    <row r="31" spans="1:22">
      <c r="A31" s="93">
        <v>24</v>
      </c>
      <c r="B31" s="94">
        <f>IF(A31&lt;='Общие данные'!$B$81,DATE(YEAR(R31),MONTH(R31),DAY(IF(A31='Общие данные'!$B$81,'Общие данные'!$B$67,IF(A31&lt;'Общие данные'!$B$81,(Q31),IF(A31&gt;'Общие данные'!$B$81,$H$44,0))))))</f>
        <v>46451</v>
      </c>
      <c r="C31" s="51">
        <f t="shared" ref="C31" si="11">C30-D30</f>
        <v>9750000</v>
      </c>
      <c r="D31" s="51">
        <f t="shared" ref="D31" si="12">IF(C31=0,L31,IF(C31&gt;1,I31))</f>
        <v>750000</v>
      </c>
      <c r="E31" s="51">
        <f t="shared" ref="E31" si="13">IF(C31=0,N30,IF(C31&gt;1,L31))</f>
        <v>448767.2</v>
      </c>
      <c r="F31" s="51">
        <f t="shared" ref="F31" si="14">IF(C31=0,N30,IF(C31&gt;1,M31))</f>
        <v>1198767.2</v>
      </c>
      <c r="G31" s="87">
        <f t="shared" si="7"/>
        <v>28</v>
      </c>
      <c r="H31" s="87">
        <f t="shared" si="5"/>
        <v>365</v>
      </c>
      <c r="I31" s="95">
        <f t="shared" si="10"/>
        <v>750000</v>
      </c>
      <c r="J31" s="95">
        <f>SUM($I$8:I30)</f>
        <v>17250000</v>
      </c>
      <c r="K31" s="95">
        <f t="shared" si="9"/>
        <v>9750000</v>
      </c>
      <c r="L31" s="89">
        <f>ROUND(C31*'Общие данные'!$B$84/H31,2)*G31</f>
        <v>448767.2</v>
      </c>
      <c r="M31" s="89">
        <f t="shared" si="0"/>
        <v>1198767.2</v>
      </c>
      <c r="N31" s="89"/>
      <c r="O31" s="104" t="str">
        <f t="shared" si="8"/>
        <v>Пт</v>
      </c>
      <c r="P31" s="106">
        <f t="shared" si="6"/>
        <v>0</v>
      </c>
      <c r="Q31" s="106">
        <f>DAY('Общие данные'!$B$78)+P31</f>
        <v>5</v>
      </c>
      <c r="R31" s="101">
        <f>IF(A31&lt;='Общие данные'!$B$81,DATE(YEAR($B$8),MONTH($B$8)+A30,DAY('Общие данные'!$B$78)),0)</f>
        <v>46451</v>
      </c>
      <c r="S31" s="87"/>
      <c r="T31" s="87"/>
      <c r="U31" s="87"/>
      <c r="V31" s="87"/>
    </row>
    <row r="32" spans="1:22">
      <c r="A32" s="93">
        <f>1+A31</f>
        <v>25</v>
      </c>
      <c r="B32" s="94">
        <f>IF(A32&lt;='Общие данные'!$B$81,DATE(YEAR(R32),MONTH(R32),DAY(IF(A32='Общие данные'!$B$81,'Общие данные'!$B$67,IF(A32&lt;'Общие данные'!$B$81,(Q32),IF(A32&gt;'Общие данные'!$B$81,$H$44,0))))))</f>
        <v>46482</v>
      </c>
      <c r="C32" s="51">
        <f t="shared" ref="C32:C42" si="15">C31-D31</f>
        <v>9000000</v>
      </c>
      <c r="D32" s="51">
        <f t="shared" ref="D32:D42" si="16">IF(C32=0,L32,IF(C32&gt;1,I32))</f>
        <v>750000</v>
      </c>
      <c r="E32" s="51">
        <f t="shared" ref="E32:E42" si="17">IF(C32=0,N31,IF(C32&gt;1,L32))</f>
        <v>458630.12</v>
      </c>
      <c r="F32" s="51">
        <f t="shared" ref="F32:F42" si="18">IF(C32=0,N31,IF(C32&gt;1,M32))</f>
        <v>1208630.1200000001</v>
      </c>
      <c r="G32" s="87">
        <f t="shared" ref="G32:G42" si="19">B32-B31</f>
        <v>31</v>
      </c>
      <c r="H32" s="87">
        <f t="shared" ref="H32:H42" si="20">DATE(YEAR(B32),12,31)-DATE(YEAR(B32),1,1)+1</f>
        <v>365</v>
      </c>
      <c r="I32" s="95">
        <f t="shared" ref="I32:I42" si="21">IF($L$5=A32,K32,IF($L$5&gt;A32,I31))</f>
        <v>750000</v>
      </c>
      <c r="J32" s="95">
        <f>SUM($I$8:I31)</f>
        <v>18000000</v>
      </c>
      <c r="K32" s="95">
        <f t="shared" ref="K32:K42" si="22">$J$12-J32</f>
        <v>9000000</v>
      </c>
      <c r="L32" s="89">
        <f>ROUND(C32*'Общие данные'!$B$84/H32,2)*G32</f>
        <v>458630.12</v>
      </c>
      <c r="M32" s="89">
        <f t="shared" ref="M32:M42" si="23">D32+E32</f>
        <v>1208630.1200000001</v>
      </c>
      <c r="N32" s="89"/>
      <c r="O32" s="104" t="str">
        <f t="shared" ref="O32:O42" si="24">TEXT(R32,"ддд")</f>
        <v>Пн</v>
      </c>
      <c r="P32" s="106">
        <f t="shared" ref="P32:P42" si="25">IF(O32=$U$8,2,IF(O32=$V$8,1,0))</f>
        <v>0</v>
      </c>
      <c r="Q32" s="106">
        <f>DAY('Общие данные'!$B$78)+P32</f>
        <v>5</v>
      </c>
      <c r="R32" s="101">
        <f>IF(A32&lt;='Общие данные'!$B$81,DATE(YEAR($B$8),MONTH($B$8)+A31,DAY('Общие данные'!$B$78)),0)</f>
        <v>46482</v>
      </c>
      <c r="S32" s="87"/>
      <c r="T32" s="87"/>
      <c r="U32" s="87"/>
      <c r="V32" s="87"/>
    </row>
    <row r="33" spans="1:22">
      <c r="A33" s="93">
        <f t="shared" ref="A33:A42" si="26">1+A32</f>
        <v>26</v>
      </c>
      <c r="B33" s="94">
        <f>IF(A33&lt;='Общие данные'!$B$81,DATE(YEAR(R33),MONTH(R33),DAY(IF(A33='Общие данные'!$B$81,'Общие данные'!$B$67,IF(A33&lt;'Общие данные'!$B$81,(Q33),IF(A33&gt;'Общие данные'!$B$81,$H$44,0))))))</f>
        <v>46512</v>
      </c>
      <c r="C33" s="51">
        <f t="shared" si="15"/>
        <v>8250000</v>
      </c>
      <c r="D33" s="51">
        <f t="shared" si="16"/>
        <v>750000</v>
      </c>
      <c r="E33" s="51">
        <f t="shared" si="17"/>
        <v>406849.19999999995</v>
      </c>
      <c r="F33" s="51">
        <f t="shared" si="18"/>
        <v>1156849.2</v>
      </c>
      <c r="G33" s="87">
        <f t="shared" si="19"/>
        <v>30</v>
      </c>
      <c r="H33" s="87">
        <f t="shared" si="20"/>
        <v>365</v>
      </c>
      <c r="I33" s="95">
        <f t="shared" si="21"/>
        <v>750000</v>
      </c>
      <c r="J33" s="95">
        <f>SUM($I$8:I32)</f>
        <v>18750000</v>
      </c>
      <c r="K33" s="95">
        <f t="shared" si="22"/>
        <v>8250000</v>
      </c>
      <c r="L33" s="89">
        <f>ROUND(C33*'Общие данные'!$B$84/H33,2)*G33</f>
        <v>406849.19999999995</v>
      </c>
      <c r="M33" s="89">
        <f t="shared" si="23"/>
        <v>1156849.2</v>
      </c>
      <c r="N33" s="89"/>
      <c r="O33" s="104" t="str">
        <f t="shared" si="24"/>
        <v>Ср</v>
      </c>
      <c r="P33" s="106">
        <f t="shared" si="25"/>
        <v>0</v>
      </c>
      <c r="Q33" s="106">
        <f>DAY('Общие данные'!$B$78)+P33</f>
        <v>5</v>
      </c>
      <c r="R33" s="101">
        <f>IF(A33&lt;='Общие данные'!$B$81,DATE(YEAR($B$8),MONTH($B$8)+A32,DAY('Общие данные'!$B$78)),0)</f>
        <v>46512</v>
      </c>
      <c r="S33" s="87"/>
      <c r="T33" s="87"/>
      <c r="U33" s="87"/>
      <c r="V33" s="87"/>
    </row>
    <row r="34" spans="1:22">
      <c r="A34" s="93">
        <f t="shared" si="26"/>
        <v>27</v>
      </c>
      <c r="B34" s="94">
        <f>IF(A34&lt;='Общие данные'!$B$81,DATE(YEAR(R34),MONTH(R34),DAY(IF(A34='Общие данные'!$B$81,'Общие данные'!$B$67,IF(A34&lt;'Общие данные'!$B$81,(Q34),IF(A34&gt;'Общие данные'!$B$81,$H$44,0))))))</f>
        <v>46545</v>
      </c>
      <c r="C34" s="51">
        <f t="shared" si="15"/>
        <v>7500000</v>
      </c>
      <c r="D34" s="51">
        <f t="shared" si="16"/>
        <v>750000</v>
      </c>
      <c r="E34" s="51">
        <f t="shared" si="17"/>
        <v>406849.41000000003</v>
      </c>
      <c r="F34" s="51">
        <f t="shared" si="18"/>
        <v>1156849.4100000001</v>
      </c>
      <c r="G34" s="87">
        <f t="shared" si="19"/>
        <v>33</v>
      </c>
      <c r="H34" s="87">
        <f t="shared" si="20"/>
        <v>365</v>
      </c>
      <c r="I34" s="95">
        <f t="shared" si="21"/>
        <v>750000</v>
      </c>
      <c r="J34" s="95">
        <f>SUM($I$8:I33)</f>
        <v>19500000</v>
      </c>
      <c r="K34" s="95">
        <f t="shared" si="22"/>
        <v>7500000</v>
      </c>
      <c r="L34" s="89">
        <f>ROUND(C34*'Общие данные'!$B$84/H34,2)*G34</f>
        <v>406849.41000000003</v>
      </c>
      <c r="M34" s="89">
        <f t="shared" si="23"/>
        <v>1156849.4100000001</v>
      </c>
      <c r="N34" s="89"/>
      <c r="O34" s="104" t="str">
        <f t="shared" si="24"/>
        <v>Сб</v>
      </c>
      <c r="P34" s="106">
        <f t="shared" si="25"/>
        <v>2</v>
      </c>
      <c r="Q34" s="106">
        <f>DAY('Общие данные'!$B$78)+P34</f>
        <v>7</v>
      </c>
      <c r="R34" s="101">
        <f>IF(A34&lt;='Общие данные'!$B$81,DATE(YEAR($B$8),MONTH($B$8)+A33,DAY('Общие данные'!$B$78)),0)</f>
        <v>46543</v>
      </c>
      <c r="S34" s="87"/>
      <c r="T34" s="87"/>
      <c r="U34" s="87"/>
      <c r="V34" s="87"/>
    </row>
    <row r="35" spans="1:22">
      <c r="A35" s="93">
        <f t="shared" si="26"/>
        <v>28</v>
      </c>
      <c r="B35" s="94">
        <f>IF(A35&lt;='Общие данные'!$B$81,DATE(YEAR(R35),MONTH(R35),DAY(IF(A35='Общие данные'!$B$81,'Общие данные'!$B$67,IF(A35&lt;'Общие данные'!$B$81,(Q35),IF(A35&gt;'Общие данные'!$B$81,$H$44,0))))))</f>
        <v>46573</v>
      </c>
      <c r="C35" s="51">
        <f t="shared" si="15"/>
        <v>6750000</v>
      </c>
      <c r="D35" s="51">
        <f t="shared" si="16"/>
        <v>750000</v>
      </c>
      <c r="E35" s="51">
        <f t="shared" si="17"/>
        <v>310684.92</v>
      </c>
      <c r="F35" s="51">
        <f t="shared" si="18"/>
        <v>1060684.92</v>
      </c>
      <c r="G35" s="87">
        <f t="shared" si="19"/>
        <v>28</v>
      </c>
      <c r="H35" s="87">
        <f t="shared" si="20"/>
        <v>365</v>
      </c>
      <c r="I35" s="95">
        <f t="shared" si="21"/>
        <v>750000</v>
      </c>
      <c r="J35" s="95">
        <f>SUM($I$8:I34)</f>
        <v>20250000</v>
      </c>
      <c r="K35" s="95">
        <f t="shared" si="22"/>
        <v>6750000</v>
      </c>
      <c r="L35" s="89">
        <f>ROUND(C35*'Общие данные'!$B$84/H35,2)*G35</f>
        <v>310684.92</v>
      </c>
      <c r="M35" s="89">
        <f t="shared" si="23"/>
        <v>1060684.92</v>
      </c>
      <c r="N35" s="89"/>
      <c r="O35" s="104" t="str">
        <f t="shared" si="24"/>
        <v>Пн</v>
      </c>
      <c r="P35" s="106">
        <f t="shared" si="25"/>
        <v>0</v>
      </c>
      <c r="Q35" s="106">
        <f>DAY('Общие данные'!$B$78)+P35</f>
        <v>5</v>
      </c>
      <c r="R35" s="101">
        <f>IF(A35&lt;='Общие данные'!$B$81,DATE(YEAR($B$8),MONTH($B$8)+A34,DAY('Общие данные'!$B$78)),0)</f>
        <v>46573</v>
      </c>
      <c r="S35" s="87"/>
      <c r="T35" s="87"/>
      <c r="U35" s="87"/>
      <c r="V35" s="87"/>
    </row>
    <row r="36" spans="1:22">
      <c r="A36" s="93">
        <f t="shared" si="26"/>
        <v>29</v>
      </c>
      <c r="B36" s="94">
        <f>IF(A36&lt;='Общие данные'!$B$81,DATE(YEAR(R36),MONTH(R36),DAY(IF(A36='Общие данные'!$B$81,'Общие данные'!$B$67,IF(A36&lt;'Общие данные'!$B$81,(Q36),IF(A36&gt;'Общие данные'!$B$81,$H$44,0))))))</f>
        <v>46604</v>
      </c>
      <c r="C36" s="51">
        <f t="shared" si="15"/>
        <v>6000000</v>
      </c>
      <c r="D36" s="51">
        <f t="shared" si="16"/>
        <v>750000</v>
      </c>
      <c r="E36" s="51">
        <f t="shared" si="17"/>
        <v>305753.31</v>
      </c>
      <c r="F36" s="51">
        <f t="shared" si="18"/>
        <v>1055753.31</v>
      </c>
      <c r="G36" s="87">
        <f t="shared" si="19"/>
        <v>31</v>
      </c>
      <c r="H36" s="87">
        <f t="shared" si="20"/>
        <v>365</v>
      </c>
      <c r="I36" s="95">
        <f t="shared" si="21"/>
        <v>750000</v>
      </c>
      <c r="J36" s="95">
        <f>SUM($I$8:I35)</f>
        <v>21000000</v>
      </c>
      <c r="K36" s="95">
        <f t="shared" si="22"/>
        <v>6000000</v>
      </c>
      <c r="L36" s="89">
        <f>ROUND(C36*'Общие данные'!$B$84/H36,2)*G36</f>
        <v>305753.31</v>
      </c>
      <c r="M36" s="89">
        <f t="shared" si="23"/>
        <v>1055753.31</v>
      </c>
      <c r="N36" s="89"/>
      <c r="O36" s="104" t="str">
        <f t="shared" si="24"/>
        <v>Чт</v>
      </c>
      <c r="P36" s="106">
        <f t="shared" si="25"/>
        <v>0</v>
      </c>
      <c r="Q36" s="106">
        <f>DAY('Общие данные'!$B$78)+P36</f>
        <v>5</v>
      </c>
      <c r="R36" s="101">
        <f>IF(A36&lt;='Общие данные'!$B$81,DATE(YEAR($B$8),MONTH($B$8)+A35,DAY('Общие данные'!$B$78)),0)</f>
        <v>46604</v>
      </c>
      <c r="S36" s="87"/>
      <c r="T36" s="87"/>
      <c r="U36" s="87"/>
      <c r="V36" s="87"/>
    </row>
    <row r="37" spans="1:22">
      <c r="A37" s="93">
        <f t="shared" si="26"/>
        <v>30</v>
      </c>
      <c r="B37" s="94">
        <f>IF(A37&lt;='Общие данные'!$B$81,DATE(YEAR(R37),MONTH(R37),DAY(IF(A37='Общие данные'!$B$81,'Общие данные'!$B$67,IF(A37&lt;'Общие данные'!$B$81,(Q37),IF(A37&gt;'Общие данные'!$B$81,$H$44,0))))))</f>
        <v>46636</v>
      </c>
      <c r="C37" s="51">
        <f t="shared" si="15"/>
        <v>5250000</v>
      </c>
      <c r="D37" s="51">
        <f t="shared" si="16"/>
        <v>750000</v>
      </c>
      <c r="E37" s="51">
        <f t="shared" si="17"/>
        <v>276164.47999999998</v>
      </c>
      <c r="F37" s="51">
        <f t="shared" si="18"/>
        <v>1026164.48</v>
      </c>
      <c r="G37" s="87">
        <f t="shared" si="19"/>
        <v>32</v>
      </c>
      <c r="H37" s="87">
        <f t="shared" si="20"/>
        <v>365</v>
      </c>
      <c r="I37" s="95">
        <f t="shared" si="21"/>
        <v>750000</v>
      </c>
      <c r="J37" s="95">
        <f>SUM($I$8:I36)</f>
        <v>21750000</v>
      </c>
      <c r="K37" s="95">
        <f t="shared" si="22"/>
        <v>5250000</v>
      </c>
      <c r="L37" s="89">
        <f>ROUND(C37*'Общие данные'!$B$84/H37,2)*G37</f>
        <v>276164.47999999998</v>
      </c>
      <c r="M37" s="89">
        <f t="shared" si="23"/>
        <v>1026164.48</v>
      </c>
      <c r="N37" s="89"/>
      <c r="O37" s="104" t="str">
        <f t="shared" si="24"/>
        <v>Вс</v>
      </c>
      <c r="P37" s="106">
        <f t="shared" si="25"/>
        <v>1</v>
      </c>
      <c r="Q37" s="106">
        <f>DAY('Общие данные'!$B$78)+P37</f>
        <v>6</v>
      </c>
      <c r="R37" s="101">
        <f>IF(A37&lt;='Общие данные'!$B$81,DATE(YEAR($B$8),MONTH($B$8)+A36,DAY('Общие данные'!$B$78)),0)</f>
        <v>46635</v>
      </c>
      <c r="S37" s="87"/>
      <c r="T37" s="87"/>
      <c r="U37" s="87"/>
      <c r="V37" s="87"/>
    </row>
    <row r="38" spans="1:22">
      <c r="A38" s="93">
        <f t="shared" si="26"/>
        <v>31</v>
      </c>
      <c r="B38" s="94">
        <f>IF(A38&lt;='Общие данные'!$B$81,DATE(YEAR(R38),MONTH(R38),DAY(IF(A38='Общие данные'!$B$81,'Общие данные'!$B$67,IF(A38&lt;'Общие данные'!$B$81,(Q38),IF(A38&gt;'Общие данные'!$B$81,$H$44,0))))))</f>
        <v>46665</v>
      </c>
      <c r="C38" s="51">
        <f t="shared" si="15"/>
        <v>4500000</v>
      </c>
      <c r="D38" s="51">
        <f t="shared" si="16"/>
        <v>750000</v>
      </c>
      <c r="E38" s="51">
        <f t="shared" si="17"/>
        <v>214520.54</v>
      </c>
      <c r="F38" s="51">
        <f t="shared" si="18"/>
        <v>964520.54</v>
      </c>
      <c r="G38" s="87">
        <f t="shared" si="19"/>
        <v>29</v>
      </c>
      <c r="H38" s="87">
        <f t="shared" si="20"/>
        <v>365</v>
      </c>
      <c r="I38" s="95">
        <f t="shared" si="21"/>
        <v>750000</v>
      </c>
      <c r="J38" s="95">
        <f>SUM($I$8:I37)</f>
        <v>22500000</v>
      </c>
      <c r="K38" s="95">
        <f t="shared" si="22"/>
        <v>4500000</v>
      </c>
      <c r="L38" s="89">
        <f>ROUND(C38*'Общие данные'!$B$84/H38,2)*G38</f>
        <v>214520.54</v>
      </c>
      <c r="M38" s="89">
        <f t="shared" si="23"/>
        <v>964520.54</v>
      </c>
      <c r="N38" s="89"/>
      <c r="O38" s="104" t="str">
        <f t="shared" si="24"/>
        <v>Вт</v>
      </c>
      <c r="P38" s="106">
        <f t="shared" si="25"/>
        <v>0</v>
      </c>
      <c r="Q38" s="106">
        <f>DAY('Общие данные'!$B$78)+P38</f>
        <v>5</v>
      </c>
      <c r="R38" s="101">
        <f>IF(A38&lt;='Общие данные'!$B$81,DATE(YEAR($B$8),MONTH($B$8)+A37,DAY('Общие данные'!$B$78)),0)</f>
        <v>46665</v>
      </c>
      <c r="S38" s="87"/>
      <c r="T38" s="87"/>
      <c r="U38" s="87"/>
      <c r="V38" s="87"/>
    </row>
    <row r="39" spans="1:22">
      <c r="A39" s="93">
        <f t="shared" si="26"/>
        <v>32</v>
      </c>
      <c r="B39" s="94">
        <f>IF(A39&lt;='Общие данные'!$B$81,DATE(YEAR(R39),MONTH(R39),DAY(IF(A39='Общие данные'!$B$81,'Общие данные'!$B$67,IF(A39&lt;'Общие данные'!$B$81,(Q39),IF(A39&gt;'Общие данные'!$B$81,$H$44,0))))))</f>
        <v>46696</v>
      </c>
      <c r="C39" s="51">
        <f t="shared" si="15"/>
        <v>3750000</v>
      </c>
      <c r="D39" s="51">
        <f t="shared" si="16"/>
        <v>750000</v>
      </c>
      <c r="E39" s="51">
        <f t="shared" si="17"/>
        <v>191095.78</v>
      </c>
      <c r="F39" s="51">
        <f t="shared" si="18"/>
        <v>941095.78</v>
      </c>
      <c r="G39" s="87">
        <f t="shared" si="19"/>
        <v>31</v>
      </c>
      <c r="H39" s="87">
        <f t="shared" si="20"/>
        <v>365</v>
      </c>
      <c r="I39" s="95">
        <f t="shared" si="21"/>
        <v>750000</v>
      </c>
      <c r="J39" s="95">
        <f>SUM($I$8:I38)</f>
        <v>23250000</v>
      </c>
      <c r="K39" s="95">
        <f t="shared" si="22"/>
        <v>3750000</v>
      </c>
      <c r="L39" s="89">
        <f>ROUND(C39*'Общие данные'!$B$84/H39,2)*G39</f>
        <v>191095.78</v>
      </c>
      <c r="M39" s="89">
        <f t="shared" si="23"/>
        <v>941095.78</v>
      </c>
      <c r="N39" s="89"/>
      <c r="O39" s="104" t="str">
        <f t="shared" si="24"/>
        <v>Пт</v>
      </c>
      <c r="P39" s="106">
        <f t="shared" si="25"/>
        <v>0</v>
      </c>
      <c r="Q39" s="106">
        <f>DAY('Общие данные'!$B$78)+P39</f>
        <v>5</v>
      </c>
      <c r="R39" s="101">
        <f>IF(A39&lt;='Общие данные'!$B$81,DATE(YEAR($B$8),MONTH($B$8)+A38,DAY('Общие данные'!$B$78)),0)</f>
        <v>46696</v>
      </c>
      <c r="S39" s="87"/>
      <c r="T39" s="87"/>
      <c r="U39" s="87"/>
      <c r="V39" s="87"/>
    </row>
    <row r="40" spans="1:22">
      <c r="A40" s="93">
        <f t="shared" si="26"/>
        <v>33</v>
      </c>
      <c r="B40" s="94">
        <f>IF(A40&lt;='Общие данные'!$B$81,DATE(YEAR(R40),MONTH(R40),DAY(IF(A40='Общие данные'!$B$81,'Общие данные'!$B$67,IF(A40&lt;'Общие данные'!$B$81,(Q40),IF(A40&gt;'Общие данные'!$B$81,$H$44,0))))))</f>
        <v>46727</v>
      </c>
      <c r="C40" s="51">
        <f t="shared" si="15"/>
        <v>3000000</v>
      </c>
      <c r="D40" s="51">
        <f t="shared" si="16"/>
        <v>750000</v>
      </c>
      <c r="E40" s="51">
        <f t="shared" si="17"/>
        <v>152876.81</v>
      </c>
      <c r="F40" s="51">
        <f t="shared" si="18"/>
        <v>902876.81</v>
      </c>
      <c r="G40" s="87">
        <f t="shared" si="19"/>
        <v>31</v>
      </c>
      <c r="H40" s="87">
        <f t="shared" si="20"/>
        <v>365</v>
      </c>
      <c r="I40" s="95">
        <f t="shared" si="21"/>
        <v>750000</v>
      </c>
      <c r="J40" s="95">
        <f>SUM($I$8:I39)</f>
        <v>24000000</v>
      </c>
      <c r="K40" s="95">
        <f t="shared" si="22"/>
        <v>3000000</v>
      </c>
      <c r="L40" s="89">
        <f>ROUND(C40*'Общие данные'!$B$84/H40,2)*G40</f>
        <v>152876.81</v>
      </c>
      <c r="M40" s="89">
        <f t="shared" si="23"/>
        <v>902876.81</v>
      </c>
      <c r="N40" s="89"/>
      <c r="O40" s="104" t="str">
        <f t="shared" si="24"/>
        <v>Вс</v>
      </c>
      <c r="P40" s="106">
        <f t="shared" si="25"/>
        <v>1</v>
      </c>
      <c r="Q40" s="106">
        <f>DAY('Общие данные'!$B$78)+P40</f>
        <v>6</v>
      </c>
      <c r="R40" s="101">
        <f>IF(A40&lt;='Общие данные'!$B$81,DATE(YEAR($B$8),MONTH($B$8)+A39,DAY('Общие данные'!$B$78)),0)</f>
        <v>46726</v>
      </c>
      <c r="S40" s="87"/>
      <c r="T40" s="87"/>
      <c r="U40" s="87"/>
      <c r="V40" s="87"/>
    </row>
    <row r="41" spans="1:22">
      <c r="A41" s="93">
        <f t="shared" si="26"/>
        <v>34</v>
      </c>
      <c r="B41" s="94">
        <f>IF(A41&lt;='Общие данные'!$B$81,DATE(YEAR(R41),MONTH(R41),DAY(IF(A41='Общие данные'!$B$81,'Общие данные'!$B$67,IF(A41&lt;'Общие данные'!$B$81,(Q41),IF(A41&gt;'Общие данные'!$B$81,$H$44,0))))))</f>
        <v>46757</v>
      </c>
      <c r="C41" s="51">
        <f t="shared" si="15"/>
        <v>2250000</v>
      </c>
      <c r="D41" s="51">
        <f t="shared" si="16"/>
        <v>750000</v>
      </c>
      <c r="E41" s="51">
        <f t="shared" si="17"/>
        <v>110655.6</v>
      </c>
      <c r="F41" s="51">
        <f t="shared" si="18"/>
        <v>860655.6</v>
      </c>
      <c r="G41" s="87">
        <f t="shared" si="19"/>
        <v>30</v>
      </c>
      <c r="H41" s="87">
        <f t="shared" si="20"/>
        <v>366</v>
      </c>
      <c r="I41" s="95">
        <f t="shared" si="21"/>
        <v>750000</v>
      </c>
      <c r="J41" s="95">
        <f>SUM($I$8:I40)</f>
        <v>24750000</v>
      </c>
      <c r="K41" s="95">
        <f t="shared" si="22"/>
        <v>2250000</v>
      </c>
      <c r="L41" s="89">
        <f>ROUND(C41*'Общие данные'!$B$84/H41,2)*G41</f>
        <v>110655.6</v>
      </c>
      <c r="M41" s="89">
        <f t="shared" si="23"/>
        <v>860655.6</v>
      </c>
      <c r="N41" s="89"/>
      <c r="O41" s="104" t="str">
        <f t="shared" si="24"/>
        <v>Ср</v>
      </c>
      <c r="P41" s="106">
        <f t="shared" si="25"/>
        <v>0</v>
      </c>
      <c r="Q41" s="106">
        <f>DAY('Общие данные'!$B$78)+P41</f>
        <v>5</v>
      </c>
      <c r="R41" s="101">
        <f>IF(A41&lt;='Общие данные'!$B$81,DATE(YEAR($B$8),MONTH($B$8)+A40,DAY('Общие данные'!$B$78)),0)</f>
        <v>46757</v>
      </c>
      <c r="S41" s="87"/>
      <c r="T41" s="87"/>
      <c r="U41" s="87"/>
      <c r="V41" s="87"/>
    </row>
    <row r="42" spans="1:22">
      <c r="A42" s="93">
        <f t="shared" si="26"/>
        <v>35</v>
      </c>
      <c r="B42" s="94">
        <f>IF(A42&lt;='Общие данные'!$B$81,DATE(YEAR(R42),MONTH(R42),DAY(IF(A42='Общие данные'!$B$81,'Общие данные'!$B$67,IF(A42&lt;'Общие данные'!$B$81,(Q42),IF(A42&gt;'Общие данные'!$B$81,$H$44,0))))))</f>
        <v>46790</v>
      </c>
      <c r="C42" s="51">
        <f t="shared" si="15"/>
        <v>1500000</v>
      </c>
      <c r="D42" s="51">
        <f t="shared" si="16"/>
        <v>750000</v>
      </c>
      <c r="E42" s="51">
        <f t="shared" si="17"/>
        <v>81147.66</v>
      </c>
      <c r="F42" s="51">
        <f t="shared" si="18"/>
        <v>831147.66</v>
      </c>
      <c r="G42" s="87">
        <f t="shared" si="19"/>
        <v>33</v>
      </c>
      <c r="H42" s="87">
        <f t="shared" si="20"/>
        <v>366</v>
      </c>
      <c r="I42" s="95">
        <f t="shared" si="21"/>
        <v>750000</v>
      </c>
      <c r="J42" s="95">
        <f>SUM($I$8:I41)</f>
        <v>25500000</v>
      </c>
      <c r="K42" s="95">
        <f t="shared" si="22"/>
        <v>1500000</v>
      </c>
      <c r="L42" s="89">
        <f>ROUND(C42*'Общие данные'!$B$84/H42,2)*G42</f>
        <v>81147.66</v>
      </c>
      <c r="M42" s="89">
        <f t="shared" si="23"/>
        <v>831147.66</v>
      </c>
      <c r="N42" s="89"/>
      <c r="O42" s="104" t="str">
        <f t="shared" si="24"/>
        <v>Сб</v>
      </c>
      <c r="P42" s="106">
        <f t="shared" si="25"/>
        <v>2</v>
      </c>
      <c r="Q42" s="106">
        <f>DAY('Общие данные'!$B$78)+P42</f>
        <v>7</v>
      </c>
      <c r="R42" s="101">
        <f>IF(A42&lt;='Общие данные'!$B$81,DATE(YEAR($B$8),MONTH($B$8)+A41,DAY('Общие данные'!$B$78)),0)</f>
        <v>46788</v>
      </c>
      <c r="S42" s="87"/>
      <c r="T42" s="87"/>
      <c r="U42" s="87"/>
      <c r="V42" s="87"/>
    </row>
    <row r="43" spans="1:22">
      <c r="A43" s="93">
        <f t="shared" ref="A43" si="27">1+A42</f>
        <v>36</v>
      </c>
      <c r="B43" s="94">
        <f>IF(A43&lt;='Общие данные'!$B$81,DATE(YEAR(R43),MONTH(R43),DAY(IF(A43='Общие данные'!$B$81,'Общие данные'!$B$67,IF(A43&lt;'Общие данные'!$B$81,(Q43),IF(A43&gt;'Общие данные'!$B$81,$H$44,0))))))</f>
        <v>46823</v>
      </c>
      <c r="C43" s="51">
        <f t="shared" ref="C43" si="28">C42-D42</f>
        <v>750000</v>
      </c>
      <c r="D43" s="51">
        <f t="shared" ref="D43" si="29">IF(C43=0,L43,IF(C43&gt;1,I43))</f>
        <v>750000</v>
      </c>
      <c r="E43" s="51">
        <f t="shared" ref="E43" si="30">IF(C43=0,N42,IF(C43&gt;1,L43))</f>
        <v>40573.83</v>
      </c>
      <c r="F43" s="51">
        <f t="shared" ref="F43" si="31">IF(C43=0,N42,IF(C43&gt;1,M43))</f>
        <v>790573.83</v>
      </c>
      <c r="G43" s="87">
        <f t="shared" ref="G43" si="32">B43-B42</f>
        <v>33</v>
      </c>
      <c r="H43" s="87">
        <f t="shared" ref="H43" si="33">DATE(YEAR(B43),12,31)-DATE(YEAR(B43),1,1)+1</f>
        <v>366</v>
      </c>
      <c r="I43" s="95">
        <f t="shared" ref="I43" si="34">IF($L$5=A43,K43,IF($L$5&gt;A43,I42))</f>
        <v>750000</v>
      </c>
      <c r="J43" s="95">
        <f>SUM($I$8:I42)</f>
        <v>26250000</v>
      </c>
      <c r="K43" s="95">
        <f t="shared" ref="K43" si="35">$J$12-J43</f>
        <v>750000</v>
      </c>
      <c r="L43" s="89">
        <f>ROUND(C43*'Общие данные'!$B$84/H43,2)*G43</f>
        <v>40573.83</v>
      </c>
      <c r="M43" s="89">
        <f t="shared" ref="M43" si="36">D43+E43</f>
        <v>790573.83</v>
      </c>
      <c r="N43" s="89"/>
      <c r="O43" s="104" t="str">
        <f t="shared" ref="O43" si="37">TEXT(R43,"ддд")</f>
        <v>Вс</v>
      </c>
      <c r="P43" s="106">
        <f t="shared" ref="P43" si="38">IF(O43=$U$8,2,IF(O43=$V$8,1,0))</f>
        <v>1</v>
      </c>
      <c r="Q43" s="106">
        <f>DAY('Общие данные'!$B$78)+P43</f>
        <v>6</v>
      </c>
      <c r="R43" s="101">
        <f>IF(A43&lt;='Общие данные'!$B$81,DATE(YEAR($B$8),MONTH($B$8)+A42,DAY('Общие данные'!$B$78)),0)</f>
        <v>46817</v>
      </c>
      <c r="S43" s="87"/>
      <c r="T43" s="87"/>
      <c r="U43" s="87"/>
      <c r="V43" s="87"/>
    </row>
    <row r="44" spans="1:22">
      <c r="A44" s="96"/>
      <c r="B44" s="97" t="s">
        <v>7</v>
      </c>
      <c r="C44" s="98"/>
      <c r="D44" s="98">
        <f>SUM(D8:D43)</f>
        <v>27000000</v>
      </c>
      <c r="E44" s="98">
        <f t="shared" ref="E44:F44" si="39">SUM(E8:E43)</f>
        <v>24783883.060000002</v>
      </c>
      <c r="F44" s="98">
        <f t="shared" si="39"/>
        <v>51783883.06000001</v>
      </c>
    </row>
    <row r="45" spans="1:22" ht="9" customHeight="1">
      <c r="B45" s="99"/>
      <c r="C45" s="100"/>
      <c r="D45" s="100"/>
      <c r="E45" s="100"/>
      <c r="F45" s="100"/>
    </row>
    <row r="46" spans="1:22" ht="47.25" customHeight="1">
      <c r="A46" s="247" t="s">
        <v>18</v>
      </c>
      <c r="B46" s="247"/>
      <c r="C46" s="247"/>
      <c r="D46" s="247"/>
      <c r="E46" s="247"/>
      <c r="F46" s="247"/>
    </row>
    <row r="47" spans="1:22" ht="7.5" customHeight="1"/>
    <row r="48" spans="1:22">
      <c r="A48" s="248" t="e">
        <f>#REF!</f>
        <v>#REF!</v>
      </c>
      <c r="B48" s="248"/>
      <c r="C48" s="248"/>
      <c r="D48" s="248" t="e">
        <f>#REF!</f>
        <v>#REF!</v>
      </c>
      <c r="E48" s="248"/>
      <c r="F48" s="248"/>
    </row>
    <row r="49" spans="1:6" ht="11.25" customHeight="1">
      <c r="A49" s="249"/>
      <c r="B49" s="249"/>
      <c r="C49" s="249"/>
      <c r="D49" s="249"/>
      <c r="E49" s="249"/>
      <c r="F49" s="249"/>
    </row>
    <row r="50" spans="1:6" ht="30" customHeight="1">
      <c r="A50" s="246" t="e">
        <f>#REF!</f>
        <v>#REF!</v>
      </c>
      <c r="B50" s="246"/>
      <c r="C50" s="246"/>
      <c r="D50" s="246" t="e">
        <f>#REF!</f>
        <v>#REF!</v>
      </c>
      <c r="E50" s="246"/>
      <c r="F50" s="246"/>
    </row>
    <row r="51" spans="1:6" ht="32.25" customHeight="1">
      <c r="A51" s="242" t="e">
        <f>#REF!</f>
        <v>#REF!</v>
      </c>
      <c r="B51" s="242"/>
      <c r="C51" s="242"/>
      <c r="D51" s="242" t="e">
        <f>#REF!</f>
        <v>#REF!</v>
      </c>
      <c r="E51" s="242"/>
      <c r="F51" s="242"/>
    </row>
    <row r="52" spans="1:6">
      <c r="A52" s="242" t="e">
        <f>#REF!</f>
        <v>#REF!</v>
      </c>
      <c r="B52" s="242"/>
      <c r="C52" s="242"/>
      <c r="D52" s="242" t="str">
        <f>"паспорт серии "&amp;'Общие данные'!B16&amp;", "&amp;'Общие данные'!B20&amp;""</f>
        <v>паспорт серии AA 9481167, BUXORO VILOYATI BUXORO SHAHAR IIB tomonidan 24.04.2015 yilda berilgan</v>
      </c>
      <c r="E52" s="242"/>
      <c r="F52" s="242"/>
    </row>
    <row r="53" spans="1:6" ht="32.25" customHeight="1">
      <c r="A53" s="242" t="e">
        <f>#REF!</f>
        <v>#REF!</v>
      </c>
      <c r="B53" s="242"/>
      <c r="C53" s="242"/>
      <c r="D53" s="242"/>
      <c r="E53" s="242"/>
      <c r="F53" s="242"/>
    </row>
    <row r="54" spans="1:6">
      <c r="A54" s="242" t="e">
        <f>#REF!</f>
        <v>#REF!</v>
      </c>
      <c r="B54" s="242"/>
      <c r="C54" s="242"/>
      <c r="D54" s="242" t="e">
        <f>#REF!</f>
        <v>#REF!</v>
      </c>
      <c r="E54" s="242"/>
      <c r="F54" s="242"/>
    </row>
    <row r="55" spans="1:6">
      <c r="A55" s="242" t="e">
        <f>#REF!</f>
        <v>#REF!</v>
      </c>
      <c r="B55" s="242"/>
      <c r="C55" s="242"/>
      <c r="D55" s="242" t="e">
        <f>#REF!</f>
        <v>#REF!</v>
      </c>
      <c r="E55" s="242"/>
      <c r="F55" s="242"/>
    </row>
    <row r="56" spans="1:6">
      <c r="A56" s="242" t="e">
        <f>#REF!</f>
        <v>#REF!</v>
      </c>
      <c r="B56" s="242"/>
      <c r="C56" s="242"/>
      <c r="D56" s="242" t="e">
        <f>#REF!</f>
        <v>#REF!</v>
      </c>
      <c r="E56" s="242"/>
      <c r="F56" s="242"/>
    </row>
    <row r="57" spans="1:6" ht="8.25" customHeight="1">
      <c r="A57" s="242"/>
      <c r="B57" s="242"/>
      <c r="C57" s="242"/>
      <c r="D57" s="242"/>
      <c r="E57" s="242"/>
      <c r="F57" s="242"/>
    </row>
    <row r="58" spans="1:6">
      <c r="A58" s="246" t="e">
        <f>#REF!</f>
        <v>#REF!</v>
      </c>
      <c r="B58" s="246"/>
      <c r="C58" s="246"/>
      <c r="D58" s="246" t="e">
        <f>#REF!</f>
        <v>#REF!</v>
      </c>
      <c r="E58" s="246"/>
      <c r="F58" s="246"/>
    </row>
    <row r="59" spans="1:6" ht="7.5" customHeight="1">
      <c r="A59" s="246"/>
      <c r="B59" s="246"/>
      <c r="C59" s="246"/>
      <c r="D59" s="246"/>
      <c r="E59" s="246"/>
      <c r="F59" s="246"/>
    </row>
    <row r="60" spans="1:6">
      <c r="A60" s="246" t="e">
        <f>#REF!</f>
        <v>#REF!</v>
      </c>
      <c r="B60" s="246"/>
      <c r="C60" s="246"/>
      <c r="D60" s="246" t="e">
        <f>#REF!</f>
        <v>#REF!</v>
      </c>
      <c r="E60" s="246"/>
      <c r="F60" s="246"/>
    </row>
    <row r="61" spans="1:6" ht="8.25" customHeight="1">
      <c r="A61" s="242"/>
      <c r="B61" s="242"/>
      <c r="C61" s="242"/>
      <c r="D61" s="242"/>
      <c r="E61" s="242"/>
      <c r="F61" s="242"/>
    </row>
    <row r="62" spans="1:6" ht="30" customHeight="1">
      <c r="A62" s="243"/>
      <c r="B62" s="243"/>
      <c r="C62" s="243"/>
      <c r="D62" s="244" t="e">
        <f>#REF!</f>
        <v>#REF!</v>
      </c>
      <c r="E62" s="244"/>
      <c r="F62" s="244"/>
    </row>
    <row r="63" spans="1:6">
      <c r="A63" s="245"/>
      <c r="B63" s="245"/>
      <c r="C63" s="245"/>
      <c r="D63" s="245"/>
      <c r="E63" s="245"/>
      <c r="F63" s="245"/>
    </row>
    <row r="64" spans="1:6">
      <c r="A64" s="241"/>
      <c r="B64" s="241"/>
      <c r="C64" s="241"/>
      <c r="D64" s="241"/>
      <c r="E64" s="241"/>
      <c r="F64" s="241"/>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113"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19" customFormat="1" ht="36.75" customHeight="1">
      <c r="A1" s="118" t="s">
        <v>15</v>
      </c>
      <c r="B1" s="119" t="s">
        <v>3</v>
      </c>
      <c r="D1" s="118"/>
      <c r="E1" s="118" t="s">
        <v>40</v>
      </c>
      <c r="F1" s="118" t="s">
        <v>41</v>
      </c>
      <c r="G1" s="118"/>
      <c r="H1" s="118"/>
      <c r="I1" s="118"/>
      <c r="J1" s="118"/>
      <c r="K1" s="118"/>
      <c r="L1" s="118" t="s">
        <v>42</v>
      </c>
      <c r="M1" s="118" t="s">
        <v>44</v>
      </c>
      <c r="N1" s="118" t="s">
        <v>43</v>
      </c>
    </row>
    <row r="2" spans="1:23" ht="15" customHeight="1">
      <c r="A2" s="112">
        <v>1</v>
      </c>
      <c r="B2" t="s">
        <v>257</v>
      </c>
      <c r="C2" t="s">
        <v>67</v>
      </c>
      <c r="D2" s="114" t="s">
        <v>257</v>
      </c>
      <c r="E2" s="114" t="s">
        <v>46</v>
      </c>
      <c r="F2" s="115">
        <v>44207</v>
      </c>
      <c r="G2" s="105">
        <f>MONTH(F2)</f>
        <v>1</v>
      </c>
      <c r="H2" s="115" t="str">
        <f>IF(G2=$A$26,$A$28,IF(G2=$B$26,$B$28,IF(G2=$C$26,$C$28,IF(G2=$D$26,$D$28,IF(G2=$E$26,$E$28,IF(G2=$F$26,$F$28,IF(G2=$K$26,$K$28,IF(G2=$L$26,$L$28,IF(G2=$M$26,$M$28,IF(G2=$N$26,$N$28,IF(G2=$O$26,$O$28,IF(G2=$P$26,$P$28,0))))))))))))</f>
        <v>yanvar</v>
      </c>
      <c r="I2" s="105">
        <f>DAY(F2)</f>
        <v>11</v>
      </c>
      <c r="J2" s="117">
        <f>YEAR(F2)</f>
        <v>2021</v>
      </c>
      <c r="K2" s="115" t="str">
        <f>""&amp;I2&amp;" "&amp;H2&amp;" "&amp;J2&amp;" г."</f>
        <v>11 yanvar 2021 г.</v>
      </c>
      <c r="L2" s="114">
        <v>5</v>
      </c>
      <c r="M2" s="116">
        <v>15000000</v>
      </c>
      <c r="N2" s="114" t="s">
        <v>130</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1"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112">
        <v>2</v>
      </c>
      <c r="D3" s="114" t="s">
        <v>257</v>
      </c>
      <c r="E3" s="114" t="s">
        <v>45</v>
      </c>
      <c r="F3" s="115">
        <v>43775</v>
      </c>
      <c r="G3" s="105">
        <f>MONTH(F3)</f>
        <v>11</v>
      </c>
      <c r="H3" s="115" t="str">
        <f>IF(G3=$A$26,$A$28,IF(G3=$B$26,$B$28,IF(G3=$C$26,$C$28,IF(G3=$D$26,$D$28,IF(G3=$E$26,$E$28,IF(G3=$F$26,$F$28,IF(G3=$K$26,$K$28,IF(G3=$L$26,$L$28,IF(G3=$M$26,$M$28,IF(G3=$N$26,$N$28,IF(G3=$O$26,$O$28,IF(G3=$P$26,$P$28,0))))))))))))</f>
        <v>noyabr</v>
      </c>
      <c r="I3" s="105">
        <f>DAY(F3)</f>
        <v>6</v>
      </c>
      <c r="J3" s="117">
        <f>YEAR(F3)</f>
        <v>2019</v>
      </c>
      <c r="K3" s="115" t="str">
        <f>""&amp;I3&amp;" "&amp;H3&amp;" "&amp;J3&amp;" г."</f>
        <v>6 noyabr 2019 г.</v>
      </c>
      <c r="L3" s="114">
        <v>386</v>
      </c>
      <c r="M3" s="116">
        <v>15000000</v>
      </c>
      <c r="N3" s="114" t="s">
        <v>130</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12">
        <v>3</v>
      </c>
      <c r="D4" s="114" t="s">
        <v>257</v>
      </c>
      <c r="E4" s="114" t="s">
        <v>45</v>
      </c>
      <c r="F4" s="115">
        <v>44217</v>
      </c>
      <c r="G4" s="105">
        <f>MONTH(F4)</f>
        <v>1</v>
      </c>
      <c r="H4" s="115" t="str">
        <f>IF(G4=$A$26,$A$28,IF(G4=$B$26,$B$28,IF(G4=$C$26,$C$28,IF(G4=$D$26,$D$28,IF(G4=$E$26,$E$28,IF(G4=$F$26,$F$28,IF(G4=$K$26,$K$28,IF(G4=$L$26,$L$28,IF(G4=$M$26,$M$28,IF(G4=$N$26,$N$28,IF(G4=$O$26,$O$28,IF(G4=$P$26,$P$28,0))))))))))))</f>
        <v>yanvar</v>
      </c>
      <c r="I4" s="105">
        <f>DAY(F4)</f>
        <v>21</v>
      </c>
      <c r="J4" s="117">
        <f>YEAR(F4)</f>
        <v>2021</v>
      </c>
      <c r="K4" s="115" t="str">
        <f>""&amp;I4&amp;" "&amp;H4&amp;" "&amp;J4&amp;" г."</f>
        <v>21 yanvar 2021 г.</v>
      </c>
      <c r="L4" s="114">
        <v>33</v>
      </c>
      <c r="M4" s="116">
        <v>15000000</v>
      </c>
      <c r="N4" s="114" t="s">
        <v>130</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12">
        <v>4</v>
      </c>
      <c r="D5" s="114" t="s">
        <v>257</v>
      </c>
      <c r="E5" s="114"/>
      <c r="F5" s="115"/>
      <c r="G5" s="105">
        <f t="shared" ref="G5:G21" si="2">MONTH(F5)</f>
        <v>1</v>
      </c>
      <c r="H5" s="115" t="str">
        <f t="shared" ref="H5:H21" si="3">IF(G5=$A$26,$A$28,IF(G5=$B$26,$B$28,IF(G5=$C$26,$C$28,IF(G5=$D$26,$D$28,IF(G5=$E$26,$E$28,IF(G5=$F$26,$F$28,IF(G5=$K$26,$K$28,IF(G5=$L$26,$L$28,IF(G5=$M$26,$M$28,IF(G5=$N$26,$N$28,IF(G5=$O$26,$O$28,IF(G5=$P$26,$P$28,0))))))))))))</f>
        <v>yanvar</v>
      </c>
      <c r="I5" s="105">
        <f t="shared" ref="I5:I21" si="4">DAY(F5)</f>
        <v>0</v>
      </c>
      <c r="J5" s="117">
        <f t="shared" ref="J5:J21" si="5">YEAR(F5)</f>
        <v>1900</v>
      </c>
      <c r="K5" s="115" t="str">
        <f t="shared" ref="K5:K21" si="6">""&amp;I5&amp;" "&amp;H5&amp;" "&amp;J5&amp;" г."</f>
        <v>0 yanvar 1900 г.</v>
      </c>
      <c r="L5" s="114"/>
      <c r="M5" s="116"/>
      <c r="N5" s="114"/>
      <c r="P5">
        <f t="shared" si="1"/>
        <v>0</v>
      </c>
    </row>
    <row r="6" spans="1:23" ht="15" customHeight="1">
      <c r="A6" s="112">
        <v>5</v>
      </c>
      <c r="D6" s="114" t="s">
        <v>257</v>
      </c>
      <c r="E6" s="114"/>
      <c r="F6" s="115"/>
      <c r="G6" s="105">
        <f t="shared" si="2"/>
        <v>1</v>
      </c>
      <c r="H6" s="115" t="str">
        <f t="shared" si="3"/>
        <v>yanvar</v>
      </c>
      <c r="I6" s="105">
        <f t="shared" si="4"/>
        <v>0</v>
      </c>
      <c r="J6" s="117">
        <f t="shared" si="5"/>
        <v>1900</v>
      </c>
      <c r="K6" s="115" t="str">
        <f t="shared" si="6"/>
        <v>0 yanvar 1900 г.</v>
      </c>
      <c r="L6" s="114"/>
      <c r="M6" s="116"/>
      <c r="N6" s="114"/>
      <c r="P6">
        <f t="shared" si="1"/>
        <v>0</v>
      </c>
    </row>
    <row r="7" spans="1:23" ht="15" customHeight="1">
      <c r="A7" s="112">
        <v>6</v>
      </c>
      <c r="D7" s="114" t="s">
        <v>257</v>
      </c>
      <c r="E7" s="114"/>
      <c r="F7" s="115"/>
      <c r="G7" s="105">
        <f t="shared" si="2"/>
        <v>1</v>
      </c>
      <c r="H7" s="115" t="str">
        <f t="shared" si="3"/>
        <v>yanvar</v>
      </c>
      <c r="I7" s="105">
        <f t="shared" si="4"/>
        <v>0</v>
      </c>
      <c r="J7" s="117">
        <f t="shared" si="5"/>
        <v>1900</v>
      </c>
      <c r="K7" s="115" t="str">
        <f t="shared" si="6"/>
        <v>0 yanvar 1900 г.</v>
      </c>
      <c r="L7" s="114"/>
      <c r="M7" s="116"/>
      <c r="N7" s="114"/>
      <c r="P7">
        <f t="shared" si="1"/>
        <v>0</v>
      </c>
    </row>
    <row r="8" spans="1:23" ht="15" customHeight="1">
      <c r="A8" s="112">
        <v>7</v>
      </c>
      <c r="D8" s="114" t="s">
        <v>257</v>
      </c>
      <c r="E8" s="114"/>
      <c r="F8" s="115"/>
      <c r="G8" s="105">
        <f t="shared" si="2"/>
        <v>1</v>
      </c>
      <c r="H8" s="115" t="str">
        <f t="shared" si="3"/>
        <v>yanvar</v>
      </c>
      <c r="I8" s="105">
        <f t="shared" si="4"/>
        <v>0</v>
      </c>
      <c r="J8" s="117">
        <f t="shared" si="5"/>
        <v>1900</v>
      </c>
      <c r="K8" s="115" t="str">
        <f t="shared" si="6"/>
        <v>0 yanvar 1900 г.</v>
      </c>
      <c r="L8" s="114"/>
      <c r="M8" s="116"/>
      <c r="N8" s="114"/>
      <c r="P8">
        <f t="shared" si="1"/>
        <v>0</v>
      </c>
    </row>
    <row r="9" spans="1:23" ht="15" customHeight="1">
      <c r="A9" s="112">
        <v>8</v>
      </c>
      <c r="D9" s="114" t="s">
        <v>257</v>
      </c>
      <c r="E9" s="114"/>
      <c r="F9" s="115"/>
      <c r="G9" s="105">
        <f t="shared" si="2"/>
        <v>1</v>
      </c>
      <c r="H9" s="115" t="str">
        <f t="shared" si="3"/>
        <v>yanvar</v>
      </c>
      <c r="I9" s="105">
        <f t="shared" si="4"/>
        <v>0</v>
      </c>
      <c r="J9" s="117">
        <f t="shared" si="5"/>
        <v>1900</v>
      </c>
      <c r="K9" s="115" t="str">
        <f t="shared" si="6"/>
        <v>0 yanvar 1900 г.</v>
      </c>
      <c r="L9" s="114"/>
      <c r="M9" s="116"/>
      <c r="N9" s="114"/>
      <c r="P9">
        <f t="shared" si="1"/>
        <v>0</v>
      </c>
    </row>
    <row r="10" spans="1:23" ht="15" customHeight="1">
      <c r="A10" s="112">
        <v>9</v>
      </c>
      <c r="D10" s="114" t="s">
        <v>257</v>
      </c>
      <c r="E10" s="114"/>
      <c r="F10" s="115"/>
      <c r="G10" s="105">
        <f t="shared" si="2"/>
        <v>1</v>
      </c>
      <c r="H10" s="115" t="str">
        <f t="shared" si="3"/>
        <v>yanvar</v>
      </c>
      <c r="I10" s="105">
        <f t="shared" si="4"/>
        <v>0</v>
      </c>
      <c r="J10" s="117">
        <f t="shared" si="5"/>
        <v>1900</v>
      </c>
      <c r="K10" s="115" t="str">
        <f t="shared" si="6"/>
        <v>0 yanvar 1900 г.</v>
      </c>
      <c r="L10" s="114"/>
      <c r="M10" s="116"/>
      <c r="N10" s="114"/>
      <c r="P10">
        <f t="shared" si="1"/>
        <v>0</v>
      </c>
    </row>
    <row r="11" spans="1:23" ht="15" customHeight="1">
      <c r="A11" s="112">
        <v>10</v>
      </c>
      <c r="D11" s="114" t="s">
        <v>257</v>
      </c>
      <c r="E11" s="114"/>
      <c r="F11" s="115"/>
      <c r="G11" s="105">
        <f t="shared" si="2"/>
        <v>1</v>
      </c>
      <c r="H11" s="115" t="str">
        <f t="shared" si="3"/>
        <v>yanvar</v>
      </c>
      <c r="I11" s="105">
        <f t="shared" si="4"/>
        <v>0</v>
      </c>
      <c r="J11" s="117">
        <f t="shared" si="5"/>
        <v>1900</v>
      </c>
      <c r="K11" s="115" t="str">
        <f t="shared" si="6"/>
        <v>0 yanvar 1900 г.</v>
      </c>
      <c r="L11" s="114"/>
      <c r="M11" s="116"/>
      <c r="N11" s="114"/>
      <c r="P11">
        <f t="shared" si="1"/>
        <v>0</v>
      </c>
    </row>
    <row r="12" spans="1:23" ht="15" customHeight="1">
      <c r="A12" s="112">
        <v>11</v>
      </c>
      <c r="D12" s="114" t="s">
        <v>257</v>
      </c>
      <c r="E12" s="114"/>
      <c r="F12" s="115"/>
      <c r="G12" s="105">
        <f t="shared" si="2"/>
        <v>1</v>
      </c>
      <c r="H12" s="115" t="str">
        <f t="shared" si="3"/>
        <v>yanvar</v>
      </c>
      <c r="I12" s="105">
        <f t="shared" si="4"/>
        <v>0</v>
      </c>
      <c r="J12" s="117">
        <f t="shared" si="5"/>
        <v>1900</v>
      </c>
      <c r="K12" s="115" t="str">
        <f t="shared" si="6"/>
        <v>0 yanvar 1900 г.</v>
      </c>
      <c r="L12" s="114"/>
      <c r="M12" s="116"/>
      <c r="N12" s="114"/>
      <c r="P12">
        <f t="shared" si="1"/>
        <v>0</v>
      </c>
    </row>
    <row r="13" spans="1:23" ht="15" customHeight="1">
      <c r="A13" s="112">
        <v>12</v>
      </c>
      <c r="D13" s="114" t="s">
        <v>257</v>
      </c>
      <c r="E13" s="114"/>
      <c r="F13" s="115"/>
      <c r="G13" s="105">
        <f t="shared" si="2"/>
        <v>1</v>
      </c>
      <c r="H13" s="115" t="str">
        <f t="shared" si="3"/>
        <v>yanvar</v>
      </c>
      <c r="I13" s="105">
        <f t="shared" si="4"/>
        <v>0</v>
      </c>
      <c r="J13" s="117">
        <f t="shared" si="5"/>
        <v>1900</v>
      </c>
      <c r="K13" s="115" t="str">
        <f t="shared" si="6"/>
        <v>0 yanvar 1900 г.</v>
      </c>
      <c r="L13" s="114"/>
      <c r="M13" s="116"/>
      <c r="N13" s="114"/>
      <c r="P13">
        <f t="shared" si="1"/>
        <v>0</v>
      </c>
    </row>
    <row r="14" spans="1:23" ht="15" customHeight="1">
      <c r="A14" s="112">
        <v>13</v>
      </c>
      <c r="D14" s="114" t="s">
        <v>257</v>
      </c>
      <c r="E14" s="114"/>
      <c r="F14" s="115"/>
      <c r="G14" s="105">
        <f t="shared" si="2"/>
        <v>1</v>
      </c>
      <c r="H14" s="115" t="str">
        <f t="shared" si="3"/>
        <v>yanvar</v>
      </c>
      <c r="I14" s="105">
        <f t="shared" si="4"/>
        <v>0</v>
      </c>
      <c r="J14" s="117">
        <f t="shared" si="5"/>
        <v>1900</v>
      </c>
      <c r="K14" s="115" t="str">
        <f t="shared" si="6"/>
        <v>0 yanvar 1900 г.</v>
      </c>
      <c r="L14" s="114"/>
      <c r="M14" s="116"/>
      <c r="N14" s="114"/>
      <c r="P14">
        <f t="shared" si="1"/>
        <v>0</v>
      </c>
    </row>
    <row r="15" spans="1:23" ht="15" customHeight="1">
      <c r="A15" s="112">
        <v>14</v>
      </c>
      <c r="D15" s="114" t="s">
        <v>257</v>
      </c>
      <c r="E15" s="114"/>
      <c r="F15" s="115"/>
      <c r="G15" s="105">
        <f t="shared" si="2"/>
        <v>1</v>
      </c>
      <c r="H15" s="115" t="str">
        <f t="shared" si="3"/>
        <v>yanvar</v>
      </c>
      <c r="I15" s="105">
        <f t="shared" si="4"/>
        <v>0</v>
      </c>
      <c r="J15" s="117">
        <f t="shared" si="5"/>
        <v>1900</v>
      </c>
      <c r="K15" s="115" t="str">
        <f t="shared" si="6"/>
        <v>0 yanvar 1900 г.</v>
      </c>
      <c r="L15" s="114"/>
      <c r="M15" s="116"/>
      <c r="N15" s="114"/>
      <c r="P15">
        <f t="shared" si="1"/>
        <v>0</v>
      </c>
    </row>
    <row r="16" spans="1:23" ht="15" customHeight="1">
      <c r="A16" s="112">
        <v>15</v>
      </c>
      <c r="D16" s="114" t="s">
        <v>257</v>
      </c>
      <c r="E16" s="114"/>
      <c r="F16" s="115"/>
      <c r="G16" s="105">
        <f t="shared" si="2"/>
        <v>1</v>
      </c>
      <c r="H16" s="115" t="str">
        <f t="shared" si="3"/>
        <v>yanvar</v>
      </c>
      <c r="I16" s="105">
        <f t="shared" si="4"/>
        <v>0</v>
      </c>
      <c r="J16" s="117">
        <f t="shared" si="5"/>
        <v>1900</v>
      </c>
      <c r="K16" s="115" t="str">
        <f t="shared" si="6"/>
        <v>0 yanvar 1900 г.</v>
      </c>
      <c r="L16" s="114"/>
      <c r="M16" s="116"/>
      <c r="N16" s="114"/>
      <c r="P16">
        <f t="shared" si="1"/>
        <v>0</v>
      </c>
    </row>
    <row r="17" spans="1:17" ht="15" customHeight="1">
      <c r="A17" s="112">
        <v>16</v>
      </c>
      <c r="D17" s="114" t="s">
        <v>257</v>
      </c>
      <c r="E17" s="114"/>
      <c r="F17" s="115"/>
      <c r="G17" s="105">
        <f t="shared" si="2"/>
        <v>1</v>
      </c>
      <c r="H17" s="115" t="str">
        <f t="shared" si="3"/>
        <v>yanvar</v>
      </c>
      <c r="I17" s="105">
        <f t="shared" si="4"/>
        <v>0</v>
      </c>
      <c r="J17" s="117">
        <f t="shared" si="5"/>
        <v>1900</v>
      </c>
      <c r="K17" s="115" t="str">
        <f t="shared" si="6"/>
        <v>0 yanvar 1900 г.</v>
      </c>
      <c r="L17" s="114"/>
      <c r="M17" s="116"/>
      <c r="N17" s="114"/>
      <c r="P17">
        <f t="shared" si="1"/>
        <v>0</v>
      </c>
    </row>
    <row r="18" spans="1:17" ht="15" customHeight="1">
      <c r="A18" s="112">
        <v>17</v>
      </c>
      <c r="D18" s="114" t="s">
        <v>257</v>
      </c>
      <c r="E18" s="114"/>
      <c r="F18" s="115"/>
      <c r="G18" s="105">
        <f t="shared" si="2"/>
        <v>1</v>
      </c>
      <c r="H18" s="115" t="str">
        <f t="shared" si="3"/>
        <v>yanvar</v>
      </c>
      <c r="I18" s="105">
        <f t="shared" si="4"/>
        <v>0</v>
      </c>
      <c r="J18" s="117">
        <f t="shared" si="5"/>
        <v>1900</v>
      </c>
      <c r="K18" s="115" t="str">
        <f t="shared" si="6"/>
        <v>0 yanvar 1900 г.</v>
      </c>
      <c r="L18" s="114"/>
      <c r="M18" s="116"/>
      <c r="N18" s="114"/>
      <c r="P18">
        <f t="shared" si="1"/>
        <v>0</v>
      </c>
    </row>
    <row r="19" spans="1:17" ht="15" customHeight="1">
      <c r="A19" s="112">
        <v>18</v>
      </c>
      <c r="D19" s="114" t="s">
        <v>257</v>
      </c>
      <c r="E19" s="114"/>
      <c r="F19" s="115"/>
      <c r="G19" s="105">
        <f t="shared" si="2"/>
        <v>1</v>
      </c>
      <c r="H19" s="115" t="str">
        <f t="shared" si="3"/>
        <v>yanvar</v>
      </c>
      <c r="I19" s="105">
        <f t="shared" si="4"/>
        <v>0</v>
      </c>
      <c r="J19" s="117">
        <f t="shared" si="5"/>
        <v>1900</v>
      </c>
      <c r="K19" s="115" t="str">
        <f t="shared" si="6"/>
        <v>0 yanvar 1900 г.</v>
      </c>
      <c r="L19" s="114"/>
      <c r="M19" s="116"/>
      <c r="N19" s="114"/>
      <c r="P19">
        <f t="shared" si="1"/>
        <v>0</v>
      </c>
    </row>
    <row r="20" spans="1:17" ht="15" customHeight="1">
      <c r="A20" s="112">
        <v>19</v>
      </c>
      <c r="D20" s="114" t="s">
        <v>257</v>
      </c>
      <c r="E20" s="114"/>
      <c r="F20" s="115"/>
      <c r="G20" s="105">
        <f t="shared" si="2"/>
        <v>1</v>
      </c>
      <c r="H20" s="115" t="str">
        <f t="shared" si="3"/>
        <v>yanvar</v>
      </c>
      <c r="I20" s="105">
        <f t="shared" si="4"/>
        <v>0</v>
      </c>
      <c r="J20" s="117">
        <f t="shared" si="5"/>
        <v>1900</v>
      </c>
      <c r="K20" s="115" t="str">
        <f t="shared" si="6"/>
        <v>0 yanvar 1900 г.</v>
      </c>
      <c r="L20" s="114"/>
      <c r="M20" s="116"/>
      <c r="N20" s="114"/>
      <c r="P20">
        <f t="shared" si="1"/>
        <v>0</v>
      </c>
    </row>
    <row r="21" spans="1:17" ht="15" customHeight="1">
      <c r="A21" s="112">
        <v>20</v>
      </c>
      <c r="D21" s="114" t="s">
        <v>257</v>
      </c>
      <c r="E21" s="114"/>
      <c r="F21" s="115"/>
      <c r="G21" s="105">
        <f t="shared" si="2"/>
        <v>1</v>
      </c>
      <c r="H21" s="115" t="str">
        <f t="shared" si="3"/>
        <v>yanvar</v>
      </c>
      <c r="I21" s="105">
        <f t="shared" si="4"/>
        <v>0</v>
      </c>
      <c r="J21" s="117">
        <f t="shared" si="5"/>
        <v>1900</v>
      </c>
      <c r="K21" s="115" t="str">
        <f t="shared" si="6"/>
        <v>0 yanvar 1900 г.</v>
      </c>
      <c r="L21" s="114"/>
      <c r="M21" s="116"/>
      <c r="N21" s="114"/>
      <c r="P21">
        <f t="shared" si="1"/>
        <v>0</v>
      </c>
    </row>
    <row r="22" spans="1:17">
      <c r="M22" s="120">
        <f>SUM(M2:M21)+'Общие данные'!B136</f>
        <v>85500000</v>
      </c>
      <c r="Q22" t="s">
        <v>256</v>
      </c>
    </row>
    <row r="23" spans="1:17">
      <c r="A23" s="101"/>
      <c r="B23" s="102"/>
      <c r="C23" s="102"/>
      <c r="D23" s="102"/>
      <c r="E23" s="102"/>
      <c r="F23" s="102"/>
      <c r="G23" s="102"/>
      <c r="H23" s="102"/>
      <c r="I23" s="102"/>
      <c r="J23" s="102"/>
      <c r="K23" s="102"/>
      <c r="L23" s="102"/>
      <c r="M23" s="102"/>
      <c r="N23" s="102"/>
      <c r="O23" s="102"/>
    </row>
    <row r="24" spans="1:17">
      <c r="A24" s="102"/>
      <c r="B24" s="102"/>
      <c r="C24" s="102"/>
      <c r="D24" s="102"/>
      <c r="E24" s="102"/>
      <c r="F24" s="102"/>
      <c r="G24" s="102"/>
      <c r="H24" s="102"/>
      <c r="I24" s="102"/>
      <c r="J24" s="102"/>
      <c r="K24" s="102"/>
      <c r="L24" s="102"/>
      <c r="M24" s="102"/>
      <c r="N24" s="102"/>
      <c r="O24" s="102"/>
    </row>
    <row r="25" spans="1:17">
      <c r="A25" s="102">
        <f>MONTH(F2)</f>
        <v>1</v>
      </c>
      <c r="B25" s="102" t="str">
        <f>IF(A25=A26,A28,IF(A25=B26,B28,IF(A25=C26,C28,IF(A25=D26,D28,IF(A25=E26,E28,IF(A25=F26,F28,IF(A25=K26,K28,IF(A25=L26,L28,IF(A25=M26,M28,IF(A25=N26,N28,IF(A25=O26,O28,IF(A25=#REF!,#REF!,))))))))))))</f>
        <v>yanvar</v>
      </c>
      <c r="C25" s="102">
        <f>DAY(F2)</f>
        <v>11</v>
      </c>
      <c r="D25" s="102">
        <f>YEAR(F2)</f>
        <v>2021</v>
      </c>
      <c r="E25" s="102"/>
      <c r="F25" s="102"/>
      <c r="G25" s="102"/>
      <c r="H25" s="102"/>
      <c r="I25" s="102"/>
      <c r="J25" s="102"/>
      <c r="K25" s="102"/>
      <c r="L25" s="102"/>
      <c r="M25" s="102"/>
      <c r="N25" s="102"/>
      <c r="O25" s="102"/>
    </row>
    <row r="26" spans="1:17">
      <c r="A26" s="102">
        <v>1</v>
      </c>
      <c r="B26" s="102">
        <v>2</v>
      </c>
      <c r="C26" s="102">
        <v>3</v>
      </c>
      <c r="D26" s="102">
        <v>4</v>
      </c>
      <c r="E26" s="102">
        <v>5</v>
      </c>
      <c r="F26" s="102">
        <v>6</v>
      </c>
      <c r="G26" s="102"/>
      <c r="H26" s="102"/>
      <c r="I26" s="102"/>
      <c r="J26" s="102"/>
      <c r="K26" s="102">
        <v>7</v>
      </c>
      <c r="L26" s="102">
        <v>8</v>
      </c>
      <c r="M26" s="102">
        <v>9</v>
      </c>
      <c r="N26" s="102">
        <v>10</v>
      </c>
      <c r="O26" s="102">
        <v>11</v>
      </c>
      <c r="P26" s="102">
        <v>12</v>
      </c>
    </row>
    <row r="27" spans="1:17">
      <c r="A27" s="102"/>
      <c r="B27" s="102"/>
      <c r="C27" s="102"/>
      <c r="D27" s="102"/>
      <c r="E27" s="102"/>
      <c r="F27" s="102"/>
      <c r="G27" s="102"/>
      <c r="H27" s="102"/>
      <c r="I27" s="102"/>
      <c r="J27" s="102"/>
      <c r="K27" s="102"/>
      <c r="L27" s="102"/>
      <c r="M27" s="102"/>
      <c r="N27" s="102"/>
      <c r="O27" s="102"/>
    </row>
    <row r="28" spans="1:17">
      <c r="A28" s="102" t="s">
        <v>119</v>
      </c>
      <c r="B28" s="102" t="s">
        <v>120</v>
      </c>
      <c r="C28" s="102" t="s">
        <v>109</v>
      </c>
      <c r="D28" s="102" t="s">
        <v>110</v>
      </c>
      <c r="E28" s="102" t="s">
        <v>111</v>
      </c>
      <c r="F28" s="102" t="s">
        <v>112</v>
      </c>
      <c r="G28" s="102"/>
      <c r="H28" s="102"/>
      <c r="I28" s="102"/>
      <c r="J28" s="102"/>
      <c r="K28" s="102" t="s">
        <v>24</v>
      </c>
      <c r="L28" s="102" t="s">
        <v>114</v>
      </c>
      <c r="M28" s="102" t="s">
        <v>255</v>
      </c>
      <c r="N28" s="102" t="s">
        <v>254</v>
      </c>
      <c r="O28" s="102" t="s">
        <v>117</v>
      </c>
      <c r="P28" s="102" t="s">
        <v>118</v>
      </c>
    </row>
    <row r="29" spans="1:17">
      <c r="A29" s="102" t="s">
        <v>119</v>
      </c>
      <c r="B29" s="102" t="s">
        <v>120</v>
      </c>
      <c r="C29" s="102" t="s">
        <v>109</v>
      </c>
      <c r="D29" s="102" t="s">
        <v>110</v>
      </c>
      <c r="E29" s="102" t="s">
        <v>111</v>
      </c>
      <c r="F29" s="102" t="s">
        <v>112</v>
      </c>
      <c r="G29" s="102"/>
      <c r="H29" s="102"/>
      <c r="I29" s="102"/>
      <c r="J29" s="102"/>
      <c r="K29" s="102" t="s">
        <v>28</v>
      </c>
      <c r="L29" s="102" t="s">
        <v>114</v>
      </c>
      <c r="M29" s="102" t="s">
        <v>255</v>
      </c>
      <c r="N29" s="102" t="s">
        <v>254</v>
      </c>
      <c r="O29" s="102" t="s">
        <v>117</v>
      </c>
      <c r="P29" s="102" t="s">
        <v>118</v>
      </c>
    </row>
    <row r="30" spans="1:17">
      <c r="A30" s="102"/>
      <c r="B30" s="102"/>
      <c r="C30" s="102"/>
      <c r="D30" s="102"/>
      <c r="E30" s="102"/>
      <c r="F30" s="102"/>
      <c r="G30" s="102"/>
      <c r="H30" s="102"/>
      <c r="I30" s="102"/>
      <c r="J30" s="102"/>
      <c r="K30" s="102"/>
      <c r="L30" s="103"/>
      <c r="M30" s="103"/>
      <c r="N30" s="103"/>
      <c r="O30" s="103"/>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65"/>
  <sheetViews>
    <sheetView topLeftCell="A132" zoomScaleNormal="100" workbookViewId="0">
      <selection activeCell="A150" sqref="A150"/>
    </sheetView>
  </sheetViews>
  <sheetFormatPr defaultColWidth="0" defaultRowHeight="15" zeroHeight="1"/>
  <cols>
    <col min="1" max="1" width="50" style="191" customWidth="1"/>
    <col min="2" max="2" width="61.85546875" style="193" customWidth="1"/>
    <col min="3" max="3" width="63.85546875" style="183" customWidth="1"/>
    <col min="4" max="4" width="29.7109375" style="183" customWidth="1"/>
    <col min="5" max="7" width="9.140625" style="183" hidden="1" customWidth="1"/>
    <col min="8" max="8" width="62.5703125" style="183" hidden="1" customWidth="1"/>
    <col min="9" max="13" width="9.140625" style="183" hidden="1" customWidth="1"/>
    <col min="14" max="14" width="70.7109375" style="183" hidden="1" customWidth="1"/>
    <col min="15" max="16" width="9.140625" style="183" hidden="1" customWidth="1"/>
    <col min="17" max="17" width="59.7109375" style="183" hidden="1" customWidth="1"/>
    <col min="18" max="18" width="49.85546875" style="183" hidden="1" customWidth="1"/>
    <col min="19" max="16384" width="9.140625" style="183" hidden="1"/>
  </cols>
  <sheetData>
    <row r="1" spans="1:4">
      <c r="A1" s="3" t="str">
        <f>CONCATENATE(B65," olish uchun ariza")</f>
        <v>mikroqarz olish uchun ariza</v>
      </c>
      <c r="B1" s="49" t="s">
        <v>426</v>
      </c>
    </row>
    <row r="2" spans="1:4" ht="15" customHeight="1">
      <c r="A2" s="3" t="str">
        <f>CONCATENATE(B65," olish uchun ariza sanasi QO’L BILAN KIRITILADI")</f>
        <v>mikroqarz olish uchun ariza sanasi QO’L BILAN KIRITILADI</v>
      </c>
      <c r="B2" s="57" t="s">
        <v>402</v>
      </c>
      <c r="D2" s="183">
        <f>180+B2</f>
        <v>45907</v>
      </c>
    </row>
    <row r="3" spans="1:4">
      <c r="A3" s="3"/>
      <c r="B3" s="1"/>
    </row>
    <row r="4" spans="1:4">
      <c r="A4" s="255" t="s">
        <v>53</v>
      </c>
      <c r="B4" s="255"/>
    </row>
    <row r="5" spans="1:4" ht="30">
      <c r="A5" s="3" t="s">
        <v>54</v>
      </c>
      <c r="B5" s="49" t="s">
        <v>403</v>
      </c>
      <c r="C5" s="183" t="s">
        <v>391</v>
      </c>
    </row>
    <row r="6" spans="1:4" ht="30">
      <c r="A6" s="3" t="s">
        <v>55</v>
      </c>
      <c r="B6" s="49" t="s">
        <v>134</v>
      </c>
      <c r="C6" s="183" t="s">
        <v>257</v>
      </c>
      <c r="D6" s="183" t="s">
        <v>134</v>
      </c>
    </row>
    <row r="7" spans="1:4" ht="30">
      <c r="A7" s="3" t="s">
        <v>56</v>
      </c>
      <c r="B7" s="49" t="s">
        <v>404</v>
      </c>
    </row>
    <row r="8" spans="1:4" ht="30" hidden="1">
      <c r="A8" s="3" t="s">
        <v>57</v>
      </c>
      <c r="B8" s="76" t="str">
        <f>B5</f>
        <v>NUTFULLAYEV AKBARJON AXMEDOVICH</v>
      </c>
    </row>
    <row r="9" spans="1:4" hidden="1">
      <c r="A9" s="3" t="s">
        <v>58</v>
      </c>
      <c r="B9" s="76" t="str">
        <f>B7</f>
        <v>NUTFULLAYEV A.A.</v>
      </c>
    </row>
    <row r="10" spans="1:4" ht="30" hidden="1">
      <c r="A10" s="3" t="s">
        <v>59</v>
      </c>
      <c r="B10" s="76" t="str">
        <f>B8</f>
        <v>NUTFULLAYEV AKBARJON AXMEDOVICH</v>
      </c>
    </row>
    <row r="11" spans="1:4" hidden="1">
      <c r="A11" s="3" t="s">
        <v>60</v>
      </c>
      <c r="B11" s="76" t="str">
        <f>B9</f>
        <v>NUTFULLAYEV A.A.</v>
      </c>
    </row>
    <row r="12" spans="1:4" ht="30" hidden="1">
      <c r="A12" s="3" t="s">
        <v>61</v>
      </c>
      <c r="B12" s="76" t="str">
        <f>B10</f>
        <v>NUTFULLAYEV AKBARJON AXMEDOVICH</v>
      </c>
    </row>
    <row r="13" spans="1:4" hidden="1">
      <c r="A13" s="3" t="s">
        <v>62</v>
      </c>
      <c r="B13" s="76" t="str">
        <f>B11</f>
        <v>NUTFULLAYEV A.A.</v>
      </c>
    </row>
    <row r="14" spans="1:4" hidden="1">
      <c r="A14" s="3" t="s">
        <v>63</v>
      </c>
      <c r="B14" s="76" t="s">
        <v>66</v>
      </c>
    </row>
    <row r="15" spans="1:4">
      <c r="A15" s="3" t="s">
        <v>64</v>
      </c>
      <c r="B15" s="219" t="s">
        <v>405</v>
      </c>
    </row>
    <row r="16" spans="1:4">
      <c r="A16" s="3" t="s">
        <v>65</v>
      </c>
      <c r="B16" s="49" t="s">
        <v>406</v>
      </c>
    </row>
    <row r="17" spans="1:7">
      <c r="A17" s="3"/>
      <c r="B17" s="49" t="s">
        <v>422</v>
      </c>
      <c r="D17" s="183" t="str">
        <f>TEXT(C17,"ДД.ММ.ГГГГ")</f>
        <v>00.01.1900</v>
      </c>
    </row>
    <row r="18" spans="1:7">
      <c r="A18" s="3"/>
      <c r="B18" s="195">
        <v>42118</v>
      </c>
      <c r="C18" s="202" t="str">
        <f>TEXT(B18,"ДД.ММ.ГГГГ")</f>
        <v>24.04.2015</v>
      </c>
    </row>
    <row r="19" spans="1:7">
      <c r="A19" s="3"/>
      <c r="B19" s="195">
        <v>45770</v>
      </c>
      <c r="C19" s="202" t="str">
        <f>TEXT(B19,"ДД.ММ.ГГГГ")</f>
        <v>23.04.2025</v>
      </c>
    </row>
    <row r="20" spans="1:7" ht="60">
      <c r="A20" s="3" t="s">
        <v>68</v>
      </c>
      <c r="B20" s="60" t="str">
        <f>""&amp;B17&amp;" tomonidan "&amp;C18&amp;" yilda berilgan"</f>
        <v>BUXORO VILOYATI BUXORO SHAHAR IIB tomonidan 24.04.2015 yilda berilgan</v>
      </c>
      <c r="C20" s="203" t="str">
        <f>""&amp;B17&amp;" tomonidan "&amp;C18&amp;" yilda berilgan"</f>
        <v>BUXORO VILOYATI BUXORO SHAHAR IIB tomonidan 24.04.2015 yilda berilgan</v>
      </c>
    </row>
    <row r="21" spans="1:7" ht="45">
      <c r="A21" s="3" t="s">
        <v>69</v>
      </c>
      <c r="B21" s="60" t="str">
        <f>""&amp;C19&amp;" y."</f>
        <v>23.04.2025 y.</v>
      </c>
      <c r="C21" s="202" t="str">
        <f>""&amp;C19&amp;" yilgacha"</f>
        <v>23.04.2025 yilgacha</v>
      </c>
    </row>
    <row r="22" spans="1:7" ht="57.75" customHeight="1">
      <c r="A22" s="3" t="s">
        <v>70</v>
      </c>
      <c r="B22" s="49" t="s">
        <v>407</v>
      </c>
      <c r="C22" s="202" t="str">
        <f>TEXT(B19,"ДД.ММ.ГГГГ")</f>
        <v>23.04.2025</v>
      </c>
    </row>
    <row r="23" spans="1:7" ht="30">
      <c r="A23" s="3" t="s">
        <v>71</v>
      </c>
      <c r="B23" s="49" t="s">
        <v>95</v>
      </c>
      <c r="C23" s="183" t="s">
        <v>95</v>
      </c>
      <c r="D23" s="183" t="s">
        <v>96</v>
      </c>
    </row>
    <row r="24" spans="1:7" ht="30" hidden="1">
      <c r="A24" s="3" t="s">
        <v>72</v>
      </c>
      <c r="B24" s="76" t="s">
        <v>93</v>
      </c>
      <c r="C24" s="183" t="s">
        <v>93</v>
      </c>
      <c r="D24" s="183" t="s">
        <v>94</v>
      </c>
      <c r="E24" s="183" t="s">
        <v>0</v>
      </c>
      <c r="F24" s="183" t="s">
        <v>1</v>
      </c>
      <c r="G24" s="183" t="s">
        <v>3</v>
      </c>
    </row>
    <row r="25" spans="1:7">
      <c r="A25" s="3" t="s">
        <v>73</v>
      </c>
      <c r="B25" s="49" t="s">
        <v>408</v>
      </c>
    </row>
    <row r="26" spans="1:7" ht="44.25" customHeight="1">
      <c r="A26" s="3" t="s">
        <v>74</v>
      </c>
      <c r="B26" s="49" t="s">
        <v>409</v>
      </c>
      <c r="C26" s="183" t="s">
        <v>27</v>
      </c>
    </row>
    <row r="27" spans="1:7" ht="44.25" hidden="1" customHeight="1">
      <c r="A27" s="3"/>
      <c r="B27" s="49" t="str">
        <f>IF(B23="mos keladi",B22,B28)</f>
        <v>BUXORO VILOYATI BUXORO SHAHAR TADBIRKOR KO'CHASI 12-UY</v>
      </c>
    </row>
    <row r="28" spans="1:7" ht="45">
      <c r="A28" s="3" t="s">
        <v>75</v>
      </c>
      <c r="B28" s="49" t="s">
        <v>407</v>
      </c>
    </row>
    <row r="29" spans="1:7">
      <c r="A29" s="3" t="s">
        <v>76</v>
      </c>
      <c r="B29" s="49" t="s">
        <v>93</v>
      </c>
      <c r="C29" s="183" t="s">
        <v>93</v>
      </c>
      <c r="D29" s="183" t="s">
        <v>94</v>
      </c>
      <c r="E29" s="183" t="s">
        <v>330</v>
      </c>
      <c r="F29" s="183" t="s">
        <v>331</v>
      </c>
      <c r="G29" s="183" t="s">
        <v>3</v>
      </c>
    </row>
    <row r="30" spans="1:7" ht="27">
      <c r="A30" s="3" t="s">
        <v>77</v>
      </c>
      <c r="B30" s="174" t="s">
        <v>148</v>
      </c>
      <c r="C30" s="183" t="s">
        <v>148</v>
      </c>
      <c r="D30" s="183" t="s">
        <v>334</v>
      </c>
    </row>
    <row r="31" spans="1:7">
      <c r="A31" s="3" t="s">
        <v>78</v>
      </c>
      <c r="B31" s="49" t="s">
        <v>410</v>
      </c>
      <c r="C31" s="183" t="s">
        <v>390</v>
      </c>
    </row>
    <row r="32" spans="1:7">
      <c r="A32" s="3" t="s">
        <v>63</v>
      </c>
      <c r="B32" s="49" t="s">
        <v>66</v>
      </c>
    </row>
    <row r="33" spans="1:4">
      <c r="A33" s="3" t="s">
        <v>73</v>
      </c>
      <c r="B33" s="49" t="s">
        <v>411</v>
      </c>
    </row>
    <row r="34" spans="1:4" hidden="1">
      <c r="A34" s="3"/>
      <c r="B34" s="49" t="str">
        <f>IF(B23="mos keladi",B26,B35)</f>
        <v>GOR VODAKANAL</v>
      </c>
    </row>
    <row r="35" spans="1:4">
      <c r="A35" s="3" t="s">
        <v>74</v>
      </c>
      <c r="B35" s="49"/>
    </row>
    <row r="36" spans="1:4">
      <c r="A36" s="3" t="s">
        <v>79</v>
      </c>
      <c r="B36" s="49"/>
    </row>
    <row r="37" spans="1:4">
      <c r="A37" s="3" t="s">
        <v>80</v>
      </c>
      <c r="B37" s="49"/>
    </row>
    <row r="38" spans="1:4">
      <c r="A38" s="3" t="s">
        <v>81</v>
      </c>
      <c r="B38" s="49"/>
    </row>
    <row r="39" spans="1:4">
      <c r="A39" s="3" t="s">
        <v>82</v>
      </c>
      <c r="B39" s="49" t="str" cm="1">
        <f t="array" aca="1" ref="B39" ca="1">+A39:B96</f>
        <v>Mutaxassisligi</v>
      </c>
    </row>
    <row r="40" spans="1:4" ht="24.75" customHeight="1">
      <c r="A40" s="3" t="s">
        <v>83</v>
      </c>
      <c r="B40" s="49" t="s">
        <v>411</v>
      </c>
    </row>
    <row r="41" spans="1:4" ht="24.75" customHeight="1">
      <c r="A41" s="3" t="s">
        <v>84</v>
      </c>
      <c r="B41" s="49" t="s">
        <v>412</v>
      </c>
    </row>
    <row r="42" spans="1:4" ht="24.75" customHeight="1">
      <c r="A42" s="3" t="s">
        <v>83</v>
      </c>
      <c r="B42" s="49" t="s">
        <v>413</v>
      </c>
    </row>
    <row r="43" spans="1:4" ht="30">
      <c r="A43" s="3" t="s">
        <v>84</v>
      </c>
      <c r="B43" s="49"/>
    </row>
    <row r="44" spans="1:4" ht="23.25">
      <c r="A44" s="176" t="s">
        <v>85</v>
      </c>
      <c r="B44" s="175" t="s">
        <v>347</v>
      </c>
      <c r="C44" s="183" t="s">
        <v>347</v>
      </c>
      <c r="D44" s="183" t="s">
        <v>354</v>
      </c>
    </row>
    <row r="45" spans="1:4" hidden="1">
      <c r="A45" s="3"/>
      <c r="B45" s="173" t="str">
        <f>IF(B44=D44,CONCATENATE("MA'LUMOTNOMA ",B47,B46),C44)</f>
        <v>Yakka tartibdagi tadbirkor</v>
      </c>
    </row>
    <row r="46" spans="1:4" ht="69.75">
      <c r="A46" s="176" t="s">
        <v>355</v>
      </c>
      <c r="B46" s="220"/>
    </row>
    <row r="47" spans="1:4" ht="23.25">
      <c r="A47" s="176"/>
      <c r="B47" s="194"/>
      <c r="C47" s="183" t="s">
        <v>15</v>
      </c>
    </row>
    <row r="48" spans="1:4" ht="69.75">
      <c r="A48" s="176" t="s">
        <v>356</v>
      </c>
      <c r="B48" s="173"/>
    </row>
    <row r="49" spans="1:4" hidden="1">
      <c r="A49" s="3" t="s">
        <v>86</v>
      </c>
      <c r="B49" s="49" t="str">
        <f>IF(B44=C44,C44,B48)</f>
        <v>Yakka tartibdagi tadbirkor</v>
      </c>
    </row>
    <row r="50" spans="1:4" ht="45">
      <c r="A50" s="3" t="s">
        <v>87</v>
      </c>
      <c r="B50" s="49"/>
    </row>
    <row r="51" spans="1:4">
      <c r="A51" s="3" t="s">
        <v>74</v>
      </c>
      <c r="B51" s="49"/>
    </row>
    <row r="52" spans="1:4">
      <c r="A52" s="3" t="s">
        <v>88</v>
      </c>
      <c r="B52" s="49"/>
    </row>
    <row r="53" spans="1:4">
      <c r="A53" s="3" t="s">
        <v>89</v>
      </c>
      <c r="B53" s="49"/>
    </row>
    <row r="54" spans="1:4">
      <c r="A54" s="3" t="s">
        <v>90</v>
      </c>
      <c r="B54" s="49"/>
    </row>
    <row r="55" spans="1:4">
      <c r="A55" s="3" t="s">
        <v>91</v>
      </c>
      <c r="B55" s="2"/>
    </row>
    <row r="56" spans="1:4">
      <c r="A56" s="3" t="s">
        <v>92</v>
      </c>
      <c r="B56" s="2" t="s">
        <v>22</v>
      </c>
    </row>
    <row r="57" spans="1:4" ht="30" customHeight="1">
      <c r="A57" s="256" t="s">
        <v>97</v>
      </c>
      <c r="B57" s="257"/>
    </row>
    <row r="58" spans="1:4" ht="20.25" hidden="1" customHeight="1">
      <c r="A58" s="3" t="s">
        <v>98</v>
      </c>
      <c r="B58" s="49" t="str">
        <f>IF(B44=C44,C44,CONCATENATE(B44," ",B47))</f>
        <v>Yakka tartibdagi tadbirkor</v>
      </c>
    </row>
    <row r="59" spans="1:4" ht="31.5" hidden="1" customHeight="1">
      <c r="A59" s="3" t="s">
        <v>86</v>
      </c>
      <c r="B59" s="49" t="str">
        <f>B49</f>
        <v>Yakka tartibdagi tadbirkor</v>
      </c>
    </row>
    <row r="60" spans="1:4" ht="23.25">
      <c r="A60" s="176" t="s">
        <v>99</v>
      </c>
      <c r="B60" s="180">
        <v>10000000</v>
      </c>
      <c r="C60" s="198">
        <f>C63/B75</f>
        <v>0.49926938814814814</v>
      </c>
    </row>
    <row r="61" spans="1:4">
      <c r="A61" s="3" t="s">
        <v>100</v>
      </c>
      <c r="B61" s="5">
        <v>0</v>
      </c>
      <c r="C61" s="199" t="s">
        <v>395</v>
      </c>
    </row>
    <row r="62" spans="1:4" hidden="1">
      <c r="A62" s="3" t="s">
        <v>101</v>
      </c>
      <c r="B62" s="49">
        <f>B53</f>
        <v>0</v>
      </c>
      <c r="C62" s="196"/>
    </row>
    <row r="63" spans="1:4">
      <c r="A63" s="3" t="s">
        <v>102</v>
      </c>
      <c r="B63" s="49"/>
      <c r="C63" s="197">
        <f>SUM(График!E9:E20)</f>
        <v>13480273.48</v>
      </c>
    </row>
    <row r="64" spans="1:4">
      <c r="A64" s="255" t="s">
        <v>103</v>
      </c>
      <c r="B64" s="255"/>
      <c r="C64" s="183" t="str">
        <f>PROPER(B65)</f>
        <v>Mikroqarz</v>
      </c>
      <c r="D64" s="183" t="str">
        <f>UPPER(B65)</f>
        <v>MIKROQARZ</v>
      </c>
    </row>
    <row r="65" spans="1:14" ht="15.75" thickBot="1">
      <c r="A65" s="3" t="s">
        <v>104</v>
      </c>
      <c r="B65" s="1" t="str">
        <f>IF(B75&gt;100000001,"mikrokredit",IF(B75&lt;100000001,"mikroqarz",0))</f>
        <v>mikroqarz</v>
      </c>
      <c r="C65" s="185">
        <f>DATE(YEAR(B67),MONTH(B67)+B81,DAY(B67))</f>
        <v>46823</v>
      </c>
    </row>
    <row r="66" spans="1:14" hidden="1">
      <c r="A66" s="3" t="s">
        <v>105</v>
      </c>
      <c r="B66" s="49" t="str">
        <f>B1</f>
        <v>№ -AL</v>
      </c>
      <c r="C66" s="183">
        <f>MONTH(C65)</f>
        <v>3</v>
      </c>
      <c r="D66" s="183" t="str">
        <f>IF(C66=C68,C70,IF(C66=D68,D70,IF(C66=E68,E70,IF(C66=F68,F70,IF(C66=G68,G70,IF(C66=H68,H70,IF(C66=I68,I70,IF(C66=J68,J70,IF(C66=K68,K70,IF(C66=L68,L70,IF(C66=M68,M70,IF(C66=N68,N70,))))))))))))</f>
        <v>mart</v>
      </c>
      <c r="E66" s="183">
        <f>DAY(C65)</f>
        <v>11</v>
      </c>
      <c r="F66" s="183">
        <f>YEAR(C65)</f>
        <v>2028</v>
      </c>
      <c r="G66" s="183">
        <f>MONTH(C65)</f>
        <v>3</v>
      </c>
      <c r="H66" s="183" t="str">
        <f>IF(C66=C68,C71,IF(C66=D68,D71,IF(C66=E68,E71,IF(C66=F68,F71,IF(C66=G68,G71,IF(C66=H68,H71,IF(C66=I68,I71,IF(C66=J68,J71,IF(C66=K68,K71,IF(C66=L68,L71,IF(C66=M68,M71,IF(C66=N68,N71,))))))))))))</f>
        <v>mart</v>
      </c>
      <c r="I66" s="183">
        <f>YEAR(C65)</f>
        <v>2028</v>
      </c>
    </row>
    <row r="67" spans="1:14" hidden="1">
      <c r="A67" s="3" t="s">
        <v>106</v>
      </c>
      <c r="B67" s="85" t="str">
        <f>B2</f>
        <v>11.03.2025</v>
      </c>
      <c r="C67" s="183">
        <f>MONTH(B67)</f>
        <v>3</v>
      </c>
      <c r="D67" s="183" t="str">
        <f>IF(C67=C68,C70,IF(C67=D68,D70,IF(C67=E68,E70,IF(C67=F68,F70,IF(C67=G68,G70,IF(C67=H68,H70,IF(C67=I68,I70,IF(C67=J68,J70,IF(C67=K68,K70,IF(C67=L68,L70,IF(C67=M68,M70,IF(C67=N68,N70,))))))))))))</f>
        <v>mart</v>
      </c>
      <c r="E67" s="183">
        <f>DAY(B67)</f>
        <v>11</v>
      </c>
      <c r="F67" s="183">
        <f>YEAR(B67)</f>
        <v>2025</v>
      </c>
      <c r="G67" s="183">
        <f>MONTH(B67)</f>
        <v>3</v>
      </c>
      <c r="H67" s="183" t="str">
        <f>IF(C67=C68,C71,IF(C67=D68,D71,IF(C67=E68,E71,IF(C67=F68,F71,IF(C67=G68,G71,IF(C67=H68,H71,IF(C67=I68,I71,IF(C67=J68,J71,IF(C67=K68,K71,IF(C67=L68,L71,IF(C67=M68,M71,IF(C67=N68,N71,))))))))))))</f>
        <v>mart</v>
      </c>
      <c r="I67" s="183">
        <f>YEAR(B67)</f>
        <v>2025</v>
      </c>
    </row>
    <row r="68" spans="1:14" hidden="1">
      <c r="A68" s="3" t="s">
        <v>107</v>
      </c>
      <c r="B68" s="77" t="str">
        <f>""&amp;E67&amp;" "&amp;D67&amp;" "&amp;F67&amp;" y."</f>
        <v>11 mart 2025 y.</v>
      </c>
      <c r="C68" s="183">
        <v>1</v>
      </c>
      <c r="D68" s="183">
        <v>2</v>
      </c>
      <c r="E68" s="183">
        <v>3</v>
      </c>
      <c r="F68" s="183">
        <v>4</v>
      </c>
      <c r="G68" s="183">
        <v>5</v>
      </c>
      <c r="H68" s="183">
        <v>6</v>
      </c>
      <c r="I68" s="183">
        <v>7</v>
      </c>
      <c r="J68" s="183">
        <v>8</v>
      </c>
      <c r="K68" s="183">
        <v>9</v>
      </c>
      <c r="L68" s="183">
        <v>10</v>
      </c>
      <c r="M68" s="183">
        <v>11</v>
      </c>
      <c r="N68" s="183">
        <v>12</v>
      </c>
    </row>
    <row r="69" spans="1:14" hidden="1">
      <c r="A69" s="3"/>
      <c r="B69" s="77" t="str">
        <f>""&amp;E67&amp;" "&amp;H67&amp;" "&amp;F67&amp;" y."</f>
        <v>11 mart 2025 y.</v>
      </c>
    </row>
    <row r="70" spans="1:14" hidden="1">
      <c r="A70" s="3"/>
      <c r="B70" s="59" t="str">
        <f>B68</f>
        <v>11 mart 2025 y.</v>
      </c>
      <c r="C70" s="183" t="s">
        <v>119</v>
      </c>
      <c r="D70" s="183" t="s">
        <v>120</v>
      </c>
      <c r="E70" s="183" t="s">
        <v>109</v>
      </c>
      <c r="F70" s="183" t="s">
        <v>110</v>
      </c>
      <c r="G70" s="183" t="s">
        <v>111</v>
      </c>
      <c r="H70" s="183" t="s">
        <v>112</v>
      </c>
      <c r="I70" s="183" t="s">
        <v>113</v>
      </c>
      <c r="J70" s="183" t="s">
        <v>114</v>
      </c>
      <c r="K70" s="183" t="s">
        <v>115</v>
      </c>
      <c r="L70" s="183" t="s">
        <v>116</v>
      </c>
      <c r="M70" s="183" t="s">
        <v>117</v>
      </c>
      <c r="N70" s="183" t="s">
        <v>118</v>
      </c>
    </row>
    <row r="71" spans="1:14" hidden="1">
      <c r="A71" s="3"/>
      <c r="B71" s="59" t="str">
        <f>B69</f>
        <v>11 mart 2025 y.</v>
      </c>
      <c r="C71" s="183" t="s">
        <v>119</v>
      </c>
      <c r="D71" s="183" t="s">
        <v>120</v>
      </c>
      <c r="E71" s="183" t="s">
        <v>109</v>
      </c>
      <c r="F71" s="183" t="s">
        <v>110</v>
      </c>
      <c r="G71" s="183" t="s">
        <v>111</v>
      </c>
      <c r="H71" s="183" t="s">
        <v>112</v>
      </c>
      <c r="I71" s="183" t="s">
        <v>113</v>
      </c>
      <c r="J71" s="183" t="s">
        <v>114</v>
      </c>
      <c r="K71" s="183" t="s">
        <v>115</v>
      </c>
      <c r="L71" s="183" t="s">
        <v>116</v>
      </c>
      <c r="M71" s="183" t="s">
        <v>117</v>
      </c>
      <c r="N71" s="183" t="s">
        <v>118</v>
      </c>
    </row>
    <row r="72" spans="1:14" hidden="1">
      <c r="A72" s="3" t="s">
        <v>108</v>
      </c>
      <c r="B72" s="58" t="str">
        <f>""&amp;E66&amp;" "&amp;D66&amp;" "&amp;F66&amp;" y."</f>
        <v>11 mart 2028 y.</v>
      </c>
    </row>
    <row r="73" spans="1:14" hidden="1">
      <c r="A73" s="3"/>
      <c r="B73" s="58" t="str">
        <f>""&amp;E66&amp;" "&amp;H66&amp;" "&amp;F66&amp;" y."</f>
        <v>11 mart 2028 y.</v>
      </c>
    </row>
    <row r="74" spans="1:14" ht="15.75" hidden="1" thickBot="1">
      <c r="A74" s="3" t="s">
        <v>121</v>
      </c>
      <c r="B74" s="1" t="str">
        <f>""&amp;B68&amp;"dan "&amp;B66&amp;""</f>
        <v>11 mart 2025 y.dan № -AL</v>
      </c>
    </row>
    <row r="75" spans="1:14">
      <c r="A75" s="3" t="str">
        <f>CONCATENATE(B65," miqdori (summasi)")</f>
        <v>mikroqarz miqdori (summasi)</v>
      </c>
      <c r="B75" s="68">
        <v>27000000</v>
      </c>
      <c r="C75" s="186" t="s">
        <v>127</v>
      </c>
    </row>
    <row r="76" spans="1:14">
      <c r="A76" s="149" t="s">
        <v>122</v>
      </c>
      <c r="B76"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yigirma yetti million so'm</v>
      </c>
      <c r="C76" s="184"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Yigirma yetti million so'm</v>
      </c>
    </row>
    <row r="77" spans="1:14">
      <c r="A77" s="3" t="s">
        <v>123</v>
      </c>
      <c r="B77" s="49" t="s">
        <v>129</v>
      </c>
      <c r="C77" s="183" t="s">
        <v>129</v>
      </c>
      <c r="D77" s="183" t="s">
        <v>128</v>
      </c>
    </row>
    <row r="78" spans="1:14">
      <c r="A78" s="3" t="str">
        <f>CONCATENATE(B65,"ni to'lash sanasi (14.10.2011)")</f>
        <v>mikroqarzni to'lash sanasi (14.10.2011)</v>
      </c>
      <c r="B78" s="49">
        <v>5</v>
      </c>
      <c r="C78" s="185">
        <f>DATE(YEAR(B67),MONTH(B67)+1,DAY(B78))</f>
        <v>45752</v>
      </c>
      <c r="D78" s="183" t="s">
        <v>29</v>
      </c>
      <c r="E78" s="183" t="s">
        <v>30</v>
      </c>
      <c r="F78" s="183" t="s">
        <v>31</v>
      </c>
      <c r="G78" s="183" t="s">
        <v>32</v>
      </c>
      <c r="H78" s="183" t="s">
        <v>33</v>
      </c>
      <c r="I78" s="183" t="s">
        <v>34</v>
      </c>
      <c r="J78" s="183" t="s">
        <v>35</v>
      </c>
    </row>
    <row r="79" spans="1:14" ht="30" hidden="1">
      <c r="A79" s="3" t="str">
        <f>CONCATENATE(B65,"ni to'lash sanasi (14.10.2011 y.) QO’L BILAN KIRITILADI")</f>
        <v>mikroqarzni to'lash sanasi (14.10.2011 y.) QO’L BILAN KIRITILADI</v>
      </c>
      <c r="B79" s="78">
        <f>DATE(YEAR(B67),MONTH(B67)+1,DAY(B78+C80))</f>
        <v>45754</v>
      </c>
      <c r="C79" s="187" t="str">
        <f>TEXT(C78,"ддд")</f>
        <v>Сб</v>
      </c>
      <c r="D79" s="183" t="s">
        <v>29</v>
      </c>
      <c r="E79" s="183" t="s">
        <v>30</v>
      </c>
      <c r="F79" s="183" t="s">
        <v>31</v>
      </c>
      <c r="G79" s="183" t="s">
        <v>32</v>
      </c>
      <c r="H79" s="183" t="s">
        <v>33</v>
      </c>
      <c r="I79" s="183" t="s">
        <v>34</v>
      </c>
      <c r="J79" s="183" t="s">
        <v>35</v>
      </c>
    </row>
    <row r="80" spans="1:14" ht="30" hidden="1">
      <c r="A80" s="3" t="s">
        <v>124</v>
      </c>
      <c r="B80" s="79">
        <f>B79</f>
        <v>45754</v>
      </c>
      <c r="C80" s="183">
        <f>IF(C79=I79,2,IF(C79=J79,1,0))</f>
        <v>2</v>
      </c>
    </row>
    <row r="81" spans="1:63">
      <c r="A81" s="3" t="str">
        <f>CONCATENATE(B65," muddati")</f>
        <v>mikroqarz muddati</v>
      </c>
      <c r="B81" s="49">
        <v>36</v>
      </c>
      <c r="C81" s="183">
        <v>6</v>
      </c>
      <c r="D81" s="183">
        <v>12</v>
      </c>
      <c r="E81" s="183">
        <v>18</v>
      </c>
      <c r="F81" s="183">
        <v>24</v>
      </c>
      <c r="G81" s="183">
        <v>36</v>
      </c>
    </row>
    <row r="82" spans="1:63">
      <c r="A82" s="3" t="str">
        <f>CONCATENATE(B65," muddati QO’L BILAN KIRITILADI")</f>
        <v>mikroqarz muddati QO’L BILAN KIRITILADI</v>
      </c>
      <c r="B82" s="145" t="s">
        <v>414</v>
      </c>
    </row>
    <row r="83" spans="1:63" ht="30">
      <c r="A83" s="171" t="s">
        <v>351</v>
      </c>
      <c r="B83" s="145">
        <v>0</v>
      </c>
      <c r="BJ83" s="183">
        <v>1</v>
      </c>
      <c r="BK83" s="183">
        <v>0</v>
      </c>
    </row>
    <row r="84" spans="1:63">
      <c r="A84" s="3" t="str">
        <f>CONCATENATE(B65," stavkasi")</f>
        <v>mikroqarz stavkasi</v>
      </c>
      <c r="B84" s="81">
        <v>0.6</v>
      </c>
    </row>
    <row r="85" spans="1:63">
      <c r="A85" s="3" t="str">
        <f>CONCATENATE(B65," stavkasi")</f>
        <v>mikroqarz stavkasi</v>
      </c>
      <c r="B85" s="82" t="s">
        <v>393</v>
      </c>
    </row>
    <row r="86" spans="1:63">
      <c r="A86" s="3" t="str">
        <f>CONCATENATE(B65," stavkasi (so’z bilan)")</f>
        <v>mikroqarz stavkasi (so’z bilan)</v>
      </c>
      <c r="B86" s="80" t="s">
        <v>394</v>
      </c>
      <c r="C86" s="183" t="s">
        <v>394</v>
      </c>
    </row>
    <row r="87" spans="1:63">
      <c r="A87" s="3" t="str">
        <f>CONCATENATE("Muddati o'tgan ",B65," bo’yicha stavka")</f>
        <v>Muddati o'tgan mikroqarz bo’yicha stavka</v>
      </c>
      <c r="B87" s="81">
        <v>1</v>
      </c>
    </row>
    <row r="88" spans="1:63">
      <c r="A88" s="149" t="s">
        <v>122</v>
      </c>
      <c r="B88" s="82" t="s">
        <v>396</v>
      </c>
    </row>
    <row r="89" spans="1:63">
      <c r="A89" s="3" t="str">
        <f>CONCATENATE("Muddati o'tgan ",B65," bo’yicha stavka")</f>
        <v>Muddati o'tgan mikroqarz bo’yicha stavka</v>
      </c>
      <c r="B89" s="80" t="s">
        <v>397</v>
      </c>
      <c r="C89" s="183" t="s">
        <v>397</v>
      </c>
    </row>
    <row r="90" spans="1:63">
      <c r="A90" s="3" t="s">
        <v>125</v>
      </c>
      <c r="B90" s="83">
        <f>IF(B77=C77,LARGE(График!F9:F26,1),ROUND(PMT(B84/12,B81,-B75,0),-3))</f>
        <v>2051917.76</v>
      </c>
    </row>
    <row r="91" spans="1:63">
      <c r="A91" s="255" t="s">
        <v>126</v>
      </c>
      <c r="B91" s="255"/>
    </row>
    <row r="92" spans="1:63" ht="18">
      <c r="A92" s="84"/>
      <c r="B92" s="139" t="s">
        <v>131</v>
      </c>
      <c r="C92" s="188" t="s">
        <v>131</v>
      </c>
      <c r="D92" s="183" t="s">
        <v>132</v>
      </c>
    </row>
    <row r="93" spans="1:63" ht="18">
      <c r="A93" s="8" t="s">
        <v>137</v>
      </c>
      <c r="B93" s="139" t="s">
        <v>133</v>
      </c>
      <c r="C93" s="189" t="s">
        <v>133</v>
      </c>
      <c r="D93" s="183" t="s">
        <v>134</v>
      </c>
    </row>
    <row r="94" spans="1:63" ht="54">
      <c r="A94" s="8" t="s">
        <v>138</v>
      </c>
      <c r="B94" s="139" t="s">
        <v>135</v>
      </c>
      <c r="C94" s="183" t="s">
        <v>135</v>
      </c>
      <c r="D94" s="183" t="s">
        <v>136</v>
      </c>
    </row>
    <row r="95" spans="1:63" ht="36">
      <c r="A95" s="8" t="s">
        <v>139</v>
      </c>
      <c r="B95" s="139"/>
    </row>
    <row r="96" spans="1:63" ht="36">
      <c r="A96" s="8" t="s">
        <v>140</v>
      </c>
      <c r="B96" s="139"/>
    </row>
    <row r="97" spans="1:4">
      <c r="A97" s="255"/>
      <c r="B97" s="255"/>
    </row>
    <row r="98" spans="1:4" ht="36">
      <c r="A98" s="8" t="s">
        <v>141</v>
      </c>
      <c r="B98" s="139"/>
    </row>
    <row r="99" spans="1:4" ht="54">
      <c r="A99" s="8" t="s">
        <v>142</v>
      </c>
      <c r="B99" s="139"/>
    </row>
    <row r="100" spans="1:4" ht="18">
      <c r="A100" s="8" t="s">
        <v>143</v>
      </c>
      <c r="B100" s="146"/>
    </row>
    <row r="101" spans="1:4" ht="18">
      <c r="A101" s="8" t="s">
        <v>144</v>
      </c>
      <c r="B101" s="146"/>
    </row>
    <row r="102" spans="1:4" ht="18" hidden="1">
      <c r="A102" s="8"/>
      <c r="B102" s="139" t="str">
        <f>TEXT(B101,"ДД.ММ.ГГГГ")</f>
        <v>00.01.1900</v>
      </c>
    </row>
    <row r="103" spans="1:4" ht="18">
      <c r="A103" s="8"/>
      <c r="B103" s="9" t="s">
        <v>145</v>
      </c>
      <c r="C103" s="183" t="s">
        <v>145</v>
      </c>
      <c r="D103" s="183" t="s">
        <v>146</v>
      </c>
    </row>
    <row r="104" spans="1:4" ht="60">
      <c r="A104" s="179" t="s">
        <v>353</v>
      </c>
      <c r="B104" s="178" t="s">
        <v>352</v>
      </c>
      <c r="C104" s="204" t="s">
        <v>146</v>
      </c>
    </row>
    <row r="105" spans="1:4" ht="30">
      <c r="A105" s="170" t="s">
        <v>374</v>
      </c>
      <c r="B105" s="9"/>
      <c r="C105" s="204"/>
    </row>
    <row r="106" spans="1:4" ht="30">
      <c r="A106" s="170" t="s">
        <v>375</v>
      </c>
      <c r="B106" s="9"/>
      <c r="C106" s="204"/>
    </row>
    <row r="107" spans="1:4" ht="60">
      <c r="A107" s="170" t="str">
        <f>A113</f>
        <v>Tug’ilgan sanasi (01.10.2011 y.)</v>
      </c>
      <c r="B107" s="200"/>
      <c r="C107" s="204"/>
    </row>
    <row r="108" spans="1:4" ht="60">
      <c r="A108" s="170" t="str">
        <f>A114</f>
        <v>Pasport seriyasi (СА №1234567)</v>
      </c>
      <c r="B108" s="9"/>
      <c r="C108" s="204"/>
    </row>
    <row r="109" spans="1:4" ht="210">
      <c r="A109" s="170" t="str">
        <f>A115</f>
        <v xml:space="preserve">Kim va qachon berilgan
(Toshkent shahri Chilonzor IIB tomonidan 2011 yil __.____)
</v>
      </c>
      <c r="B109" s="9"/>
      <c r="C109" s="204"/>
    </row>
    <row r="110" spans="1:4" ht="210">
      <c r="A110" s="170" t="str">
        <f>A116</f>
        <v xml:space="preserve">doimiy ro’yhatdan o’tgan joyi
(Toshkent sh., Mirobod tumani, Nukus ko’chasi, 1 uy, 1 honadon)
</v>
      </c>
      <c r="B110" s="9"/>
      <c r="C110" s="204"/>
    </row>
    <row r="111" spans="1:4" hidden="1">
      <c r="A111" s="137" t="s">
        <v>158</v>
      </c>
      <c r="B111" s="129" t="str">
        <f>IF(B93="HA",B5,B105)</f>
        <v>NUTFULLAYEV AKBARJON AXMEDOVICH</v>
      </c>
      <c r="C111" s="205" t="str">
        <f>IF(B93="HA",B5,C105)</f>
        <v>NUTFULLAYEV AKBARJON AXMEDOVICH</v>
      </c>
    </row>
    <row r="112" spans="1:4" hidden="1">
      <c r="A112" s="137"/>
      <c r="B112" s="129" t="str">
        <f>IF(B93="HA",B7,B106)</f>
        <v>NUTFULLAYEV A.A.</v>
      </c>
      <c r="C112" s="205" t="str">
        <f>IF(B93="HA",B7,C106)</f>
        <v>NUTFULLAYEV A.A.</v>
      </c>
    </row>
    <row r="113" spans="1:18" hidden="1">
      <c r="A113" s="138" t="s">
        <v>159</v>
      </c>
      <c r="B113" s="169" t="str">
        <f>IF(B93="HA",B15,B107)</f>
        <v>14.09.1989 y</v>
      </c>
      <c r="C113" s="205" t="str">
        <f>IF(B93="HA",B15,C107)</f>
        <v>14.09.1989 y</v>
      </c>
    </row>
    <row r="114" spans="1:18" hidden="1">
      <c r="A114" s="138" t="s">
        <v>65</v>
      </c>
      <c r="B114" s="169" t="str">
        <f>IF(B93="HA",B16,B108)</f>
        <v>AA 9481167</v>
      </c>
      <c r="C114" s="205" t="str">
        <f>IF(B93="HA",B16,C108)</f>
        <v>AA 9481167</v>
      </c>
    </row>
    <row r="115" spans="1:18" ht="30" hidden="1" customHeight="1">
      <c r="A115" s="138" t="s">
        <v>68</v>
      </c>
      <c r="B115" s="129" t="str">
        <f>IF(B93="HA",B20,B109)</f>
        <v>BUXORO VILOYATI BUXORO SHAHAR IIB tomonidan 24.04.2015 yilda berilgan</v>
      </c>
      <c r="C115" s="205" t="str">
        <f>IF(B93="HA",B20,C109)</f>
        <v>BUXORO VILOYATI BUXORO SHAHAR IIB tomonidan 24.04.2015 yilda berilgan</v>
      </c>
      <c r="D115" s="183">
        <v>493193762</v>
      </c>
    </row>
    <row r="116" spans="1:18" ht="53.25" hidden="1" customHeight="1">
      <c r="A116" s="138" t="s">
        <v>70</v>
      </c>
      <c r="B116" s="129" t="str">
        <f>IF(B93="HA",B22,B110)</f>
        <v>BUXORO VILOYATI BUXORO SHAHAR TADBIRKOR KO'CHASI 12-UY</v>
      </c>
      <c r="C116" s="206" t="str">
        <f>IF(B93="HA",B22,C110)</f>
        <v>BUXORO VILOYATI BUXORO SHAHAR TADBIRKOR KO'CHASI 12-UY</v>
      </c>
    </row>
    <row r="117" spans="1:18" hidden="1">
      <c r="A117" s="138" t="s">
        <v>160</v>
      </c>
      <c r="B117" s="1" t="str">
        <f>IF(B93="ha",B5,B111)</f>
        <v>NUTFULLAYEV AKBARJON AXMEDOVICH</v>
      </c>
      <c r="C117" s="207" t="str">
        <f>IF(B93="ha",B5,C111)</f>
        <v>NUTFULLAYEV AKBARJON AXMEDOVICH</v>
      </c>
    </row>
    <row r="118" spans="1:18" hidden="1">
      <c r="A118" s="138"/>
      <c r="B118" s="1" t="str">
        <f>IF(B93="ha",B7,B112)</f>
        <v>NUTFULLAYEV A.A.</v>
      </c>
      <c r="C118" s="207" t="str">
        <f>IF(B93="ha",B7,C112)</f>
        <v>NUTFULLAYEV A.A.</v>
      </c>
    </row>
    <row r="119" spans="1:18" hidden="1">
      <c r="A119" s="3" t="s">
        <v>159</v>
      </c>
      <c r="B119" s="1" t="str">
        <f>IF(B93="ha",B15,B113)</f>
        <v>14.09.1989 y</v>
      </c>
      <c r="C119" s="207" t="str">
        <f>IF(B93="ha",B15,C113)</f>
        <v>14.09.1989 y</v>
      </c>
    </row>
    <row r="120" spans="1:18" hidden="1">
      <c r="A120" s="3" t="s">
        <v>65</v>
      </c>
      <c r="B120" s="1" t="str">
        <f>IF(B93="ha",B16,B114)</f>
        <v>AA 9481167</v>
      </c>
      <c r="C120" s="207" t="str">
        <f>IF(B93="ha",B16,C114)</f>
        <v>AA 9481167</v>
      </c>
    </row>
    <row r="121" spans="1:18" ht="60" hidden="1">
      <c r="A121" s="3" t="s">
        <v>68</v>
      </c>
      <c r="B121" s="1" t="str">
        <f>IF(B93="ha",B20,B115)</f>
        <v>BUXORO VILOYATI BUXORO SHAHAR IIB tomonidan 24.04.2015 yilda berilgan</v>
      </c>
      <c r="C121" s="207" t="str">
        <f>IF(B93="ha",B20,C115)</f>
        <v>BUXORO VILOYATI BUXORO SHAHAR IIB tomonidan 24.04.2015 yilda berilgan</v>
      </c>
    </row>
    <row r="122" spans="1:18" ht="60" hidden="1">
      <c r="A122" s="3" t="s">
        <v>70</v>
      </c>
      <c r="B122" s="166" t="str">
        <f>IF(B93="ha",B22,B116)</f>
        <v>BUXORO VILOYATI BUXORO SHAHAR TADBIRKOR KO'CHASI 12-UY</v>
      </c>
      <c r="C122" s="208" t="str">
        <f>IF(B93="ha",B22,C116)</f>
        <v>BUXORO VILOYATI BUXORO SHAHAR TADBIRKOR KO'CHASI 12-UY</v>
      </c>
    </row>
    <row r="123" spans="1:18" ht="42.75">
      <c r="A123" s="3" t="s">
        <v>161</v>
      </c>
      <c r="B123" s="49" t="s">
        <v>423</v>
      </c>
      <c r="C123" s="209" t="s">
        <v>48</v>
      </c>
      <c r="N123" s="183" t="str">
        <f>IF(B103=C103,B117,IF(B103=D103,C117,0))</f>
        <v>NUTFULLAYEV AKBARJON AXMEDOVICH</v>
      </c>
    </row>
    <row r="124" spans="1:18" ht="45">
      <c r="A124" s="3" t="s">
        <v>162</v>
      </c>
      <c r="B124" s="49" t="s">
        <v>415</v>
      </c>
      <c r="C124" s="207" t="s">
        <v>385</v>
      </c>
      <c r="D124" s="210" t="s">
        <v>151</v>
      </c>
      <c r="Q124" s="183" t="str">
        <f>""&amp;B95&amp;" (по генеральному доверенестью №"&amp;B100&amp;" от "&amp;B102&amp;")"</f>
        <v xml:space="preserve"> (по генеральному доверенестью № от 00.01.1900)</v>
      </c>
      <c r="R124" s="183" t="str">
        <f>""&amp;B95&amp;" ("&amp;B102&amp;"y. sanasidagi reestr raqami №"&amp;B100&amp;" bo'lgan Ishonchnomaga asosan)"</f>
        <v xml:space="preserve"> (00.01.1900y. sanasidagi reestr raqami № bo'lgan Ishonchnomaga asosan)</v>
      </c>
    </row>
    <row r="125" spans="1:18" ht="45">
      <c r="A125" s="3" t="s">
        <v>163</v>
      </c>
      <c r="B125" s="49" t="s">
        <v>416</v>
      </c>
      <c r="C125" s="208" t="str">
        <f>""&amp;D126&amp;" "&amp;IF(C129=D129,"- xonali yakka tartibdagi uy-joy", IF(C129=E129,"-  xonali ko'p qavatli uydagi xonadon",0))&amp;""</f>
        <v>3 - xonali yakka tartibdagi uy-joy</v>
      </c>
      <c r="D125" s="211" t="s">
        <v>149</v>
      </c>
      <c r="E125" s="183" t="str">
        <f>IF($C$129=$D$129,I125,IF($C$129=$E$129,H125,0))</f>
        <v>3 - xonali yakka tartibdagi uy-joy</v>
      </c>
      <c r="F125" s="183" t="str">
        <f>IF($C$129=$D$129,I125,IF($C$129=$E$129,H125,0))</f>
        <v>3 - xonali yakka tartibdagi uy-joy</v>
      </c>
      <c r="H125" s="183" t="str">
        <f>"Ko'p qavatli uydagi "&amp;D126&amp;" - xonali xonadon"</f>
        <v>Ko'p qavatli uydagi 3 - xonali xonadon</v>
      </c>
      <c r="I125" s="183" t="str">
        <f>""&amp;D126&amp;" - xonali yakka tartibdagi uy-joy"</f>
        <v>3 - xonali yakka tartibdagi uy-joy</v>
      </c>
      <c r="N125" s="183" t="str">
        <f>IF(B93=C93,Q126,IF(B93=D93,Q125,0))</f>
        <v>Микрофинансовой организацией и Заемщиком</v>
      </c>
      <c r="Q125" s="183" t="str">
        <f>"Микрофинансовой организацией, Заемщиком и "&amp;IF(B94=D94,Q124,IF(B94=C94,B111,0))&amp;""</f>
        <v>Микрофинансовой организацией, Заемщиком и NUTFULLAYEV AKBARJON AXMEDOVICH</v>
      </c>
      <c r="R125" s="183" t="str">
        <f>"Mikromoliya tashkiloti, Qarz oluvchi va "&amp;IF(B94=D94,R124,IF(B94=C94,B111))&amp;""</f>
        <v>Mikromoliya tashkiloti, Qarz oluvchi va NUTFULLAYEV AKBARJON AXMEDOVICH</v>
      </c>
    </row>
    <row r="126" spans="1:18" ht="30">
      <c r="A126" s="3" t="s">
        <v>164</v>
      </c>
      <c r="B126" s="201" t="s">
        <v>417</v>
      </c>
      <c r="C126" s="208" t="str">
        <f>C125</f>
        <v>3 - xonali yakka tartibdagi uy-joy</v>
      </c>
      <c r="D126" s="212">
        <v>3</v>
      </c>
      <c r="E126" s="183" t="str">
        <f>IF($C$129=$D$129,I126,IF($C$129=$E$129,H126,0))</f>
        <v>yer uchastkasi maydoni - , umumiy maydoni - 72,13, yashash maydoni - 37,39</v>
      </c>
      <c r="F126" s="183" t="str">
        <f>IF($C$129=$D$129,I126,IF($C$129=$E$129,H126,0))</f>
        <v>yer uchastkasi maydoni - , umumiy maydoni - 72,13, yashash maydoni - 37,39</v>
      </c>
      <c r="H126" s="183" t="str">
        <f>"umumiy maydoni - "&amp;C130&amp;", yashash maydoni - "&amp;C133&amp;""</f>
        <v>umumiy maydoni - 72,13, yashash maydoni - 37,39</v>
      </c>
      <c r="I126" s="183" t="str">
        <f>"yer uchastkasi maydoni - "&amp;C131&amp;", umumiy maydoni - "&amp;C130&amp;", yashash maydoni - "&amp;C133&amp;""</f>
        <v>yer uchastkasi maydoni - , umumiy maydoni - 72,13, yashash maydoni - 37,39</v>
      </c>
      <c r="N126" s="183" t="str">
        <f>IF(B93=C93,R126,IF(B93=D93,R125,0))</f>
        <v>Mikromoliya tashkiloti va Qarz oluvchi</v>
      </c>
      <c r="Q126" s="183" t="s">
        <v>52</v>
      </c>
      <c r="R126" s="183" t="s">
        <v>150</v>
      </c>
    </row>
    <row r="127" spans="1:18" ht="27" customHeight="1">
      <c r="A127" s="3" t="s">
        <v>165</v>
      </c>
      <c r="B127" s="76" t="str">
        <f>"kuzov turi - "&amp;B128&amp;", kuzov raqami "&amp;B129&amp;""</f>
        <v>kuzov turi - YUK BORTLI TENT, kuzov raqami LSCAB23D8EG228387</v>
      </c>
      <c r="C127" s="207" t="s">
        <v>384</v>
      </c>
      <c r="D127" s="210" t="s">
        <v>386</v>
      </c>
    </row>
    <row r="128" spans="1:18">
      <c r="A128" s="69" t="s">
        <v>166</v>
      </c>
      <c r="B128" s="49" t="s">
        <v>418</v>
      </c>
      <c r="C128" s="213"/>
    </row>
    <row r="129" spans="1:6">
      <c r="A129" s="69" t="s">
        <v>167</v>
      </c>
      <c r="B129" s="49" t="s">
        <v>419</v>
      </c>
      <c r="C129" s="202" t="s">
        <v>152</v>
      </c>
      <c r="D129" s="183" t="s">
        <v>152</v>
      </c>
      <c r="E129" s="183" t="s">
        <v>153</v>
      </c>
    </row>
    <row r="130" spans="1:6" ht="27" customHeight="1">
      <c r="A130" s="3" t="s">
        <v>168</v>
      </c>
      <c r="B130" s="76" t="str">
        <f>"dvigatel raqami "&amp;B131&amp;", shassi raqami - "&amp;B132&amp;""</f>
        <v>dvigatel raqami JL466Q1%E61H022801, shassi raqami - URINDIKLAR SONI 5TA</v>
      </c>
      <c r="C130" s="202">
        <v>72.13</v>
      </c>
      <c r="D130" s="214" t="s">
        <v>154</v>
      </c>
      <c r="E130" s="183" t="str">
        <f>CONCATENATE(C130," ","kv.m")</f>
        <v>72,13 kv.m</v>
      </c>
      <c r="F130" s="192">
        <f>C130-C133</f>
        <v>34.739999999999995</v>
      </c>
    </row>
    <row r="131" spans="1:6">
      <c r="A131" s="69" t="s">
        <v>169</v>
      </c>
      <c r="B131" s="57" t="s">
        <v>420</v>
      </c>
      <c r="C131" s="202"/>
      <c r="D131" s="214" t="s">
        <v>155</v>
      </c>
    </row>
    <row r="132" spans="1:6">
      <c r="A132" s="69" t="s">
        <v>170</v>
      </c>
      <c r="B132" s="49" t="s">
        <v>424</v>
      </c>
      <c r="C132" s="202"/>
    </row>
    <row r="133" spans="1:6" ht="25.5" customHeight="1">
      <c r="A133" s="3" t="s">
        <v>171</v>
      </c>
      <c r="B133" s="76" t="str">
        <f>"rangi -  "&amp;B134&amp;", ishlab chiqarilgan yili - "&amp;B135&amp;""</f>
        <v>rangi -  OQ BELIY, ishlab chiqarilgan yili - 2014</v>
      </c>
      <c r="C133" s="215" t="s">
        <v>383</v>
      </c>
      <c r="D133" s="214" t="s">
        <v>253</v>
      </c>
      <c r="E133" s="183" t="str">
        <f>CONCATENATE(C133," ","kv.m")</f>
        <v>37,39 kv.m</v>
      </c>
    </row>
    <row r="134" spans="1:6">
      <c r="A134" s="69" t="s">
        <v>172</v>
      </c>
      <c r="B134" s="49" t="s">
        <v>421</v>
      </c>
      <c r="C134" s="202"/>
    </row>
    <row r="135" spans="1:6" ht="30">
      <c r="A135" s="69" t="s">
        <v>173</v>
      </c>
      <c r="B135" s="57" t="s">
        <v>401</v>
      </c>
      <c r="C135" s="213">
        <v>44181</v>
      </c>
      <c r="D135" s="216" t="s">
        <v>387</v>
      </c>
    </row>
    <row r="136" spans="1:6" hidden="1">
      <c r="A136" s="3" t="s">
        <v>174</v>
      </c>
      <c r="B136" s="21">
        <f>B75*1.5</f>
        <v>40500000</v>
      </c>
      <c r="C136" s="217">
        <f>B136</f>
        <v>40500000</v>
      </c>
      <c r="D136" s="214" t="s">
        <v>174</v>
      </c>
    </row>
    <row r="137" spans="1:6" ht="27.75" hidden="1" customHeight="1">
      <c r="A137" s="176"/>
      <c r="B137"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136))&gt;6,ROMAN(MID(INT(B136),1,LEN(INT(B136))-6)+0)&amp;" million "&amp;ROMAN(MID(INT(B136),LEN(INT(B136))-5,3)+0)&amp;" ming "&amp;ROMAN(MID(INT(B136),LEN(INT(B136))-2,3)+0),IF(LEN(INT(B136))&gt;3,ROMAN(MID(INT(B136),1,LEN(INT(B136))-3)+0)&amp;" ming "&amp;ROMAN(MID(INT(B136),LEN(INT(B136))-2,3)+0),ROMAN(INT(B136)))),"DCCC","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million besh yuz ming so'm</v>
      </c>
      <c r="C137" s="217" t="str">
        <f>B137</f>
        <v>qirq million besh yuz ming so'm</v>
      </c>
    </row>
    <row r="138" spans="1:6" ht="27.75" hidden="1" customHeight="1">
      <c r="A138" s="3"/>
      <c r="B138" s="147" t="str">
        <f>B137</f>
        <v>qirq million besh yuz ming so'm</v>
      </c>
      <c r="C138" s="218"/>
    </row>
    <row r="139" spans="1:6" ht="20.25">
      <c r="A139" s="3" t="s">
        <v>348</v>
      </c>
      <c r="B139" s="52">
        <v>158581</v>
      </c>
      <c r="C139" s="183" t="s">
        <v>389</v>
      </c>
    </row>
    <row r="140" spans="1:6">
      <c r="A140" s="3" t="s">
        <v>376</v>
      </c>
      <c r="B140" s="49">
        <v>1</v>
      </c>
    </row>
    <row r="141" spans="1:6">
      <c r="A141" s="3" t="s">
        <v>156</v>
      </c>
      <c r="B141" s="2" t="s">
        <v>147</v>
      </c>
      <c r="C141" s="183">
        <v>1</v>
      </c>
    </row>
    <row r="142" spans="1:6" hidden="1">
      <c r="A142" s="3" t="s">
        <v>157</v>
      </c>
      <c r="B142" s="4" t="str">
        <f>B70</f>
        <v>11 mart 2025 y.</v>
      </c>
      <c r="C142" s="183" t="str">
        <f>B70</f>
        <v>11 mart 2025 y.</v>
      </c>
    </row>
    <row r="143" spans="1:6" hidden="1">
      <c r="A143" s="3"/>
      <c r="B143" s="1">
        <f>YEAR(B67)</f>
        <v>2025</v>
      </c>
    </row>
    <row r="144" spans="1:6" hidden="1">
      <c r="A144" s="3"/>
      <c r="B144" s="150" t="str">
        <f>D67</f>
        <v>mart</v>
      </c>
    </row>
    <row r="145" spans="1:2" hidden="1">
      <c r="A145" s="3"/>
      <c r="B145" s="1">
        <f>DAY(B67)</f>
        <v>11</v>
      </c>
    </row>
    <row r="146" spans="1:2">
      <c r="A146" s="255" t="s">
        <v>357</v>
      </c>
      <c r="B146" s="255"/>
    </row>
    <row r="147" spans="1:2">
      <c r="A147" s="3" t="s">
        <v>175</v>
      </c>
      <c r="B147" s="1" t="s">
        <v>381</v>
      </c>
    </row>
    <row r="148" spans="1:2">
      <c r="A148" s="3"/>
      <c r="B148" s="1" t="s">
        <v>381</v>
      </c>
    </row>
    <row r="149" spans="1:2">
      <c r="A149" s="3"/>
      <c r="B149" s="1" t="s">
        <v>381</v>
      </c>
    </row>
    <row r="150" spans="1:2">
      <c r="A150" s="224" t="s">
        <v>427</v>
      </c>
      <c r="B150" s="223" t="s">
        <v>429</v>
      </c>
    </row>
    <row r="151" spans="1:2">
      <c r="A151" s="224"/>
      <c r="B151" s="223" t="s">
        <v>428</v>
      </c>
    </row>
    <row r="152" spans="1:2" hidden="1">
      <c r="A152" s="3" t="s">
        <v>179</v>
      </c>
      <c r="B152" s="1" t="s">
        <v>176</v>
      </c>
    </row>
    <row r="153" spans="1:2" ht="28.5" hidden="1">
      <c r="A153" s="3" t="s">
        <v>180</v>
      </c>
      <c r="B153" s="1" t="s">
        <v>177</v>
      </c>
    </row>
    <row r="154" spans="1:2" hidden="1">
      <c r="A154" s="3" t="s">
        <v>181</v>
      </c>
      <c r="B154" s="1" t="s">
        <v>25</v>
      </c>
    </row>
    <row r="155" spans="1:2" hidden="1">
      <c r="A155" s="3" t="s">
        <v>182</v>
      </c>
      <c r="B155" s="1" t="s">
        <v>23</v>
      </c>
    </row>
    <row r="156" spans="1:2" hidden="1">
      <c r="A156" s="3" t="s">
        <v>183</v>
      </c>
      <c r="B156" s="1" t="s">
        <v>178</v>
      </c>
    </row>
    <row r="157" spans="1:2" hidden="1">
      <c r="A157" s="3" t="s">
        <v>184</v>
      </c>
      <c r="B157" s="2" t="s">
        <v>26</v>
      </c>
    </row>
    <row r="158" spans="1:2" hidden="1">
      <c r="A158" s="3" t="s">
        <v>185</v>
      </c>
      <c r="B158" s="1" t="s">
        <v>336</v>
      </c>
    </row>
    <row r="159" spans="1:2">
      <c r="A159" s="3" t="s">
        <v>425</v>
      </c>
      <c r="B159" s="1" t="s">
        <v>430</v>
      </c>
    </row>
    <row r="160" spans="1:2">
      <c r="A160" s="358" t="s">
        <v>379</v>
      </c>
      <c r="B160" s="1" t="s">
        <v>432</v>
      </c>
    </row>
    <row r="161" spans="1:2">
      <c r="A161" s="226" t="s">
        <v>427</v>
      </c>
      <c r="B161" s="225" t="s">
        <v>429</v>
      </c>
    </row>
    <row r="162" spans="1:2">
      <c r="A162" s="3" t="s">
        <v>186</v>
      </c>
      <c r="B162" s="2" t="s">
        <v>349</v>
      </c>
    </row>
    <row r="163" spans="1:2">
      <c r="A163" s="3" t="s">
        <v>187</v>
      </c>
      <c r="B163" s="2" t="s">
        <v>350</v>
      </c>
    </row>
    <row r="164" spans="1:2">
      <c r="A164" s="3" t="s">
        <v>188</v>
      </c>
      <c r="B164" s="1" t="str">
        <f>B1</f>
        <v>№ -AL</v>
      </c>
    </row>
    <row r="165" spans="1:2">
      <c r="A165" s="3" t="s">
        <v>189</v>
      </c>
      <c r="B165" s="4" t="str">
        <f>B70</f>
        <v>11 mart 2025 y.</v>
      </c>
    </row>
  </sheetData>
  <mergeCells count="6">
    <mergeCell ref="A146:B146"/>
    <mergeCell ref="A97:B97"/>
    <mergeCell ref="A4:B4"/>
    <mergeCell ref="A57:B57"/>
    <mergeCell ref="A64:B64"/>
    <mergeCell ref="A91:B91"/>
  </mergeCells>
  <dataValidations count="13">
    <dataValidation type="list" allowBlank="1" showInputMessage="1" showErrorMessage="1" sqref="B30" xr:uid="{00000000-0002-0000-0300-000000000000}">
      <formula1>$C$30:$D$30</formula1>
    </dataValidation>
    <dataValidation type="list" allowBlank="1" showInputMessage="1" showErrorMessage="1" sqref="B93" xr:uid="{00000000-0002-0000-0300-000001000000}">
      <formula1>$C$93:$D$93</formula1>
    </dataValidation>
    <dataValidation type="list" allowBlank="1" showInputMessage="1" showErrorMessage="1" sqref="B103" xr:uid="{00000000-0002-0000-0300-000002000000}">
      <formula1>$C$103:$D$103</formula1>
    </dataValidation>
    <dataValidation type="list" allowBlank="1" showInputMessage="1" showErrorMessage="1" sqref="B77" xr:uid="{00000000-0002-0000-0300-000003000000}">
      <formula1>$C$77:$D$77</formula1>
    </dataValidation>
    <dataValidation type="list" allowBlank="1" showInputMessage="1" showErrorMessage="1" sqref="C129" xr:uid="{00000000-0002-0000-0300-000004000000}">
      <formula1>$D$129:$E$129</formula1>
    </dataValidation>
    <dataValidation type="list" allowBlank="1" showInputMessage="1" showErrorMessage="1" sqref="B92" xr:uid="{00000000-0002-0000-0300-000005000000}">
      <formula1>$C$92:$D$92</formula1>
    </dataValidation>
    <dataValidation type="list" allowBlank="1" showInputMessage="1" showErrorMessage="1" sqref="B94" xr:uid="{00000000-0002-0000-0300-000006000000}">
      <formula1>$C$94:$D$94</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3" xr:uid="{00000000-0002-0000-0300-00000A000000}">
      <formula1>$BJ$83:$BK$83</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17" zoomScaleSheetLayoutView="100" workbookViewId="0">
      <selection activeCell="D37" sqref="D37"/>
    </sheetView>
  </sheetViews>
  <sheetFormatPr defaultColWidth="9.140625" defaultRowHeight="15" outlineLevelCol="1"/>
  <cols>
    <col min="1" max="1" width="9.140625" style="15"/>
    <col min="2" max="2" width="10.140625" style="15" bestFit="1" customWidth="1"/>
    <col min="3" max="3" width="16.5703125" style="15" customWidth="1"/>
    <col min="4" max="4" width="17.140625" style="15" customWidth="1"/>
    <col min="5" max="5" width="17.85546875" style="15" customWidth="1"/>
    <col min="6" max="6" width="20.85546875" style="15" customWidth="1"/>
    <col min="7" max="7" width="10.140625" style="15" customWidth="1" outlineLevel="1"/>
    <col min="8" max="16384" width="9.140625" style="15"/>
  </cols>
  <sheetData>
    <row r="1" spans="1:8">
      <c r="A1" s="37"/>
      <c r="B1" s="37"/>
      <c r="C1" s="37"/>
      <c r="D1" s="37"/>
      <c r="E1" s="266" t="s">
        <v>16</v>
      </c>
      <c r="F1" s="266"/>
    </row>
    <row r="2" spans="1:8">
      <c r="A2" s="37"/>
      <c r="B2" s="37"/>
      <c r="C2" s="37"/>
      <c r="D2" s="37"/>
      <c r="E2" s="37"/>
      <c r="F2" s="38" t="str">
        <f>"к договору микрозайма "&amp;'Общие данные'!B74&amp;""</f>
        <v>к договору микрозайма 11 mart 2025 y.dan № -AL</v>
      </c>
    </row>
    <row r="3" spans="1:8" ht="6.75" customHeight="1">
      <c r="A3" s="37"/>
      <c r="B3" s="37"/>
      <c r="C3" s="37"/>
      <c r="D3" s="37"/>
      <c r="E3" s="37"/>
      <c r="F3" s="37"/>
    </row>
    <row r="4" spans="1:8">
      <c r="A4" s="267" t="s">
        <v>17</v>
      </c>
      <c r="B4" s="267"/>
      <c r="C4" s="267"/>
      <c r="D4" s="267"/>
      <c r="E4" s="267"/>
      <c r="F4" s="267"/>
    </row>
    <row r="5" spans="1:8" ht="7.5" customHeight="1"/>
    <row r="6" spans="1:8">
      <c r="A6" s="268" t="s">
        <v>15</v>
      </c>
      <c r="B6" s="269" t="s">
        <v>9</v>
      </c>
      <c r="C6" s="269" t="s">
        <v>10</v>
      </c>
      <c r="D6" s="270" t="s">
        <v>11</v>
      </c>
      <c r="E6" s="270"/>
      <c r="F6" s="270"/>
    </row>
    <row r="7" spans="1:8" s="16" customFormat="1">
      <c r="A7" s="268"/>
      <c r="B7" s="269"/>
      <c r="C7" s="269"/>
      <c r="D7" s="17" t="s">
        <v>12</v>
      </c>
      <c r="E7" s="17" t="s">
        <v>13</v>
      </c>
      <c r="F7" s="17" t="s">
        <v>14</v>
      </c>
    </row>
    <row r="8" spans="1:8">
      <c r="A8" s="18">
        <v>1</v>
      </c>
      <c r="B8" s="33">
        <f>'График дифференц'!B8</f>
        <v>45754</v>
      </c>
      <c r="C8" s="34">
        <f>'Общие данные'!B75</f>
        <v>27000000</v>
      </c>
      <c r="D8" s="34">
        <f>IF(A8&lt;'Общие данные'!$B$81,'График аннуитет.'!F8-'График аннуитет.'!E8,'График аннуитет.'!C8)</f>
        <v>853561.64000000013</v>
      </c>
      <c r="E8" s="34">
        <f>ROUND(C8*'Общие данные'!$B$84/H8,2)*'График аннуитет.'!G8</f>
        <v>1198356.1199999999</v>
      </c>
      <c r="F8" s="34">
        <f>'Общие данные'!B90</f>
        <v>2051917.76</v>
      </c>
      <c r="G8" s="15">
        <f>B8-'Общие данные'!B67</f>
        <v>27</v>
      </c>
      <c r="H8" s="15">
        <f>DATE(YEAR(B8),12,31)-DATE(YEAR(B8),1,1)+1</f>
        <v>365</v>
      </c>
    </row>
    <row r="9" spans="1:8">
      <c r="A9" s="18">
        <v>2</v>
      </c>
      <c r="B9" s="33">
        <f>'График дифференц'!B9</f>
        <v>45782</v>
      </c>
      <c r="C9" s="34">
        <f t="shared" ref="C9:C30" si="0">C8-D8</f>
        <v>26146438.359999999</v>
      </c>
      <c r="D9" s="34">
        <f>IF(A9&lt;'Общие данные'!$B$81,'График аннуитет.'!F9-'График аннуитет.'!E9,'График аннуитет.'!C9)</f>
        <v>848465.16000000015</v>
      </c>
      <c r="E9" s="34">
        <f>ROUND(C9*'Общие данные'!$B$84/H9,2)*'График аннуитет.'!G9</f>
        <v>1203452.5999999999</v>
      </c>
      <c r="F9" s="34">
        <f>IF(A9&lt;'Общие данные'!$B$81,'График аннуитет.'!F8,'График аннуитет.'!D9+'График аннуитет.'!E9)</f>
        <v>2051917.76</v>
      </c>
      <c r="G9" s="15">
        <f>B9-B8</f>
        <v>28</v>
      </c>
      <c r="H9" s="15">
        <f t="shared" ref="H9:H31" si="1">DATE(YEAR(B9),12,31)-DATE(YEAR(B9),1,1)+1</f>
        <v>365</v>
      </c>
    </row>
    <row r="10" spans="1:8">
      <c r="A10" s="18">
        <v>3</v>
      </c>
      <c r="B10" s="33">
        <f>'График дифференц'!B10</f>
        <v>45813</v>
      </c>
      <c r="C10" s="34">
        <f t="shared" si="0"/>
        <v>25297973.199999999</v>
      </c>
      <c r="D10" s="34">
        <f>IF(A10&lt;'Общие данные'!$B$81,'График аннуитет.'!F10-'График аннуитет.'!E10,'График аннуитет.'!C10)</f>
        <v>762760.75</v>
      </c>
      <c r="E10" s="34">
        <f>ROUND(C10*'Общие данные'!$B$84/H10,2)*'График аннуитет.'!G10</f>
        <v>1289157.01</v>
      </c>
      <c r="F10" s="34">
        <f>IF(A10&lt;'Общие данные'!$B$81,'График аннуитет.'!F9,'График аннуитет.'!D10+'График аннуитет.'!E10)</f>
        <v>2051917.76</v>
      </c>
      <c r="G10" s="15">
        <f t="shared" ref="G10:G24" si="2">B10-B9</f>
        <v>31</v>
      </c>
      <c r="H10" s="15">
        <f t="shared" si="1"/>
        <v>365</v>
      </c>
    </row>
    <row r="11" spans="1:8">
      <c r="A11" s="18">
        <v>4</v>
      </c>
      <c r="B11" s="33">
        <f>'График дифференц'!B11</f>
        <v>45845</v>
      </c>
      <c r="C11" s="34">
        <f t="shared" si="0"/>
        <v>24535212.449999999</v>
      </c>
      <c r="D11" s="34">
        <f>IF(A11&lt;'Общие данные'!$B$81,'График аннуитет.'!F11-'График аннуитет.'!E11,'График аннуитет.'!C11)</f>
        <v>761298.24</v>
      </c>
      <c r="E11" s="34">
        <f>ROUND(C11*'Общие данные'!$B$84/H11,2)*'График аннуитет.'!G11</f>
        <v>1290619.52</v>
      </c>
      <c r="F11" s="34">
        <f>IF(A11&lt;'Общие данные'!$B$81,'График аннуитет.'!F10,'График аннуитет.'!D11+'График аннуитет.'!E11)</f>
        <v>2051917.76</v>
      </c>
      <c r="G11" s="15">
        <f t="shared" si="2"/>
        <v>32</v>
      </c>
      <c r="H11" s="15">
        <f t="shared" si="1"/>
        <v>365</v>
      </c>
    </row>
    <row r="12" spans="1:8">
      <c r="A12" s="18">
        <v>5</v>
      </c>
      <c r="B12" s="33">
        <f>'График дифференц'!B12</f>
        <v>45874</v>
      </c>
      <c r="C12" s="34">
        <f t="shared" si="0"/>
        <v>23773914.210000001</v>
      </c>
      <c r="D12" s="34">
        <f>IF(A12&lt;'Общие данные'!$B$81,'График аннуитет.'!F12-'График аннуитет.'!E12,'График аннуитет.'!C12)</f>
        <v>918585.86999999988</v>
      </c>
      <c r="E12" s="34">
        <f>ROUND(C12*'Общие данные'!$B$84/H12,2)*'График аннуитет.'!G12</f>
        <v>1133331.8900000001</v>
      </c>
      <c r="F12" s="34">
        <f>IF(A12&lt;'Общие данные'!$B$81,'График аннуитет.'!F11,'График аннуитет.'!D12+'График аннуитет.'!E12)</f>
        <v>2051917.76</v>
      </c>
      <c r="G12" s="15">
        <f t="shared" si="2"/>
        <v>29</v>
      </c>
      <c r="H12" s="15">
        <f t="shared" si="1"/>
        <v>365</v>
      </c>
    </row>
    <row r="13" spans="1:8">
      <c r="A13" s="18">
        <v>6</v>
      </c>
      <c r="B13" s="33">
        <f>'График дифференц'!B13</f>
        <v>45905</v>
      </c>
      <c r="C13" s="34">
        <f t="shared" si="0"/>
        <v>22855328.34</v>
      </c>
      <c r="D13" s="34">
        <f>IF(A13&lt;'Общие данные'!$B$81,'График аннуитет.'!F13-'График аннуитет.'!E13,'График аннуитет.'!C13)</f>
        <v>887235.35999999987</v>
      </c>
      <c r="E13" s="34">
        <f>ROUND(C13*'Общие данные'!$B$84/H13,2)*'График аннуитет.'!G13</f>
        <v>1164682.4000000001</v>
      </c>
      <c r="F13" s="34">
        <f>IF(A13&lt;'Общие данные'!$B$81,'График аннуитет.'!F12,'График аннуитет.'!D13+'График аннуитет.'!E13)</f>
        <v>2051917.76</v>
      </c>
      <c r="G13" s="15">
        <f t="shared" si="2"/>
        <v>31</v>
      </c>
      <c r="H13" s="15">
        <f t="shared" si="1"/>
        <v>365</v>
      </c>
    </row>
    <row r="14" spans="1:8">
      <c r="A14" s="18">
        <v>7</v>
      </c>
      <c r="B14" s="33">
        <f>'График дифференц'!B14</f>
        <v>45936</v>
      </c>
      <c r="C14" s="34">
        <f t="shared" si="0"/>
        <v>21968092.98</v>
      </c>
      <c r="D14" s="34">
        <f>IF(A14&lt;'Общие данные'!$B$81,'График аннуитет.'!F14-'График аннуитет.'!E14,'График аннуитет.'!C14)</f>
        <v>932447.92999999993</v>
      </c>
      <c r="E14" s="34">
        <f>ROUND(C14*'Общие данные'!$B$84/H14,2)*'График аннуитет.'!G14</f>
        <v>1119469.83</v>
      </c>
      <c r="F14" s="34">
        <f>IF(A14&lt;'Общие данные'!$B$81,'График аннуитет.'!F13,'График аннуитет.'!D14+'График аннуитет.'!E14)</f>
        <v>2051917.76</v>
      </c>
      <c r="G14" s="15">
        <f t="shared" si="2"/>
        <v>31</v>
      </c>
      <c r="H14" s="15">
        <f t="shared" si="1"/>
        <v>365</v>
      </c>
    </row>
    <row r="15" spans="1:8">
      <c r="A15" s="18">
        <v>8</v>
      </c>
      <c r="B15" s="33">
        <f>'График дифференц'!B15</f>
        <v>45966</v>
      </c>
      <c r="C15" s="34">
        <f t="shared" si="0"/>
        <v>21035645.050000001</v>
      </c>
      <c r="D15" s="34">
        <f>IF(A15&lt;'Общие данные'!$B$81,'График аннуитет.'!F15-'График аннуитет.'!E15,'График аннуитет.'!C15)</f>
        <v>1014543.56</v>
      </c>
      <c r="E15" s="34">
        <f>ROUND(C15*'Общие данные'!$B$84/H15,2)*'График аннуитет.'!G15</f>
        <v>1037374.2</v>
      </c>
      <c r="F15" s="34">
        <f>IF(A15&lt;'Общие данные'!$B$81,'График аннуитет.'!F14,'График аннуитет.'!D15+'График аннуитет.'!E15)</f>
        <v>2051917.76</v>
      </c>
      <c r="G15" s="15">
        <f t="shared" si="2"/>
        <v>30</v>
      </c>
      <c r="H15" s="15">
        <f t="shared" si="1"/>
        <v>365</v>
      </c>
    </row>
    <row r="16" spans="1:8">
      <c r="A16" s="18">
        <v>9</v>
      </c>
      <c r="B16" s="33">
        <f>'График дифференц'!B16</f>
        <v>45996</v>
      </c>
      <c r="C16" s="34">
        <f t="shared" si="0"/>
        <v>20021101.490000002</v>
      </c>
      <c r="D16" s="34">
        <f>IF(A16&lt;'Общие данные'!$B$81,'График аннуитет.'!F16-'График аннуитет.'!E16,'График аннуитет.'!C16)</f>
        <v>1064575.76</v>
      </c>
      <c r="E16" s="34">
        <f>ROUND(C16*'Общие данные'!$B$84/H16,2)*'График аннуитет.'!G16</f>
        <v>987342</v>
      </c>
      <c r="F16" s="34">
        <f>IF(A16&lt;'Общие данные'!$B$81,'График аннуитет.'!F15,'График аннуитет.'!D16+'График аннуитет.'!E16)</f>
        <v>2051917.76</v>
      </c>
      <c r="G16" s="15">
        <f t="shared" si="2"/>
        <v>30</v>
      </c>
      <c r="H16" s="15">
        <f t="shared" si="1"/>
        <v>365</v>
      </c>
    </row>
    <row r="17" spans="1:8">
      <c r="A17" s="18">
        <v>10</v>
      </c>
      <c r="B17" s="33">
        <f>'График дифференц'!B17</f>
        <v>46027</v>
      </c>
      <c r="C17" s="34">
        <f t="shared" si="0"/>
        <v>18956525.73</v>
      </c>
      <c r="D17" s="34">
        <f>IF(A17&lt;'Общие данные'!$B$81,'График аннуитет.'!F17-'График аннуитет.'!E17,'График аннуитет.'!C17)</f>
        <v>1085914.05</v>
      </c>
      <c r="E17" s="34">
        <f>ROUND(C17*'Общие данные'!$B$84/H17,2)*'График аннуитет.'!G17</f>
        <v>966003.71</v>
      </c>
      <c r="F17" s="34">
        <f>IF(A17&lt;'Общие данные'!$B$81,'График аннуитет.'!F16,'График аннуитет.'!D17+'График аннуитет.'!E17)</f>
        <v>2051917.76</v>
      </c>
      <c r="G17" s="15">
        <f t="shared" si="2"/>
        <v>31</v>
      </c>
      <c r="H17" s="15">
        <f t="shared" si="1"/>
        <v>365</v>
      </c>
    </row>
    <row r="18" spans="1:8">
      <c r="A18" s="18">
        <v>11</v>
      </c>
      <c r="B18" s="33">
        <f>'График дифференц'!B18</f>
        <v>46058</v>
      </c>
      <c r="C18" s="34">
        <f t="shared" si="0"/>
        <v>17870611.68</v>
      </c>
      <c r="D18" s="34">
        <f>IF(A18&lt;'Общие данные'!$B$81,'График аннуитет.'!F18-'График аннуитет.'!E18,'График аннуитет.'!C18)</f>
        <v>1141250.9100000001</v>
      </c>
      <c r="E18" s="34">
        <f>ROUND(C18*'Общие данные'!$B$84/H18,2)*'График аннуитет.'!G18</f>
        <v>910666.85</v>
      </c>
      <c r="F18" s="34">
        <f>IF(A18&lt;'Общие данные'!$B$81,'График аннуитет.'!F17,'График аннуитет.'!D18+'График аннуитет.'!E18)</f>
        <v>2051917.76</v>
      </c>
      <c r="G18" s="15">
        <f t="shared" si="2"/>
        <v>31</v>
      </c>
      <c r="H18" s="15">
        <f t="shared" si="1"/>
        <v>365</v>
      </c>
    </row>
    <row r="19" spans="1:8">
      <c r="A19" s="18">
        <v>12</v>
      </c>
      <c r="B19" s="33">
        <f>'График дифференц'!B19</f>
        <v>46086</v>
      </c>
      <c r="C19" s="34">
        <f t="shared" si="0"/>
        <v>16729360.77</v>
      </c>
      <c r="D19" s="34">
        <f>IF(A19&lt;'Общие данные'!$B$81,'График аннуитет.'!F19-'График аннуитет.'!E19,'График аннуитет.'!C19)</f>
        <v>1281908.8</v>
      </c>
      <c r="E19" s="34">
        <f>ROUND(C19*'Общие данные'!$B$84/H19,2)*'График аннуитет.'!G19</f>
        <v>770008.96</v>
      </c>
      <c r="F19" s="34">
        <f>IF(A19&lt;'Общие данные'!$B$81,'График аннуитет.'!F18,'График аннуитет.'!D19+'График аннуитет.'!E19)</f>
        <v>2051917.76</v>
      </c>
      <c r="G19" s="15">
        <f>B19-B18</f>
        <v>28</v>
      </c>
      <c r="H19" s="15">
        <f t="shared" si="1"/>
        <v>365</v>
      </c>
    </row>
    <row r="20" spans="1:8">
      <c r="A20" s="18">
        <v>13</v>
      </c>
      <c r="B20" s="33">
        <f>'График дифференц'!B20</f>
        <v>46118</v>
      </c>
      <c r="C20" s="34">
        <f t="shared" si="0"/>
        <v>15447451.969999999</v>
      </c>
      <c r="D20" s="34">
        <f>IF(A20&lt;'Общие данные'!$B$81,'График аннуитет.'!F20-'График аннуитет.'!E20,'График аннуитет.'!C20)</f>
        <v>1239339.52</v>
      </c>
      <c r="E20" s="34">
        <f>ROUND(C20*'Общие данные'!$B$84/H20,2)*'График аннуитет.'!G20</f>
        <v>812578.24</v>
      </c>
      <c r="F20" s="34">
        <f>IF(A20&lt;'Общие данные'!$B$81,'График аннуитет.'!F19,'График аннуитет.'!D20+'График аннуитет.'!E20)</f>
        <v>2051917.76</v>
      </c>
      <c r="G20" s="15">
        <f t="shared" si="2"/>
        <v>32</v>
      </c>
      <c r="H20" s="15">
        <f t="shared" si="1"/>
        <v>365</v>
      </c>
    </row>
    <row r="21" spans="1:8">
      <c r="A21" s="18">
        <v>14</v>
      </c>
      <c r="B21" s="33">
        <f>'График дифференц'!B21</f>
        <v>46147</v>
      </c>
      <c r="C21" s="34">
        <f t="shared" si="0"/>
        <v>14208112.449999999</v>
      </c>
      <c r="D21" s="34">
        <f>IF(A21&lt;'Общие данные'!$B$81,'График аннуитет.'!F21-'График аннуитет.'!E21,'График аннуитет.'!C21)</f>
        <v>1374599.56</v>
      </c>
      <c r="E21" s="34">
        <f>ROUND(C21*'Общие данные'!$B$84/H21,2)*'График аннуитет.'!G21</f>
        <v>677318.2</v>
      </c>
      <c r="F21" s="34">
        <f>IF(A21&lt;'Общие данные'!$B$81,'График аннуитет.'!F20,'График аннуитет.'!D21+'График аннуитет.'!E21)</f>
        <v>2051917.76</v>
      </c>
      <c r="G21" s="15">
        <f t="shared" si="2"/>
        <v>29</v>
      </c>
      <c r="H21" s="15">
        <f t="shared" si="1"/>
        <v>365</v>
      </c>
    </row>
    <row r="22" spans="1:8">
      <c r="A22" s="18">
        <v>15</v>
      </c>
      <c r="B22" s="33">
        <f>'График дифференц'!B22</f>
        <v>46178</v>
      </c>
      <c r="C22" s="34">
        <f t="shared" si="0"/>
        <v>12833512.889999999</v>
      </c>
      <c r="D22" s="34">
        <f>IF(A22&lt;'Общие данные'!$B$81,'График аннуитет.'!F22-'График аннуитет.'!E22,'График аннуитет.'!C22)</f>
        <v>1397935.87</v>
      </c>
      <c r="E22" s="34">
        <f>ROUND(C22*'Общие данные'!$B$84/H22,2)*'График аннуитет.'!G22</f>
        <v>653981.89</v>
      </c>
      <c r="F22" s="34">
        <f>IF(A22&lt;'Общие данные'!$B$81,'График аннуитет.'!F21,'График аннуитет.'!D22+'График аннуитет.'!E22)</f>
        <v>2051917.76</v>
      </c>
      <c r="G22" s="15">
        <f t="shared" si="2"/>
        <v>31</v>
      </c>
      <c r="H22" s="15">
        <f t="shared" si="1"/>
        <v>365</v>
      </c>
    </row>
    <row r="23" spans="1:8">
      <c r="A23" s="18">
        <v>16</v>
      </c>
      <c r="B23" s="33">
        <f>'График дифференц'!B23</f>
        <v>46209</v>
      </c>
      <c r="C23" s="34">
        <f t="shared" si="0"/>
        <v>11435577.02</v>
      </c>
      <c r="D23" s="34">
        <f>IF(A23&lt;'Общие данные'!$B$81,'График аннуитет.'!F23-'График аннуитет.'!E23,'График аннуитет.'!C23)</f>
        <v>1469173.25</v>
      </c>
      <c r="E23" s="34">
        <f>ROUND(C23*'Общие данные'!$B$84/H23,2)*'График аннуитет.'!G23</f>
        <v>582744.51</v>
      </c>
      <c r="F23" s="34">
        <f>IF(A23&lt;'Общие данные'!$B$81,'График аннуитет.'!F22,'График аннуитет.'!D23+'График аннуитет.'!E23)</f>
        <v>2051917.76</v>
      </c>
      <c r="G23" s="15">
        <f t="shared" si="2"/>
        <v>31</v>
      </c>
      <c r="H23" s="15">
        <f t="shared" si="1"/>
        <v>365</v>
      </c>
    </row>
    <row r="24" spans="1:8">
      <c r="A24" s="18">
        <v>17</v>
      </c>
      <c r="B24" s="33">
        <f>'График дифференц'!B24</f>
        <v>46239</v>
      </c>
      <c r="C24" s="34">
        <f t="shared" si="0"/>
        <v>9966403.7699999996</v>
      </c>
      <c r="D24" s="34">
        <f>IF(A24&lt;'Общие данные'!$B$81,'График аннуитет.'!F24-'График аннуитет.'!E24,'График аннуитет.'!C24)</f>
        <v>1560423.86</v>
      </c>
      <c r="E24" s="34">
        <f>ROUND(C24*'Общие данные'!$B$84/H24,2)*'График аннуитет.'!G24</f>
        <v>491493.89999999997</v>
      </c>
      <c r="F24" s="34">
        <f>IF(A24&lt;'Общие данные'!$B$81,'График аннуитет.'!F23,'График аннуитет.'!D24+'График аннуитет.'!E24)</f>
        <v>2051917.76</v>
      </c>
      <c r="G24" s="15">
        <f t="shared" si="2"/>
        <v>30</v>
      </c>
      <c r="H24" s="15">
        <f t="shared" si="1"/>
        <v>365</v>
      </c>
    </row>
    <row r="25" spans="1:8">
      <c r="A25" s="18">
        <v>18</v>
      </c>
      <c r="B25" s="33">
        <f>'График дифференц'!B25</f>
        <v>46272</v>
      </c>
      <c r="C25" s="34">
        <f t="shared" si="0"/>
        <v>8405979.9100000001</v>
      </c>
      <c r="D25" s="34">
        <f>IF(A25&lt;'Общие данные'!$B$81,'График аннуитет.'!F25-'График аннуитет.'!E25,'График аннуитет.'!C25)</f>
        <v>1595922.11</v>
      </c>
      <c r="E25" s="34">
        <f>ROUND(C25*'Общие данные'!$B$84/H25,2)*'График аннуитет.'!G25</f>
        <v>455995.64999999997</v>
      </c>
      <c r="F25" s="34">
        <f>IF(A25&lt;'Общие данные'!$B$81,'График аннуитет.'!F24,'График аннуитет.'!D25+'График аннуитет.'!E25)</f>
        <v>2051917.76</v>
      </c>
      <c r="G25" s="15">
        <f>B25-B24</f>
        <v>33</v>
      </c>
      <c r="H25" s="15">
        <f t="shared" si="1"/>
        <v>365</v>
      </c>
    </row>
    <row r="26" spans="1:8">
      <c r="A26" s="18">
        <v>19</v>
      </c>
      <c r="B26" s="33">
        <f>'График дифференц'!B26</f>
        <v>46300</v>
      </c>
      <c r="C26" s="34">
        <f t="shared" si="0"/>
        <v>6810057.7999999998</v>
      </c>
      <c r="D26" s="34">
        <f>IF(A26&lt;'Общие данные'!$B$81,'График аннуитет.'!F26-'График аннуитет.'!E26,'График аннуитет.'!C26)</f>
        <v>1738468.4</v>
      </c>
      <c r="E26" s="34">
        <f>ROUND(C26*'Общие данные'!$B$84/H26,2)*'График аннуитет.'!G26</f>
        <v>313449.36000000004</v>
      </c>
      <c r="F26" s="34">
        <f>IF(A26&lt;'Общие данные'!$B$81,'График аннуитет.'!F25,'График аннуитет.'!D26+'График аннуитет.'!E26)</f>
        <v>2051917.76</v>
      </c>
      <c r="G26" s="15">
        <f t="shared" ref="G26:G30" si="3">B26-B25</f>
        <v>28</v>
      </c>
      <c r="H26" s="15">
        <f t="shared" si="1"/>
        <v>365</v>
      </c>
    </row>
    <row r="27" spans="1:8">
      <c r="A27" s="18">
        <v>20</v>
      </c>
      <c r="B27" s="33">
        <f>'График дифференц'!B27</f>
        <v>46331</v>
      </c>
      <c r="C27" s="34">
        <f t="shared" si="0"/>
        <v>5071589.4000000004</v>
      </c>
      <c r="D27" s="34">
        <f>IF(A27&lt;'Общие данные'!$B$81,'График аннуитет.'!F27-'График аннуитет.'!E27,'График аннуитет.'!C27)</f>
        <v>1793475.1</v>
      </c>
      <c r="E27" s="34">
        <f>ROUND(C27*'Общие данные'!$B$84/H27,2)*'График аннуитет.'!G27</f>
        <v>258442.66000000003</v>
      </c>
      <c r="F27" s="34">
        <f>IF(A27&lt;'Общие данные'!$B$81,'График аннуитет.'!F26,'График аннуитет.'!D27+'График аннуитет.'!E27)</f>
        <v>2051917.76</v>
      </c>
      <c r="G27" s="15">
        <f t="shared" si="3"/>
        <v>31</v>
      </c>
      <c r="H27" s="15">
        <f t="shared" si="1"/>
        <v>365</v>
      </c>
    </row>
    <row r="28" spans="1:8">
      <c r="A28" s="18">
        <v>21</v>
      </c>
      <c r="B28" s="33">
        <f>'График дифференц'!B28</f>
        <v>46363</v>
      </c>
      <c r="C28" s="34">
        <f t="shared" si="0"/>
        <v>3278114.3000000003</v>
      </c>
      <c r="D28" s="34">
        <f>IF(A28&lt;'Общие данные'!$B$81,'График аннуитет.'!F28-'График аннуитет.'!E28,'График аннуитет.'!C28)</f>
        <v>1879480</v>
      </c>
      <c r="E28" s="34">
        <f>ROUND(C28*'Общие данные'!$B$84/H28,2)*'График аннуитет.'!G28</f>
        <v>172437.76000000001</v>
      </c>
      <c r="F28" s="34">
        <f>IF(A28&lt;'Общие данные'!$B$81,'График аннуитет.'!F27,'График аннуитет.'!D28+'График аннуитет.'!E28)</f>
        <v>2051917.76</v>
      </c>
      <c r="G28" s="15">
        <f t="shared" si="3"/>
        <v>32</v>
      </c>
      <c r="H28" s="15">
        <f t="shared" si="1"/>
        <v>365</v>
      </c>
    </row>
    <row r="29" spans="1:8">
      <c r="A29" s="18">
        <v>22</v>
      </c>
      <c r="B29" s="33">
        <f>'График дифференц'!B29</f>
        <v>46392</v>
      </c>
      <c r="C29" s="34">
        <f t="shared" si="0"/>
        <v>1398634.3000000003</v>
      </c>
      <c r="D29" s="34">
        <f>IF(A29&lt;'Общие данные'!$B$81,'График аннуитет.'!F29-'График аннуитет.'!E29,'График аннуитет.'!C29)</f>
        <v>1985243.28</v>
      </c>
      <c r="E29" s="34">
        <f>ROUND(C29*'Общие данные'!$B$84/H29,2)*'График аннуитет.'!G29</f>
        <v>66674.48</v>
      </c>
      <c r="F29" s="34">
        <f>IF(A29&lt;'Общие данные'!$B$81,'График аннуитет.'!F28,'График аннуитет.'!D29+'График аннуитет.'!E29)</f>
        <v>2051917.76</v>
      </c>
      <c r="G29" s="15">
        <f t="shared" si="3"/>
        <v>29</v>
      </c>
      <c r="H29" s="15">
        <f t="shared" si="1"/>
        <v>365</v>
      </c>
    </row>
    <row r="30" spans="1:8">
      <c r="A30" s="18">
        <v>23</v>
      </c>
      <c r="B30" s="33">
        <f>'График дифференц'!B30</f>
        <v>46423</v>
      </c>
      <c r="C30" s="34">
        <f t="shared" si="0"/>
        <v>-586608.97999999975</v>
      </c>
      <c r="D30" s="34">
        <f>IF(A30&lt;'Общие данные'!$B$81,'График аннуитет.'!F30-'График аннуитет.'!E30,'График аннуитет.'!C30)</f>
        <v>2081810.75</v>
      </c>
      <c r="E30" s="34">
        <f>ROUND(C30*'Общие данные'!$B$84/H30,2)*'График аннуитет.'!G30</f>
        <v>-29892.989999999998</v>
      </c>
      <c r="F30" s="34">
        <f>IF(A30&lt;'Общие данные'!$B$81,'График аннуитет.'!F29,'График аннуитет.'!D30+'График аннуитет.'!E30)</f>
        <v>2051917.76</v>
      </c>
      <c r="G30" s="15">
        <f t="shared" si="3"/>
        <v>31</v>
      </c>
      <c r="H30" s="15">
        <f t="shared" si="1"/>
        <v>365</v>
      </c>
    </row>
    <row r="31" spans="1:8">
      <c r="A31" s="18">
        <v>24</v>
      </c>
      <c r="B31" s="33">
        <f>'График дифференц'!B31</f>
        <v>46451</v>
      </c>
      <c r="C31" s="34">
        <f t="shared" ref="C31" si="4">C30-D30</f>
        <v>-2668419.7299999995</v>
      </c>
      <c r="D31" s="34">
        <f>IF(A31&lt;'Общие данные'!$B$81,'График аннуитет.'!F31-'График аннуитет.'!E31,'График аннуитет.'!C31)</f>
        <v>2174738.08</v>
      </c>
      <c r="E31" s="34">
        <f>ROUND(C31*'Общие данные'!$B$84/H31,2)*'График аннуитет.'!G31</f>
        <v>-122820.31999999999</v>
      </c>
      <c r="F31" s="34">
        <f>IF(A31&lt;'Общие данные'!$B$81,'График аннуитет.'!F30,'График аннуитет.'!D31+'График аннуитет.'!E31)</f>
        <v>2051917.76</v>
      </c>
      <c r="G31" s="15">
        <f>B31-B30</f>
        <v>28</v>
      </c>
      <c r="H31" s="15">
        <f t="shared" si="1"/>
        <v>365</v>
      </c>
    </row>
    <row r="32" spans="1:8">
      <c r="A32" s="18">
        <f>1+A31</f>
        <v>25</v>
      </c>
      <c r="B32" s="33">
        <f>'График дифференц'!B32</f>
        <v>46482</v>
      </c>
      <c r="C32" s="34">
        <f t="shared" ref="C32:C43" si="5">C31-D31</f>
        <v>-4843157.8099999996</v>
      </c>
      <c r="D32" s="34">
        <f>IF(A32&lt;'Общие данные'!$B$81,'График аннуитет.'!F32-'График аннуитет.'!E32,'График аннуитет.'!C32)</f>
        <v>2298719.92</v>
      </c>
      <c r="E32" s="34">
        <f>ROUND(C32*'Общие данные'!$B$84/H32,2)*'График аннуитет.'!G32</f>
        <v>-246802.16</v>
      </c>
      <c r="F32" s="34">
        <f>IF(A32&lt;'Общие данные'!$B$81,'График аннуитет.'!F31,'График аннуитет.'!D32+'График аннуитет.'!E32)</f>
        <v>2051917.76</v>
      </c>
      <c r="G32" s="15">
        <f t="shared" ref="G32:G43" si="6">B32-B31</f>
        <v>31</v>
      </c>
      <c r="H32" s="15">
        <f t="shared" ref="H32:H43" si="7">DATE(YEAR(B32),12,31)-DATE(YEAR(B32),1,1)+1</f>
        <v>365</v>
      </c>
    </row>
    <row r="33" spans="1:8">
      <c r="A33" s="18">
        <f t="shared" ref="A33:A43" si="8">1+A32</f>
        <v>26</v>
      </c>
      <c r="B33" s="33">
        <f>'График дифференц'!B33</f>
        <v>46512</v>
      </c>
      <c r="C33" s="34">
        <f t="shared" si="5"/>
        <v>-7141877.7299999995</v>
      </c>
      <c r="D33" s="34">
        <f>IF(A33&lt;'Общие данные'!$B$81,'График аннуитет.'!F33-'График аннуитет.'!E33,'График аннуитет.'!C33)</f>
        <v>2404119.86</v>
      </c>
      <c r="E33" s="34">
        <f>ROUND(C33*'Общие данные'!$B$84/H33,2)*'График аннуитет.'!G33</f>
        <v>-352202.1</v>
      </c>
      <c r="F33" s="34">
        <f>IF(A33&lt;'Общие данные'!$B$81,'График аннуитет.'!F32,'График аннуитет.'!D33+'График аннуитет.'!E33)</f>
        <v>2051917.76</v>
      </c>
      <c r="G33" s="15">
        <f t="shared" si="6"/>
        <v>30</v>
      </c>
      <c r="H33" s="15">
        <f t="shared" si="7"/>
        <v>365</v>
      </c>
    </row>
    <row r="34" spans="1:8">
      <c r="A34" s="18">
        <f t="shared" si="8"/>
        <v>27</v>
      </c>
      <c r="B34" s="33">
        <f>'График дифференц'!B34</f>
        <v>46545</v>
      </c>
      <c r="C34" s="34">
        <f t="shared" si="5"/>
        <v>-9545997.5899999999</v>
      </c>
      <c r="D34" s="34">
        <f>IF(A34&lt;'Общие данные'!$B$81,'График аннуитет.'!F34-'График аннуитет.'!E34,'График аннуитет.'!C34)</f>
        <v>2569755.41</v>
      </c>
      <c r="E34" s="34">
        <f>ROUND(C34*'Общие данные'!$B$84/H34,2)*'График аннуитет.'!G34</f>
        <v>-517837.64999999997</v>
      </c>
      <c r="F34" s="34">
        <f>IF(A34&lt;'Общие данные'!$B$81,'График аннуитет.'!F33,'График аннуитет.'!D34+'График аннуитет.'!E34)</f>
        <v>2051917.76</v>
      </c>
      <c r="G34" s="15">
        <f t="shared" si="6"/>
        <v>33</v>
      </c>
      <c r="H34" s="15">
        <f t="shared" si="7"/>
        <v>365</v>
      </c>
    </row>
    <row r="35" spans="1:8">
      <c r="A35" s="18">
        <f t="shared" si="8"/>
        <v>28</v>
      </c>
      <c r="B35" s="33">
        <f>'График дифференц'!B35</f>
        <v>46573</v>
      </c>
      <c r="C35" s="34">
        <f t="shared" si="5"/>
        <v>-12115753</v>
      </c>
      <c r="D35" s="34">
        <f>IF(A35&lt;'Общие данные'!$B$81,'График аннуитет.'!F35-'График аннуитет.'!E35,'График аннуитет.'!C35)</f>
        <v>2609574.44</v>
      </c>
      <c r="E35" s="34">
        <f>ROUND(C35*'Общие данные'!$B$84/H35,2)*'График аннуитет.'!G35</f>
        <v>-557656.68000000005</v>
      </c>
      <c r="F35" s="34">
        <f>IF(A35&lt;'Общие данные'!$B$81,'График аннуитет.'!F34,'График аннуитет.'!D35+'График аннуитет.'!E35)</f>
        <v>2051917.76</v>
      </c>
      <c r="G35" s="15">
        <f t="shared" si="6"/>
        <v>28</v>
      </c>
      <c r="H35" s="15">
        <f t="shared" si="7"/>
        <v>365</v>
      </c>
    </row>
    <row r="36" spans="1:8">
      <c r="A36" s="18">
        <f t="shared" si="8"/>
        <v>29</v>
      </c>
      <c r="B36" s="33">
        <f>'График дифференц'!B36</f>
        <v>46604</v>
      </c>
      <c r="C36" s="34">
        <f t="shared" si="5"/>
        <v>-14725327.439999999</v>
      </c>
      <c r="D36" s="34">
        <f>IF(A36&lt;'Общие данные'!$B$81,'График аннуитет.'!F36-'График аннуитет.'!E36,'График аннуитет.'!C36)</f>
        <v>2802304.38</v>
      </c>
      <c r="E36" s="34">
        <f>ROUND(C36*'Общие данные'!$B$84/H36,2)*'График аннуитет.'!G36</f>
        <v>-750386.62</v>
      </c>
      <c r="F36" s="34">
        <f>IF(A36&lt;'Общие данные'!$B$81,'График аннуитет.'!F35,'График аннуитет.'!D36+'График аннуитет.'!E36)</f>
        <v>2051917.76</v>
      </c>
      <c r="G36" s="15">
        <f t="shared" si="6"/>
        <v>31</v>
      </c>
      <c r="H36" s="15">
        <f t="shared" si="7"/>
        <v>365</v>
      </c>
    </row>
    <row r="37" spans="1:8">
      <c r="A37" s="18">
        <f t="shared" si="8"/>
        <v>30</v>
      </c>
      <c r="B37" s="33">
        <f>'График дифференц'!B37</f>
        <v>46636</v>
      </c>
      <c r="C37" s="34">
        <f t="shared" si="5"/>
        <v>-17527631.82</v>
      </c>
      <c r="D37" s="34">
        <f>IF(A37&lt;'Общие данные'!$B$81,'График аннуитет.'!F37-'График аннуитет.'!E37,'График аннуитет.'!C37)</f>
        <v>2973919.36</v>
      </c>
      <c r="E37" s="34">
        <f>ROUND(C37*'Общие данные'!$B$84/H37,2)*'График аннуитет.'!G37</f>
        <v>-922001.6</v>
      </c>
      <c r="F37" s="34">
        <f>IF(A37&lt;'Общие данные'!$B$81,'График аннуитет.'!F36,'График аннуитет.'!D37+'График аннуитет.'!E37)</f>
        <v>2051917.76</v>
      </c>
      <c r="G37" s="15">
        <f t="shared" si="6"/>
        <v>32</v>
      </c>
      <c r="H37" s="15">
        <f t="shared" si="7"/>
        <v>365</v>
      </c>
    </row>
    <row r="38" spans="1:8">
      <c r="A38" s="18">
        <f t="shared" si="8"/>
        <v>31</v>
      </c>
      <c r="B38" s="33">
        <f>'График дифференц'!B38</f>
        <v>46665</v>
      </c>
      <c r="C38" s="34">
        <f t="shared" si="5"/>
        <v>-20501551.18</v>
      </c>
      <c r="D38" s="34">
        <f>IF(A38&lt;'Общие данные'!$B$81,'График аннуитет.'!F38-'График аннуитет.'!E38,'График аннуитет.'!C38)</f>
        <v>3029251.98</v>
      </c>
      <c r="E38" s="34">
        <f>ROUND(C38*'Общие данные'!$B$84/H38,2)*'График аннуитет.'!G38</f>
        <v>-977334.22</v>
      </c>
      <c r="F38" s="34">
        <f>IF(A38&lt;'Общие данные'!$B$81,'График аннуитет.'!F37,'График аннуитет.'!D38+'График аннуитет.'!E38)</f>
        <v>2051917.76</v>
      </c>
      <c r="G38" s="15">
        <f t="shared" si="6"/>
        <v>29</v>
      </c>
      <c r="H38" s="15">
        <f t="shared" si="7"/>
        <v>365</v>
      </c>
    </row>
    <row r="39" spans="1:8">
      <c r="A39" s="18">
        <f t="shared" si="8"/>
        <v>32</v>
      </c>
      <c r="B39" s="33">
        <f>'График дифференц'!B39</f>
        <v>46696</v>
      </c>
      <c r="C39" s="34">
        <f t="shared" si="5"/>
        <v>-23530803.16</v>
      </c>
      <c r="D39" s="34">
        <f>IF(A39&lt;'Общие данные'!$B$81,'График аннуитет.'!F39-'График аннуитет.'!E39,'График аннуитет.'!C39)</f>
        <v>3251021.63</v>
      </c>
      <c r="E39" s="34">
        <f>ROUND(C39*'Общие данные'!$B$84/H39,2)*'График аннуитет.'!G39</f>
        <v>-1199103.8699999999</v>
      </c>
      <c r="F39" s="34">
        <f>IF(A39&lt;'Общие данные'!$B$81,'График аннуитет.'!F38,'График аннуитет.'!D39+'График аннуитет.'!E39)</f>
        <v>2051917.76</v>
      </c>
      <c r="G39" s="15">
        <f t="shared" si="6"/>
        <v>31</v>
      </c>
      <c r="H39" s="15">
        <f t="shared" si="7"/>
        <v>365</v>
      </c>
    </row>
    <row r="40" spans="1:8">
      <c r="A40" s="18">
        <f t="shared" si="8"/>
        <v>33</v>
      </c>
      <c r="B40" s="33">
        <f>'График дифференц'!B40</f>
        <v>46727</v>
      </c>
      <c r="C40" s="34">
        <f t="shared" si="5"/>
        <v>-26781824.789999999</v>
      </c>
      <c r="D40" s="34">
        <f>IF(A40&lt;'Общие данные'!$B$81,'График аннуитет.'!F40-'График аннуитет.'!E40,'График аннуитет.'!C40)</f>
        <v>3416690.2800000003</v>
      </c>
      <c r="E40" s="34">
        <f>ROUND(C40*'Общие данные'!$B$84/H40,2)*'График аннуитет.'!G40</f>
        <v>-1364772.52</v>
      </c>
      <c r="F40" s="34">
        <f>IF(A40&lt;'Общие данные'!$B$81,'График аннуитет.'!F39,'График аннуитет.'!D40+'График аннуитет.'!E40)</f>
        <v>2051917.76</v>
      </c>
      <c r="G40" s="15">
        <f t="shared" si="6"/>
        <v>31</v>
      </c>
      <c r="H40" s="15">
        <f t="shared" si="7"/>
        <v>365</v>
      </c>
    </row>
    <row r="41" spans="1:8">
      <c r="A41" s="18">
        <f t="shared" si="8"/>
        <v>34</v>
      </c>
      <c r="B41" s="33">
        <f>'График дифференц'!B41</f>
        <v>46757</v>
      </c>
      <c r="C41" s="34">
        <f t="shared" si="5"/>
        <v>-30198515.07</v>
      </c>
      <c r="D41" s="34">
        <f>IF(A41&lt;'Общие данные'!$B$81,'График аннуитет.'!F41-'График аннуитет.'!E41,'График аннуитет.'!C41)</f>
        <v>3537090.5600000001</v>
      </c>
      <c r="E41" s="34">
        <f>ROUND(C41*'Общие данные'!$B$84/H41,2)*'График аннуитет.'!G41</f>
        <v>-1485172.8</v>
      </c>
      <c r="F41" s="34">
        <f>IF(A41&lt;'Общие данные'!$B$81,'График аннуитет.'!F40,'График аннуитет.'!D41+'График аннуитет.'!E41)</f>
        <v>2051917.76</v>
      </c>
      <c r="G41" s="15">
        <f t="shared" si="6"/>
        <v>30</v>
      </c>
      <c r="H41" s="15">
        <f t="shared" si="7"/>
        <v>366</v>
      </c>
    </row>
    <row r="42" spans="1:8">
      <c r="A42" s="18">
        <f t="shared" si="8"/>
        <v>35</v>
      </c>
      <c r="B42" s="33">
        <f>'График дифференц'!B42</f>
        <v>46790</v>
      </c>
      <c r="C42" s="34">
        <f t="shared" si="5"/>
        <v>-33735605.630000003</v>
      </c>
      <c r="D42" s="34">
        <f>IF(A42&lt;'Общие данные'!$B$81,'График аннуитет.'!F42-'График аннуитет.'!E42,'График аннуитет.'!C42)</f>
        <v>3876958.67</v>
      </c>
      <c r="E42" s="34">
        <f>ROUND(C42*'Общие данные'!$B$84/H42,2)*'График аннуитет.'!G42</f>
        <v>-1825040.91</v>
      </c>
      <c r="F42" s="34">
        <f>IF(A42&lt;'Общие данные'!$B$81,'График аннуитет.'!F41,'График аннуитет.'!D42+'График аннуитет.'!E42)</f>
        <v>2051917.76</v>
      </c>
      <c r="G42" s="15">
        <f t="shared" si="6"/>
        <v>33</v>
      </c>
      <c r="H42" s="15">
        <f t="shared" si="7"/>
        <v>366</v>
      </c>
    </row>
    <row r="43" spans="1:8">
      <c r="A43" s="18">
        <f t="shared" si="8"/>
        <v>36</v>
      </c>
      <c r="B43" s="33">
        <f>'График дифференц'!B43</f>
        <v>46823</v>
      </c>
      <c r="C43" s="34">
        <f t="shared" si="5"/>
        <v>-37612564.300000004</v>
      </c>
      <c r="D43" s="34">
        <f>IF(A43&lt;'Общие данные'!$B$81,'График аннуитет.'!F43-'График аннуитет.'!E43,'График аннуитет.'!C43)</f>
        <v>-37612564.300000004</v>
      </c>
      <c r="E43" s="34">
        <f>ROUND(C43*'Общие данные'!$B$84/H43,2)*'График аннуитет.'!G43</f>
        <v>-2034778.02</v>
      </c>
      <c r="F43" s="34">
        <f>IF(A43&lt;'Общие данные'!$B$81,'График аннуитет.'!F42,'График аннуитет.'!D43+'График аннуитет.'!E43)</f>
        <v>-39647342.320000008</v>
      </c>
      <c r="G43" s="15">
        <f t="shared" si="6"/>
        <v>33</v>
      </c>
      <c r="H43" s="15">
        <f t="shared" si="7"/>
        <v>366</v>
      </c>
    </row>
    <row r="44" spans="1:8">
      <c r="A44" s="46"/>
      <c r="B44" s="47" t="s">
        <v>7</v>
      </c>
      <c r="C44" s="48"/>
      <c r="D44" s="48">
        <f>SUM(D8:D43)</f>
        <v>27000000</v>
      </c>
      <c r="E44" s="48">
        <f t="shared" ref="E44:F44" si="9">SUM(E8:E43)</f>
        <v>5169779.2800000031</v>
      </c>
      <c r="F44" s="48">
        <f t="shared" si="9"/>
        <v>32169779.279999986</v>
      </c>
    </row>
    <row r="45" spans="1:8" ht="9" customHeight="1">
      <c r="B45" s="35"/>
      <c r="C45" s="36"/>
      <c r="D45" s="36"/>
      <c r="E45" s="36"/>
      <c r="F45" s="36"/>
    </row>
    <row r="46" spans="1:8" ht="47.25" customHeight="1">
      <c r="A46" s="236" t="s">
        <v>18</v>
      </c>
      <c r="B46" s="236"/>
      <c r="C46" s="236"/>
      <c r="D46" s="236"/>
      <c r="E46" s="236"/>
      <c r="F46" s="236"/>
    </row>
    <row r="47" spans="1:8" ht="7.5" customHeight="1"/>
    <row r="48" spans="1:8">
      <c r="A48" s="264" t="e">
        <f>#REF!</f>
        <v>#REF!</v>
      </c>
      <c r="B48" s="264"/>
      <c r="C48" s="264"/>
      <c r="D48" s="264" t="e">
        <f>#REF!</f>
        <v>#REF!</v>
      </c>
      <c r="E48" s="264"/>
      <c r="F48" s="264"/>
    </row>
    <row r="49" spans="1:6" ht="11.25" customHeight="1">
      <c r="A49" s="265"/>
      <c r="B49" s="265"/>
      <c r="C49" s="265"/>
      <c r="D49" s="265"/>
      <c r="E49" s="265"/>
      <c r="F49" s="265"/>
    </row>
    <row r="50" spans="1:6" ht="30" customHeight="1">
      <c r="A50" s="263" t="e">
        <f>#REF!</f>
        <v>#REF!</v>
      </c>
      <c r="B50" s="263"/>
      <c r="C50" s="263"/>
      <c r="D50" s="263" t="e">
        <f>#REF!</f>
        <v>#REF!</v>
      </c>
      <c r="E50" s="263"/>
      <c r="F50" s="263"/>
    </row>
    <row r="51" spans="1:6" ht="32.25" customHeight="1">
      <c r="A51" s="259" t="e">
        <f>#REF!</f>
        <v>#REF!</v>
      </c>
      <c r="B51" s="259"/>
      <c r="C51" s="259"/>
      <c r="D51" s="259" t="e">
        <f>#REF!</f>
        <v>#REF!</v>
      </c>
      <c r="E51" s="259"/>
      <c r="F51" s="259"/>
    </row>
    <row r="52" spans="1:6">
      <c r="A52" s="259" t="e">
        <f>#REF!</f>
        <v>#REF!</v>
      </c>
      <c r="B52" s="259"/>
      <c r="C52" s="259"/>
      <c r="D52" s="259" t="str">
        <f>"паспорт серии "&amp;'Общие данные'!B16&amp;", "&amp;'Общие данные'!B20&amp;""</f>
        <v>паспорт серии AA 9481167, BUXORO VILOYATI BUXORO SHAHAR IIB tomonidan 24.04.2015 yilda berilgan</v>
      </c>
      <c r="E52" s="259"/>
      <c r="F52" s="259"/>
    </row>
    <row r="53" spans="1:6" ht="32.25" customHeight="1">
      <c r="A53" s="259" t="e">
        <f>#REF!</f>
        <v>#REF!</v>
      </c>
      <c r="B53" s="259"/>
      <c r="C53" s="259"/>
      <c r="D53" s="259"/>
      <c r="E53" s="259"/>
      <c r="F53" s="259"/>
    </row>
    <row r="54" spans="1:6">
      <c r="A54" s="259" t="e">
        <f>#REF!</f>
        <v>#REF!</v>
      </c>
      <c r="B54" s="259"/>
      <c r="C54" s="259"/>
      <c r="D54" s="259" t="e">
        <f>#REF!</f>
        <v>#REF!</v>
      </c>
      <c r="E54" s="259"/>
      <c r="F54" s="259"/>
    </row>
    <row r="55" spans="1:6">
      <c r="A55" s="259" t="e">
        <f>#REF!</f>
        <v>#REF!</v>
      </c>
      <c r="B55" s="259"/>
      <c r="C55" s="259"/>
      <c r="D55" s="259" t="e">
        <f>#REF!</f>
        <v>#REF!</v>
      </c>
      <c r="E55" s="259"/>
      <c r="F55" s="259"/>
    </row>
    <row r="56" spans="1:6">
      <c r="A56" s="259" t="e">
        <f>#REF!</f>
        <v>#REF!</v>
      </c>
      <c r="B56" s="259"/>
      <c r="C56" s="259"/>
      <c r="D56" s="259" t="e">
        <f>#REF!</f>
        <v>#REF!</v>
      </c>
      <c r="E56" s="259"/>
      <c r="F56" s="259"/>
    </row>
    <row r="57" spans="1:6" ht="8.25" customHeight="1">
      <c r="A57" s="259"/>
      <c r="B57" s="259"/>
      <c r="C57" s="259"/>
      <c r="D57" s="259"/>
      <c r="E57" s="259"/>
      <c r="F57" s="259"/>
    </row>
    <row r="58" spans="1:6">
      <c r="A58" s="263" t="e">
        <f>#REF!</f>
        <v>#REF!</v>
      </c>
      <c r="B58" s="263"/>
      <c r="C58" s="263"/>
      <c r="D58" s="263" t="e">
        <f>#REF!</f>
        <v>#REF!</v>
      </c>
      <c r="E58" s="263"/>
      <c r="F58" s="263"/>
    </row>
    <row r="59" spans="1:6" ht="7.5" customHeight="1">
      <c r="A59" s="263"/>
      <c r="B59" s="263"/>
      <c r="C59" s="263"/>
      <c r="D59" s="263"/>
      <c r="E59" s="263"/>
      <c r="F59" s="263"/>
    </row>
    <row r="60" spans="1:6">
      <c r="A60" s="263" t="e">
        <f>#REF!</f>
        <v>#REF!</v>
      </c>
      <c r="B60" s="263"/>
      <c r="C60" s="263"/>
      <c r="D60" s="263" t="e">
        <f>#REF!</f>
        <v>#REF!</v>
      </c>
      <c r="E60" s="263"/>
      <c r="F60" s="263"/>
    </row>
    <row r="61" spans="1:6" ht="8.25" customHeight="1">
      <c r="A61" s="259"/>
      <c r="B61" s="259"/>
      <c r="C61" s="259"/>
      <c r="D61" s="259"/>
      <c r="E61" s="259"/>
      <c r="F61" s="259"/>
    </row>
    <row r="62" spans="1:6" ht="30" customHeight="1">
      <c r="A62" s="260"/>
      <c r="B62" s="260"/>
      <c r="C62" s="260"/>
      <c r="D62" s="261"/>
      <c r="E62" s="261"/>
      <c r="F62" s="261"/>
    </row>
    <row r="63" spans="1:6">
      <c r="A63" s="262"/>
      <c r="B63" s="262"/>
      <c r="C63" s="262"/>
      <c r="D63" s="262"/>
      <c r="E63" s="262"/>
      <c r="F63" s="262"/>
    </row>
    <row r="64" spans="1:6">
      <c r="A64" s="258"/>
      <c r="B64" s="258"/>
      <c r="C64" s="258"/>
      <c r="D64" s="258"/>
      <c r="E64" s="258"/>
      <c r="F64" s="258"/>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zoomScaleSheetLayoutView="100" workbookViewId="0">
      <selection activeCell="F26" sqref="F26"/>
    </sheetView>
  </sheetViews>
  <sheetFormatPr defaultColWidth="9.140625" defaultRowHeight="12.75"/>
  <cols>
    <col min="1" max="6" width="14.28515625" style="24" customWidth="1"/>
    <col min="7" max="16384" width="9.140625" style="24"/>
  </cols>
  <sheetData>
    <row r="1" spans="1:6">
      <c r="A1" s="272" t="s">
        <v>218</v>
      </c>
      <c r="B1" s="272"/>
      <c r="C1" s="272"/>
      <c r="D1" s="272"/>
      <c r="E1" s="272"/>
      <c r="F1" s="272"/>
    </row>
    <row r="2" spans="1:6" ht="35.25" customHeight="1">
      <c r="A2" s="273" t="s">
        <v>328</v>
      </c>
      <c r="B2" s="273"/>
      <c r="C2" s="273"/>
      <c r="D2" s="273"/>
      <c r="E2" s="273"/>
      <c r="F2" s="273"/>
    </row>
    <row r="3" spans="1:6">
      <c r="A3" s="272" t="s">
        <v>219</v>
      </c>
      <c r="B3" s="272"/>
      <c r="C3" s="272"/>
      <c r="D3" s="272"/>
      <c r="E3" s="272"/>
      <c r="F3" s="272"/>
    </row>
    <row r="4" spans="1:6">
      <c r="A4" s="271" t="str">
        <f>'Заключение КК'!A4:E4</f>
        <v>Mijozning to'liq ismi sharifi: NUTFULLAYEV AKBARJON AXMEDOVICH</v>
      </c>
      <c r="B4" s="271"/>
      <c r="C4" s="271"/>
      <c r="D4" s="271"/>
      <c r="E4" s="271"/>
      <c r="F4" s="271"/>
    </row>
    <row r="5" spans="1:6">
      <c r="A5" s="271" t="str">
        <f>'Заключение КК'!A5:E5</f>
        <v>Tug'ilgan sanasi: 14.09.1989 y</v>
      </c>
      <c r="B5" s="271"/>
      <c r="C5" s="271"/>
      <c r="D5" s="271"/>
      <c r="E5" s="271"/>
      <c r="F5" s="271"/>
    </row>
    <row r="6" spans="1:6" ht="32.25" customHeight="1">
      <c r="A6" s="271" t="str">
        <f>'Заключение КК'!A6:E6</f>
        <v>Pasport seriyasi AA 9481167 BUXORO VILOYATI BUXORO SHAHAR IIB tomonidan 24.04.2015 yilda berilgan, amal qilish muddati - 23.04.2025 y.</v>
      </c>
      <c r="B6" s="271"/>
      <c r="C6" s="271"/>
      <c r="D6" s="271"/>
      <c r="E6" s="271"/>
      <c r="F6" s="271"/>
    </row>
    <row r="7" spans="1:6">
      <c r="A7" s="271" t="str">
        <f>"Fuqaroligi: "&amp;'Общие данные'!B32&amp;""</f>
        <v>Fuqaroligi: O’zbekiston Respublikasi</v>
      </c>
      <c r="B7" s="271"/>
      <c r="C7" s="271"/>
      <c r="D7" s="271"/>
      <c r="E7" s="271"/>
      <c r="F7" s="271"/>
    </row>
    <row r="8" spans="1:6" ht="26.25" customHeight="1">
      <c r="A8" s="271" t="str">
        <f>'Заключение КК'!A7:E7</f>
        <v>Ro‘yxatdan o‘tgan manzili: BUXORO VILOYATI BUXORO SHAHAR TADBIRKOR KO'CHASI 12-UY, mo'ljal: GOR VODAKANAL</v>
      </c>
      <c r="B8" s="271"/>
      <c r="C8" s="271"/>
      <c r="D8" s="271"/>
      <c r="E8" s="271"/>
      <c r="F8" s="271"/>
    </row>
    <row r="9" spans="1:6">
      <c r="A9" s="271" t="str">
        <f>IF('Общие данные'!B23="mos keladi"," ",'Анкета Клиента'!A10:F10)</f>
        <v xml:space="preserve"> </v>
      </c>
      <c r="B9" s="271"/>
      <c r="C9" s="271"/>
      <c r="D9" s="271"/>
      <c r="E9" s="271"/>
      <c r="F9" s="271"/>
    </row>
    <row r="10" spans="1:6" ht="31.5" hidden="1" customHeight="1">
      <c r="A10" s="271" t="str">
        <f>"Haqiqatdan yashash joy manzili: "&amp;'Общие данные'!B28&amp;""</f>
        <v>Haqiqatdan yashash joy manzili: BUXORO VILOYATI BUXORO SHAHAR TADBIRKOR KO'CHASI 12-UY</v>
      </c>
      <c r="B10" s="271"/>
      <c r="C10" s="271"/>
      <c r="D10" s="271"/>
      <c r="E10" s="271"/>
      <c r="F10" s="271"/>
    </row>
    <row r="11" spans="1:6" ht="16.5" hidden="1" customHeight="1">
      <c r="A11" s="271" t="str">
        <f>'Заключение КК'!A8:E8</f>
        <v>Ish joyi:  lavozimi Yakka tartibdagi tadbirkorda Yakka tartibdagi tadbirkor</v>
      </c>
      <c r="B11" s="271"/>
      <c r="C11" s="271"/>
      <c r="D11" s="271"/>
      <c r="E11" s="271"/>
      <c r="F11" s="271"/>
    </row>
    <row r="12" spans="1:6">
      <c r="A12" s="272" t="s">
        <v>220</v>
      </c>
      <c r="B12" s="272"/>
      <c r="C12" s="272"/>
      <c r="D12" s="272"/>
      <c r="E12" s="272"/>
      <c r="F12" s="272"/>
    </row>
    <row r="13" spans="1:6">
      <c r="A13" s="271" t="str">
        <f>"Uy telefoni raqami: "&amp;'Общие данные'!B40&amp;""</f>
        <v>Uy telefoni raqami: 91 408 76 67  UZI</v>
      </c>
      <c r="B13" s="271"/>
      <c r="C13" s="271"/>
      <c r="D13" s="271"/>
      <c r="E13" s="271"/>
      <c r="F13" s="271"/>
    </row>
    <row r="14" spans="1:6">
      <c r="A14" s="271" t="str">
        <f>"Uyali telefon raqami: "&amp;'Общие данные'!B41&amp;""</f>
        <v>Uyali telefon raqami: 88 305 76 67 AYOLI</v>
      </c>
      <c r="B14" s="271"/>
      <c r="C14" s="271"/>
      <c r="D14" s="271"/>
      <c r="E14" s="271"/>
      <c r="F14" s="271"/>
    </row>
    <row r="15" spans="1:6">
      <c r="A15" s="271" t="str">
        <f>"Uyali telefon raqami: "&amp;'Общие данные'!B42&amp;""</f>
        <v>Uyali telefon raqami: 88 870 76 67 AKASI</v>
      </c>
      <c r="B15" s="271"/>
      <c r="C15" s="271"/>
      <c r="D15" s="271"/>
      <c r="E15" s="271"/>
      <c r="F15" s="271"/>
    </row>
    <row r="16" spans="1:6" hidden="1">
      <c r="A16" s="271" t="str">
        <f>"Uyali telefon raqami: "&amp;'Общие данные'!B42&amp;""</f>
        <v>Uyali telefon raqami: 88 870 76 67 AKASI</v>
      </c>
      <c r="B16" s="271"/>
      <c r="C16" s="271"/>
      <c r="D16" s="271"/>
      <c r="E16" s="271"/>
      <c r="F16" s="271"/>
    </row>
    <row r="17" spans="1:6">
      <c r="A17" s="271" t="str">
        <f>"Ish telefoni raqami: "&amp;'Общие данные'!B43&amp;""</f>
        <v xml:space="preserve">Ish telefoni raqami: </v>
      </c>
      <c r="B17" s="271"/>
      <c r="C17" s="271"/>
      <c r="D17" s="271"/>
      <c r="E17" s="271"/>
      <c r="F17" s="271"/>
    </row>
    <row r="18" spans="1:6">
      <c r="A18" s="272" t="s">
        <v>221</v>
      </c>
      <c r="B18" s="272"/>
      <c r="C18" s="272"/>
      <c r="D18" s="272"/>
      <c r="E18" s="272"/>
      <c r="F18" s="272"/>
    </row>
    <row r="19" spans="1:6">
      <c r="A19" s="271" t="str">
        <f>"Muassasa nomlanishi:"&amp;'Общие данные'!B58&amp;""</f>
        <v>Muassasa nomlanishi:Yakka tartibdagi tadbirkor</v>
      </c>
      <c r="B19" s="271"/>
      <c r="C19" s="271"/>
      <c r="D19" s="271"/>
      <c r="E19" s="271"/>
      <c r="F19" s="271"/>
    </row>
    <row r="20" spans="1:6">
      <c r="A20" s="271" t="str">
        <f>"Ro‘yxatdan o‘tish manzili:"&amp;'Общие данные'!B50&amp;""</f>
        <v>Ro‘yxatdan o‘tish manzili:</v>
      </c>
      <c r="B20" s="271"/>
      <c r="C20" s="271"/>
      <c r="D20" s="271"/>
      <c r="E20" s="271"/>
      <c r="F20" s="271"/>
    </row>
    <row r="21" spans="1:6">
      <c r="A21" s="271" t="str">
        <f>"Lavozimi: "&amp;'Общие данные'!B59&amp;""</f>
        <v>Lavozimi: Yakka tartibdagi tadbirkor</v>
      </c>
      <c r="B21" s="271"/>
      <c r="C21" s="271"/>
      <c r="D21" s="271"/>
      <c r="E21" s="271"/>
      <c r="F21" s="271"/>
    </row>
    <row r="22" spans="1:6">
      <c r="A22" s="272" t="s">
        <v>222</v>
      </c>
      <c r="B22" s="274"/>
      <c r="C22" s="274"/>
      <c r="D22" s="274"/>
      <c r="E22" s="274"/>
      <c r="F22" s="274"/>
    </row>
    <row r="23" spans="1:6" s="26" customFormat="1" ht="25.5">
      <c r="A23" s="25" t="s">
        <v>223</v>
      </c>
      <c r="B23" s="25" t="s">
        <v>224</v>
      </c>
      <c r="C23" s="25" t="s">
        <v>225</v>
      </c>
      <c r="D23" s="25" t="s">
        <v>226</v>
      </c>
      <c r="E23" s="25" t="s">
        <v>227</v>
      </c>
      <c r="F23" s="25" t="s">
        <v>228</v>
      </c>
    </row>
    <row r="24" spans="1:6" ht="51">
      <c r="A24" s="27" t="s">
        <v>229</v>
      </c>
      <c r="B24" s="28">
        <f>'Общие данные'!B60</f>
        <v>10000000</v>
      </c>
      <c r="C24" s="28">
        <v>0</v>
      </c>
      <c r="D24" s="28">
        <v>0</v>
      </c>
      <c r="E24" s="27" t="s">
        <v>232</v>
      </c>
      <c r="F24" s="28">
        <v>700000</v>
      </c>
    </row>
    <row r="25" spans="1:6" ht="25.5">
      <c r="A25" s="27" t="s">
        <v>230</v>
      </c>
      <c r="B25" s="28">
        <v>0</v>
      </c>
      <c r="C25" s="28">
        <v>0</v>
      </c>
      <c r="D25" s="28">
        <v>0</v>
      </c>
      <c r="E25" s="27" t="s">
        <v>233</v>
      </c>
      <c r="F25" s="28">
        <v>450000</v>
      </c>
    </row>
    <row r="26" spans="1:6" ht="28.5" customHeight="1">
      <c r="A26" s="27" t="s">
        <v>231</v>
      </c>
      <c r="B26" s="28">
        <f>'Общие данные'!B61</f>
        <v>0</v>
      </c>
      <c r="C26" s="28">
        <v>0</v>
      </c>
      <c r="D26" s="28">
        <v>0</v>
      </c>
      <c r="E26" s="27" t="s">
        <v>234</v>
      </c>
      <c r="F26" s="28">
        <v>500000</v>
      </c>
    </row>
    <row r="27" spans="1:6" s="31" customFormat="1">
      <c r="A27" s="29" t="s">
        <v>210</v>
      </c>
      <c r="B27" s="30">
        <f>B24+B25+B26</f>
        <v>10000000</v>
      </c>
      <c r="C27" s="30">
        <f t="shared" ref="C27:D27" si="0">SUM(C24:C26)</f>
        <v>0</v>
      </c>
      <c r="D27" s="30">
        <f t="shared" si="0"/>
        <v>0</v>
      </c>
      <c r="E27" s="29"/>
      <c r="F27" s="30">
        <f>F24+F25+F26</f>
        <v>1650000</v>
      </c>
    </row>
    <row r="28" spans="1:6" ht="31.5" customHeight="1">
      <c r="A28" s="271" t="str">
        <f>"Men, "&amp;'Общие данные'!B5&amp;", ushbu anketada ko‘rsatilgan barcha ma'lumotlar anketa to'ldirilgan sanada  to'g'ri va aniq ekanligini tasdiqlayman."</f>
        <v>Men, NUTFULLAYEV AKBARJON AXMEDOVICH, ushbu anketada ko‘rsatilgan barcha ma'lumotlar anketa to'ldirilgan sanada  to'g'ri va aniq ekanligini tasdiqlayman.</v>
      </c>
      <c r="B28" s="271"/>
      <c r="C28" s="271"/>
      <c r="D28" s="271"/>
      <c r="E28" s="271"/>
      <c r="F28" s="271"/>
    </row>
    <row r="29" spans="1:6">
      <c r="A29" s="271" t="str">
        <f>"Men,  "&amp;'Общие данные'!B5&amp;", quyidagilarni tan olaman va roziman::"</f>
        <v>Men,  NUTFULLAYEV AKBARJON AXMEDOVICH, quyidagilarni tan olaman va roziman::</v>
      </c>
      <c r="B29" s="271"/>
      <c r="C29" s="271"/>
      <c r="D29" s="271"/>
      <c r="E29" s="271"/>
      <c r="F29" s="271"/>
    </row>
    <row r="30" spans="1:6" ht="45.75" customHeight="1">
      <c r="A30" s="271" t="str">
        <f>"1.  Ushbu anketada ko‘rsatilgan har qanday ma’lumot  "&amp;'Общие данные'!B147&amp;",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271"/>
      <c r="C30" s="271"/>
      <c r="D30" s="271"/>
      <c r="E30" s="271"/>
      <c r="F30" s="271"/>
    </row>
    <row r="31" spans="1:6" ht="42.75" customHeight="1">
      <c r="A31" s="271" t="str">
        <f>"2. Mazkur anketaning "&amp;'Общие данные'!B147&amp;" tomonidan qabul qilinishi “Clever Mikromoliya Tashkiloti” MChJ tomonidan menga "&amp;'Общие данные'!B65&amp;" berish majburiyatini yuklamaydi."</f>
        <v>2. Mazkur anketaning «CLEVER MIKROMOLIYA TASHKILOTI» MChJ tomonidan qabul qilinishi “Clever Mikromoliya Tashkiloti” MChJ tomonidan menga mikroqarz berish majburiyatini yuklamaydi.</v>
      </c>
      <c r="B31" s="271"/>
      <c r="C31" s="271"/>
      <c r="D31" s="271"/>
      <c r="E31" s="271"/>
      <c r="F31" s="271"/>
    </row>
    <row r="32" spans="1:6" ht="71.25" customHeight="1">
      <c r="A32" s="271" t="s">
        <v>235</v>
      </c>
      <c r="B32" s="271"/>
      <c r="C32" s="271"/>
      <c r="D32" s="271"/>
      <c r="E32" s="271"/>
      <c r="F32" s="271"/>
    </row>
    <row r="33" spans="1:6">
      <c r="A33" s="271"/>
      <c r="B33" s="271"/>
      <c r="C33" s="271"/>
      <c r="D33" s="271"/>
      <c r="E33" s="271"/>
      <c r="F33" s="271"/>
    </row>
    <row r="34" spans="1:6" ht="12.75" customHeight="1">
      <c r="A34" s="274" t="s">
        <v>236</v>
      </c>
      <c r="B34" s="274"/>
      <c r="C34" s="274"/>
      <c r="D34" s="148" t="s">
        <v>157</v>
      </c>
      <c r="E34" s="274" t="s">
        <v>237</v>
      </c>
      <c r="F34" s="274"/>
    </row>
    <row r="35" spans="1:6" ht="25.5" customHeight="1">
      <c r="A35" s="275"/>
      <c r="B35" s="275"/>
      <c r="C35" s="275"/>
      <c r="D35" s="276" t="str">
        <f>'Общие данные'!B2</f>
        <v>11.03.2025</v>
      </c>
      <c r="E35" s="275"/>
      <c r="F35" s="275"/>
    </row>
    <row r="36" spans="1:6" ht="25.5" customHeight="1">
      <c r="A36" s="275"/>
      <c r="B36" s="275"/>
      <c r="C36" s="275"/>
      <c r="D36" s="276"/>
      <c r="E36" s="275"/>
      <c r="F36" s="275"/>
    </row>
    <row r="37" spans="1:6">
      <c r="A37" s="271"/>
      <c r="B37" s="271"/>
      <c r="C37" s="271"/>
      <c r="D37" s="271"/>
      <c r="E37" s="271"/>
      <c r="F37" s="271"/>
    </row>
    <row r="38" spans="1:6">
      <c r="A38" s="271"/>
      <c r="B38" s="271"/>
      <c r="C38" s="271"/>
      <c r="D38" s="271"/>
      <c r="E38" s="271"/>
      <c r="F38" s="271"/>
    </row>
    <row r="39" spans="1:6">
      <c r="A39" s="271"/>
      <c r="B39" s="271"/>
      <c r="C39" s="271"/>
      <c r="D39" s="271"/>
      <c r="E39" s="271"/>
      <c r="F39" s="271"/>
    </row>
    <row r="40" spans="1:6">
      <c r="A40" s="271"/>
      <c r="B40" s="271"/>
      <c r="C40" s="271"/>
      <c r="D40" s="271"/>
      <c r="E40" s="271"/>
      <c r="F40" s="271"/>
    </row>
    <row r="41" spans="1:6">
      <c r="A41" s="271"/>
      <c r="B41" s="271"/>
      <c r="C41" s="271"/>
      <c r="D41" s="271"/>
      <c r="E41" s="271"/>
      <c r="F41" s="271"/>
    </row>
    <row r="42" spans="1:6">
      <c r="A42" s="271"/>
      <c r="B42" s="271"/>
      <c r="C42" s="271"/>
      <c r="D42" s="271"/>
      <c r="E42" s="271"/>
      <c r="F42" s="271"/>
    </row>
    <row r="43" spans="1:6">
      <c r="A43" s="271"/>
      <c r="B43" s="271"/>
      <c r="C43" s="271"/>
      <c r="D43" s="271"/>
      <c r="E43" s="271"/>
      <c r="F43" s="271"/>
    </row>
  </sheetData>
  <mergeCells count="41">
    <mergeCell ref="A41:F41"/>
    <mergeCell ref="A42:F42"/>
    <mergeCell ref="A43:F43"/>
    <mergeCell ref="A34:C34"/>
    <mergeCell ref="E34:F34"/>
    <mergeCell ref="A35:C35"/>
    <mergeCell ref="D35:D36"/>
    <mergeCell ref="E35:F36"/>
    <mergeCell ref="A36:C36"/>
    <mergeCell ref="A37:F37"/>
    <mergeCell ref="A38:F38"/>
    <mergeCell ref="A39:F39"/>
    <mergeCell ref="A40:F40"/>
    <mergeCell ref="A29:F29"/>
    <mergeCell ref="A30:F30"/>
    <mergeCell ref="A31:F31"/>
    <mergeCell ref="A32:F32"/>
    <mergeCell ref="A33:F33"/>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15:F15"/>
    <mergeCell ref="A1:F1"/>
    <mergeCell ref="A2:F2"/>
    <mergeCell ref="A3:F3"/>
    <mergeCell ref="A4:F4"/>
    <mergeCell ref="A5:F5"/>
    <mergeCell ref="A6:F6"/>
  </mergeCells>
  <pageMargins left="0.7" right="0.7" top="0.75" bottom="0.75" header="0.3" footer="0.3"/>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topLeftCell="A22" zoomScaleNormal="100" zoomScaleSheetLayoutView="100" workbookViewId="0">
      <selection activeCell="A28" sqref="A27:E28"/>
    </sheetView>
  </sheetViews>
  <sheetFormatPr defaultColWidth="9.140625" defaultRowHeight="15.75"/>
  <cols>
    <col min="1" max="2" width="17.42578125" style="122" customWidth="1"/>
    <col min="3" max="3" width="29.85546875" style="122" customWidth="1"/>
    <col min="4" max="4" width="18.140625" style="122" customWidth="1"/>
    <col min="5" max="5" width="6.5703125" style="122" customWidth="1"/>
    <col min="6" max="16384" width="9.140625" style="122"/>
  </cols>
  <sheetData>
    <row r="2" spans="1:5">
      <c r="A2" s="281" t="s">
        <v>238</v>
      </c>
      <c r="B2" s="281"/>
      <c r="C2" s="281"/>
      <c r="D2" s="281"/>
      <c r="E2" s="281"/>
    </row>
    <row r="3" spans="1:5">
      <c r="E3" s="121" t="str">
        <f>'Общие данные'!B68</f>
        <v>11 mart 2025 y.</v>
      </c>
    </row>
    <row r="5" spans="1:5" s="123" customFormat="1" ht="27" customHeight="1">
      <c r="A5" s="285" t="s">
        <v>239</v>
      </c>
      <c r="B5" s="286"/>
      <c r="C5" s="282" t="str">
        <f>'Общие данные'!B8</f>
        <v>NUTFULLAYEV AKBARJON AXMEDOVICH</v>
      </c>
      <c r="D5" s="283"/>
      <c r="E5" s="284"/>
    </row>
    <row r="7" spans="1:5" ht="15.75" customHeight="1">
      <c r="A7" s="287" t="s">
        <v>358</v>
      </c>
      <c r="B7" s="288"/>
      <c r="C7" s="289"/>
      <c r="D7" s="124" t="s">
        <v>133</v>
      </c>
      <c r="E7" s="124"/>
    </row>
    <row r="8" spans="1:5">
      <c r="A8" s="290"/>
      <c r="B8" s="291"/>
      <c r="C8" s="292"/>
      <c r="D8" s="124" t="s">
        <v>243</v>
      </c>
      <c r="E8" s="124"/>
    </row>
    <row r="9" spans="1:5" ht="15.75" customHeight="1">
      <c r="A9" s="278" t="s">
        <v>240</v>
      </c>
      <c r="B9" s="278"/>
      <c r="C9" s="278"/>
      <c r="D9" s="124" t="s">
        <v>133</v>
      </c>
      <c r="E9" s="124"/>
    </row>
    <row r="10" spans="1:5">
      <c r="A10" s="278"/>
      <c r="B10" s="278"/>
      <c r="C10" s="278"/>
      <c r="D10" s="124" t="s">
        <v>243</v>
      </c>
      <c r="E10" s="124"/>
    </row>
    <row r="11" spans="1:5" ht="15.75" customHeight="1">
      <c r="A11" s="278" t="s">
        <v>241</v>
      </c>
      <c r="B11" s="278"/>
      <c r="C11" s="278"/>
      <c r="D11" s="124" t="s">
        <v>133</v>
      </c>
      <c r="E11" s="124"/>
    </row>
    <row r="12" spans="1:5">
      <c r="A12" s="278"/>
      <c r="B12" s="278"/>
      <c r="C12" s="278"/>
      <c r="D12" s="124" t="s">
        <v>243</v>
      </c>
      <c r="E12" s="124"/>
    </row>
    <row r="13" spans="1:5" ht="34.5" customHeight="1">
      <c r="A13" s="279" t="s">
        <v>242</v>
      </c>
      <c r="B13" s="279"/>
      <c r="C13" s="279"/>
      <c r="D13" s="279"/>
      <c r="E13" s="279"/>
    </row>
    <row r="14" spans="1:5" ht="16.5" thickBot="1">
      <c r="A14" s="280"/>
      <c r="B14" s="280"/>
      <c r="C14" s="280"/>
      <c r="D14" s="280"/>
      <c r="E14" s="280"/>
    </row>
    <row r="15" spans="1:5" ht="16.5" thickBot="1">
      <c r="A15" s="280"/>
      <c r="B15" s="280"/>
      <c r="C15" s="280"/>
      <c r="D15" s="280"/>
      <c r="E15" s="280"/>
    </row>
    <row r="16" spans="1:5" ht="16.5" thickBot="1">
      <c r="A16" s="280"/>
      <c r="B16" s="280"/>
      <c r="C16" s="280"/>
      <c r="D16" s="280"/>
      <c r="E16" s="280"/>
    </row>
    <row r="18" spans="1:8" ht="18.75" customHeight="1">
      <c r="A18" s="278" t="s">
        <v>244</v>
      </c>
      <c r="B18" s="278"/>
      <c r="C18" s="278"/>
      <c r="D18" s="124" t="s">
        <v>133</v>
      </c>
      <c r="E18" s="124"/>
    </row>
    <row r="19" spans="1:8" ht="18.75" customHeight="1">
      <c r="A19" s="278"/>
      <c r="B19" s="278"/>
      <c r="C19" s="278"/>
      <c r="D19" s="124" t="s">
        <v>243</v>
      </c>
      <c r="E19" s="124"/>
    </row>
    <row r="20" spans="1:8" ht="29.25" customHeight="1">
      <c r="A20" s="278" t="s">
        <v>245</v>
      </c>
      <c r="B20" s="278"/>
      <c r="C20" s="278"/>
      <c r="D20" s="124" t="s">
        <v>133</v>
      </c>
      <c r="E20" s="124"/>
    </row>
    <row r="21" spans="1:8" ht="29.25" customHeight="1">
      <c r="A21" s="278"/>
      <c r="B21" s="278"/>
      <c r="C21" s="278"/>
      <c r="D21" s="124" t="s">
        <v>243</v>
      </c>
      <c r="E21" s="124"/>
    </row>
    <row r="23" spans="1:8" ht="15.75" customHeight="1">
      <c r="A23" s="279" t="s">
        <v>246</v>
      </c>
      <c r="B23" s="279"/>
      <c r="C23" s="279"/>
      <c r="D23" s="279"/>
      <c r="E23" s="279"/>
    </row>
    <row r="24" spans="1:8" ht="16.5" thickBot="1">
      <c r="A24" s="280"/>
      <c r="B24" s="280"/>
      <c r="C24" s="280"/>
      <c r="D24" s="280"/>
      <c r="E24" s="280"/>
    </row>
    <row r="25" spans="1:8" ht="16.5" thickBot="1">
      <c r="A25" s="280"/>
      <c r="B25" s="280"/>
      <c r="C25" s="280"/>
      <c r="D25" s="280"/>
      <c r="E25" s="280"/>
    </row>
    <row r="26" spans="1:8" ht="16.5" thickBot="1">
      <c r="A26" s="280"/>
      <c r="B26" s="280"/>
      <c r="C26" s="280"/>
      <c r="D26" s="280"/>
      <c r="E26" s="280"/>
    </row>
    <row r="28" spans="1:8" ht="78.75" customHeight="1">
      <c r="A28" s="277" t="s">
        <v>247</v>
      </c>
      <c r="B28" s="277"/>
      <c r="C28" s="277"/>
      <c r="D28" s="277"/>
      <c r="E28" s="277"/>
    </row>
    <row r="30" spans="1:8" ht="33" customHeight="1">
      <c r="A30" s="277" t="s">
        <v>248</v>
      </c>
      <c r="B30" s="277"/>
      <c r="C30" s="277"/>
      <c r="D30" s="277"/>
      <c r="E30" s="277"/>
      <c r="F30" s="125"/>
      <c r="G30" s="125"/>
      <c r="H30" s="125"/>
    </row>
    <row r="33" spans="1:5" ht="16.5" thickBot="1">
      <c r="A33" s="126" t="str">
        <f>C5</f>
        <v>NUTFULLAYEV AKBARJON AXMEDOVICH</v>
      </c>
      <c r="D33" s="127"/>
      <c r="E33" s="128"/>
    </row>
  </sheetData>
  <mergeCells count="18">
    <mergeCell ref="A2:E2"/>
    <mergeCell ref="C5:E5"/>
    <mergeCell ref="A5:B5"/>
    <mergeCell ref="A7:C8"/>
    <mergeCell ref="A9:C10"/>
    <mergeCell ref="A11:C12"/>
    <mergeCell ref="A13:E13"/>
    <mergeCell ref="A16:E16"/>
    <mergeCell ref="A15:E15"/>
    <mergeCell ref="A14:E14"/>
    <mergeCell ref="A28:E28"/>
    <mergeCell ref="A30:E30"/>
    <mergeCell ref="A18:C19"/>
    <mergeCell ref="A20:C21"/>
    <mergeCell ref="A23:E23"/>
    <mergeCell ref="A24:E24"/>
    <mergeCell ref="A25:E25"/>
    <mergeCell ref="A26:E26"/>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7"/>
  <sheetViews>
    <sheetView view="pageBreakPreview" zoomScaleSheetLayoutView="100" workbookViewId="0">
      <selection activeCell="F69" sqref="F69"/>
    </sheetView>
  </sheetViews>
  <sheetFormatPr defaultColWidth="9.140625" defaultRowHeight="15.75"/>
  <cols>
    <col min="1" max="1" width="20.140625" style="6" customWidth="1"/>
    <col min="2" max="2" width="18.7109375" style="6" customWidth="1"/>
    <col min="3" max="3" width="19.7109375" style="6" customWidth="1"/>
    <col min="4" max="4" width="28.7109375" style="6" customWidth="1"/>
    <col min="5" max="16384" width="9.140625" style="6"/>
  </cols>
  <sheetData>
    <row r="1" spans="1:4" ht="66.75" customHeight="1">
      <c r="C1" s="294" t="str">
        <f>""&amp;'Общие данные'!B147&amp;"ning
"&amp;'Общие данные'!A150&amp;""</f>
        <v>«CLEVER MIKROMOLIYA TASHKILOTI» MChJning
Olmaliq filiali boshlig'i</v>
      </c>
      <c r="D1" s="294"/>
    </row>
    <row r="2" spans="1:4">
      <c r="C2" s="13"/>
      <c r="D2" s="14" t="str">
        <f>""&amp;'Общие данные'!B150&amp;"ga"</f>
        <v>V. Yerjanovga</v>
      </c>
    </row>
    <row r="4" spans="1:4">
      <c r="A4" s="293" t="str">
        <f>""&amp;'Общие данные'!C64&amp;" olish uchun Ariza"</f>
        <v>Mikroqarz olish uchun Ariza</v>
      </c>
      <c r="B4" s="293"/>
      <c r="C4" s="293"/>
      <c r="D4" s="293"/>
    </row>
    <row r="5" spans="1:4">
      <c r="A5" s="293"/>
      <c r="B5" s="293"/>
      <c r="C5" s="293"/>
      <c r="D5" s="293"/>
    </row>
    <row r="6" spans="1:4" ht="60" customHeight="1">
      <c r="A6" s="295" t="str">
        <f>""&amp;'Общие данные'!B28&amp;".-da yashovchi O‘zbekiston Respublikasi fuqarosi "&amp;'Общие данные'!B8&amp;"dan. "</f>
        <v xml:space="preserve">BUXORO VILOYATI BUXORO SHAHAR TADBIRKOR KO'CHASI 12-UY.-da yashovchi O‘zbekiston Respublikasi fuqarosi NUTFULLAYEV AKBARJON AXMEDOVICHdan. </v>
      </c>
      <c r="B6" s="295"/>
      <c r="C6" s="295"/>
      <c r="D6" s="295"/>
    </row>
    <row r="7" spans="1:4" ht="15.75" customHeight="1">
      <c r="A7" s="295" t="str">
        <f>"Tug'ilgan kuni: "&amp;'Общие данные'!B15&amp;""</f>
        <v>Tug'ilgan kuni: 14.09.1989 y</v>
      </c>
      <c r="B7" s="295"/>
      <c r="C7" s="295"/>
      <c r="D7" s="295"/>
    </row>
    <row r="8" spans="1:4" ht="33" customHeight="1">
      <c r="A8" s="295" t="str">
        <f>"Pasport seriyasi: "&amp;'Общие данные'!B16&amp;" "&amp;'Общие данные'!B20&amp;""</f>
        <v>Pasport seriyasi: AA 9481167 BUXORO VILOYATI BUXORO SHAHAR IIB tomonidan 24.04.2015 yilda berilgan</v>
      </c>
      <c r="B8" s="295"/>
      <c r="C8" s="295"/>
      <c r="D8" s="295"/>
    </row>
    <row r="9" spans="1:4" ht="16.5" customHeight="1">
      <c r="A9" s="295" t="str">
        <f>"Asosiy ish joyi : "&amp;'Общие данные'!B58&amp;""</f>
        <v>Asosiy ish joyi : Yakka tartibdagi tadbirkor</v>
      </c>
      <c r="B9" s="295"/>
      <c r="C9" s="295"/>
      <c r="D9" s="295"/>
    </row>
    <row r="10" spans="1:4" ht="15.75" customHeight="1">
      <c r="A10" s="295" t="str">
        <f>"Lavozimi: "&amp;'Общие данные'!B59&amp;""</f>
        <v>Lavozimi: Yakka tartibdagi tadbirkor</v>
      </c>
      <c r="B10" s="295"/>
      <c r="C10" s="295"/>
      <c r="D10" s="295"/>
    </row>
    <row r="11" spans="1:4">
      <c r="A11" s="295" t="str">
        <f>"O’rtacha oylik daromadi: "&amp;FIXED('Общие данные'!B60,2)&amp;" so'm."</f>
        <v>O’rtacha oylik daromadi: 10 000 000,00 so'm.</v>
      </c>
      <c r="B11" s="295"/>
      <c r="C11" s="295"/>
      <c r="D11" s="295"/>
    </row>
    <row r="12" spans="1:4">
      <c r="A12" s="295" t="str">
        <f>"Menga quyidagi shartlarda "&amp;'Общие данные'!B65&amp;" berishingizni so’rayman:"</f>
        <v>Menga quyidagi shartlarda mikroqarz berishingizni so’rayman:</v>
      </c>
      <c r="B12" s="295"/>
      <c r="C12" s="295"/>
      <c r="D12" s="295"/>
    </row>
    <row r="13" spans="1:4">
      <c r="A13" s="295" t="str">
        <f>""&amp;'Общие данные'!C64&amp;" summasi: "&amp;FIXED('Общие данные'!B75,2)&amp;" ("&amp;'Общие данные'!B76&amp;") so'm."</f>
        <v>Mikroqarz summasi: 27 000 000,00 (yigirma yetti million so'm) so'm.</v>
      </c>
      <c r="B13" s="295"/>
      <c r="C13" s="295"/>
      <c r="D13" s="295"/>
    </row>
    <row r="14" spans="1:4">
      <c r="A14" s="295" t="str">
        <f>""&amp;'Общие данные'!C64&amp;" muddati: "&amp;'Общие данные'!B81&amp;" ("&amp;'Общие данные'!B82&amp;") oy."</f>
        <v>Mikroqarz muddati: 36 (o'ttiz olti) oy.</v>
      </c>
      <c r="B14" s="295"/>
      <c r="C14" s="295"/>
      <c r="D14" s="295"/>
    </row>
    <row r="15" spans="1:4" ht="17.25" customHeight="1">
      <c r="A15" s="295" t="str">
        <f>""&amp;'Общие данные'!C64&amp;"dan foydalanganlik uchun foiz stavkasi: yillik  "&amp;'Общие данные'!B85&amp;"% ("&amp;'Общие данные'!B86&amp;") foiz"</f>
        <v>Mikroqarzdan foydalanganlik uchun foiz stavkasi: yillik  60% (Oltmish) foiz</v>
      </c>
      <c r="B15" s="295"/>
      <c r="C15" s="295"/>
      <c r="D15" s="295"/>
    </row>
    <row r="16" spans="1:4">
      <c r="A16" s="295" t="str">
        <f>""&amp;'Общие данные'!C64&amp;" bo'yicha asosiy qarz va foizlarni to'lash:"</f>
        <v>Mikroqarz bo'yicha asosiy qarz va foizlarni to'lash:</v>
      </c>
      <c r="B16" s="295"/>
      <c r="C16" s="295"/>
      <c r="D16" s="295"/>
    </row>
    <row r="17" spans="1:5" ht="20.25" hidden="1" customHeight="1">
      <c r="A17" s="296" t="str">
        <f>" - "&amp;'Общие данные'!B65&amp;" shartnomasi bo'yicha har oy differensial to'lovlari amalga oshiriladi"</f>
        <v xml:space="preserve"> - mikroqarz shartnomasi bo'yicha har oy differensial to'lovlari amalga oshiriladi</v>
      </c>
      <c r="B17" s="296"/>
      <c r="C17" s="296"/>
      <c r="D17" s="296"/>
    </row>
    <row r="18" spans="1:5" ht="33.75" hidden="1" customHeight="1">
      <c r="A18" s="296" t="str">
        <f>" - "&amp;'Общие данные'!B65&amp;" shartnomasi bo'yicha har oy annuitet to'lovlari amalga oshiriladi"</f>
        <v xml:space="preserve"> - mikroqarz shartnomasi bo'yicha har oy annuitet to'lovlari amalga oshiriladi</v>
      </c>
      <c r="B18" s="296"/>
      <c r="C18" s="296"/>
      <c r="D18" s="296"/>
    </row>
    <row r="19" spans="1:5" ht="33.75" customHeight="1">
      <c r="A19" s="296" t="str">
        <f>IF('Общие данные'!B77='Общие данные'!C77,'Кредитная заявка'!A17:D17,IF('Общие данные'!B77='Общие данные'!D77,'Кредитная заявка'!A18:D18))</f>
        <v xml:space="preserve"> - mikroqarz shartnomasi bo'yicha har oy differensial to'lovlari amalga oshiriladi</v>
      </c>
      <c r="B19" s="296"/>
      <c r="C19" s="296"/>
      <c r="D19" s="296"/>
    </row>
    <row r="20" spans="1:5" ht="33.75" hidden="1" customHeight="1">
      <c r="A20" s="295" t="str">
        <f>IF(DAY('Общие данные'!E67)&lt;15,"   ","  Oxirgi yakuniy to'lov "&amp;'Общие данные'!B65&amp;" shartnomasi tuzilgan kundan boshlab oxirgi oyning oxirgi kunida amalga oshiriladi")</f>
        <v xml:space="preserve">   </v>
      </c>
      <c r="B20" s="295"/>
      <c r="C20" s="295"/>
      <c r="D20" s="295"/>
    </row>
    <row r="21" spans="1:5">
      <c r="A21" s="295" t="str">
        <f>""&amp;'Общие данные'!C64&amp;" ta’minoti::"</f>
        <v>Mikroqarz ta’minoti::</v>
      </c>
      <c r="B21" s="295"/>
      <c r="C21" s="295"/>
      <c r="D21" s="295"/>
    </row>
    <row r="22" spans="1:5" ht="72.75" customHeight="1">
      <c r="A22" s="296" t="str">
        <f>IF('Общие данные'!B103="Avtotransport",A26,A23)</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2" s="296"/>
      <c r="C22" s="296"/>
      <c r="D22" s="296"/>
    </row>
    <row r="23" spans="1:5" ht="79.5" hidden="1" customHeight="1">
      <c r="A23" s="296" t="str">
        <f>IF('Общие данные'!B92='Общие данные'!C92,A25,IF('Общие данные'!B92='Общие данные'!D92,A24,0))</f>
        <v xml:space="preserve"> Egalik huquqi NUTFULLAYEV AKBARJON AXMEDOVICHga tegishli bo'lgan umumiy maydoni - 72,13  va yashash maydoni - 37,39 3 - xonali yakka tartibdagi uy-joy, SAMARQAND VILOYATI TAYLOQ TUMANI CHAROG'BON MFY YANGI TAYLOQ QISHLOG'I 6 TURAR JOY 12 QAVAT 58 XONADON </v>
      </c>
      <c r="B23" s="296"/>
      <c r="C23" s="296"/>
      <c r="D23" s="296"/>
    </row>
    <row r="24" spans="1:5" ht="96.75" hidden="1" customHeight="1">
      <c r="A24" s="296" t="str">
        <f>" - Navbatdagi garov (ipoteka) Egalik huquqi asosida  "&amp;'Общие данные'!C117&amp;"ga "&amp;'Общие данные'!C126&amp;", umumiy maydoni - "&amp;'Общие данные'!C130&amp;" va yashash maydoni - "&amp;'Общие данные'!C133&amp;", manzili: "&amp;'Общие данные'!C123&amp;"."</f>
        <v xml:space="preserve"> - Navbatdagi garov (ipoteka) Egalik huquqi asosida  NUTFULLAYEV AKBARJON AXMEDOVICHga 3 - xonali yakka tartibdagi uy-joy, umumiy maydoni - 72,13 va yashash maydoni - 37,39, manzili: SAMARQAND VILOYATI TAYLOQ TUMANI CHAROG'BON MFY YANGI TAYLOQ QISHLOG'I 6 TURAR JOY 12 QAVAT 58 XONADON.</v>
      </c>
      <c r="B24" s="296"/>
      <c r="C24" s="296"/>
      <c r="D24" s="296"/>
      <c r="E24" s="154"/>
    </row>
    <row r="25" spans="1:5" ht="92.25" hidden="1" customHeight="1">
      <c r="A25" s="296" t="str">
        <f>" Egalik huquqi "&amp;'Общие данные'!C117&amp;"ga tegishli bo'lgan umumiy maydoni - "&amp;'Общие данные'!C130&amp;"  va yashash maydoni - "&amp;'Общие данные'!C133&amp;" "&amp;'Общие данные'!C126&amp;", "&amp;'Общие данные'!C123&amp;" "</f>
        <v xml:space="preserve"> Egalik huquqi NUTFULLAYEV AKBARJON AXMEDOVICHga tegishli bo'lgan umumiy maydoni - 72,13  va yashash maydoni - 37,39 3 - xonali yakka tartibdagi uy-joy, SAMARQAND VILOYATI TAYLOQ TUMANI CHAROG'BON MFY YANGI TAYLOQ QISHLOG'I 6 TURAR JOY 12 QAVAT 58 XONADON </v>
      </c>
      <c r="B25" s="296"/>
      <c r="C25" s="296"/>
      <c r="D25" s="296"/>
    </row>
    <row r="26" spans="1:5" ht="78" hidden="1" customHeight="1">
      <c r="A26" s="296" t="str">
        <f>IF('Общие данные'!B92='Общие данные'!C92,'Кредитная заявка'!A28:D28,IF('Общие данные'!B92='Общие данные'!D92,'Кредитная заявка'!A27:D27,0))</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6" s="296"/>
      <c r="C26" s="296"/>
      <c r="D26" s="296"/>
    </row>
    <row r="27" spans="1:5" ht="93" hidden="1" customHeight="1">
      <c r="A27" s="296" t="str">
        <f>" Egalik huquqi "&amp;'Общие данные'!B117&amp;"ga tegishli bo'lgan "&amp;'Общие данные'!B125&amp;", "&amp;'Общие данные'!B133&amp;", davlat raqam belgisi "&amp;'Общие данные'!B126&amp;", "&amp;'Общие данные'!B127&amp;", "&amp;'Общие данные'!B130&amp;" avtotransport vositasi "</f>
        <v xml:space="preserve"> Egalik huquqi NUTFULLAYEV AKBARJON AXMEDOVICHga tegishli bo'lgan CHANGAN CHANGAN SC 1027SB, rangi -  OQ BELIY, ishlab chiqarilgan yili - 2014, davlat raqam belgisi 80T312WA, kuzov turi - YUK BORTLI TENT, kuzov raqami LSCAB23D8EG228387, dvigatel raqami JL466Q1%E61H022801, shassi raqami - URINDIKLAR SONI 5TA avtotransport vositasi </v>
      </c>
      <c r="B27" s="296"/>
      <c r="C27" s="296"/>
      <c r="D27" s="296"/>
    </row>
    <row r="28" spans="1:5" ht="93.75" hidden="1" customHeight="1">
      <c r="A28" s="296" t="str">
        <f>"  Egalik huquqi "&amp;'Общие данные'!B117&amp;"ga tegishli bo'lgan garovga olingan avtomobil markasi   "&amp;'Общие данные'!B125&amp;", "&amp;'Общие данные'!B133&amp;", davlat raqam belgisi "&amp;'Общие данные'!B126&amp;", "&amp;'Общие данные'!B127&amp;", "&amp;'Общие данные'!B130&amp;""</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8" s="296"/>
      <c r="C28" s="296"/>
      <c r="D28" s="296"/>
    </row>
    <row r="29" spans="1:5" ht="10.5" customHeight="1">
      <c r="A29" s="295"/>
      <c r="B29" s="295"/>
      <c r="C29" s="295"/>
      <c r="D29" s="295"/>
    </row>
    <row r="30" spans="1:5" ht="53.25" customHeight="1">
      <c r="A30" s="296" t="str">
        <f>"Mazkur ariza bilan "&amp;'Общие данные'!B147&amp;"ga men va soʻralayotgan "&amp;'Общие данные'!B65&amp;"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296"/>
      <c r="C30" s="296"/>
      <c r="D30" s="296"/>
    </row>
    <row r="31" spans="1:5" ht="15.75" customHeight="1">
      <c r="A31" s="296" t="s">
        <v>249</v>
      </c>
      <c r="B31" s="296"/>
      <c r="C31" s="296"/>
      <c r="D31" s="296"/>
    </row>
    <row r="32" spans="1:5">
      <c r="A32" s="296" t="s">
        <v>250</v>
      </c>
      <c r="B32" s="296"/>
      <c r="C32" s="296"/>
      <c r="D32" s="296"/>
    </row>
    <row r="33" spans="1:4">
      <c r="A33" s="296" t="s">
        <v>251</v>
      </c>
      <c r="B33" s="296"/>
      <c r="C33" s="296"/>
      <c r="D33" s="296"/>
    </row>
    <row r="34" spans="1:4">
      <c r="A34" s="295" t="str">
        <f>"Ariza berilgan sana: "&amp;TEXT('Общие данные'!B2,"ДД.ММ.ГГГГ")&amp;"y."</f>
        <v>Ariza berilgan sana: 11.03.2025y.</v>
      </c>
      <c r="B34" s="295"/>
      <c r="C34" s="295"/>
      <c r="D34" s="295"/>
    </row>
    <row r="35" spans="1:4">
      <c r="A35" s="295"/>
      <c r="B35" s="295"/>
      <c r="C35" s="295"/>
      <c r="D35" s="295"/>
    </row>
    <row r="36" spans="1:4">
      <c r="A36" s="295" t="s">
        <v>252</v>
      </c>
      <c r="B36" s="295"/>
      <c r="C36" s="295"/>
      <c r="D36" s="295"/>
    </row>
    <row r="37" spans="1:4">
      <c r="A37" s="295"/>
      <c r="B37" s="295"/>
      <c r="C37" s="295"/>
      <c r="D37" s="295"/>
    </row>
    <row r="38" spans="1:4">
      <c r="A38" s="295"/>
      <c r="B38" s="295"/>
      <c r="C38" s="295"/>
      <c r="D38" s="295"/>
    </row>
    <row r="39" spans="1:4" ht="15.75" customHeight="1">
      <c r="A39" s="297" t="str">
        <f>'Общие данные'!B5</f>
        <v>NUTFULLAYEV AKBARJON AXMEDOVICH</v>
      </c>
      <c r="B39" s="297"/>
      <c r="C39" s="297"/>
      <c r="D39" s="11" t="s">
        <v>4</v>
      </c>
    </row>
    <row r="40" spans="1:4">
      <c r="A40" s="10"/>
      <c r="B40" s="10"/>
      <c r="D40" s="12" t="s">
        <v>333</v>
      </c>
    </row>
    <row r="41" spans="1:4">
      <c r="A41" s="295"/>
      <c r="B41" s="295"/>
      <c r="C41" s="295"/>
      <c r="D41" s="295"/>
    </row>
    <row r="42" spans="1:4">
      <c r="A42" s="295"/>
      <c r="B42" s="295"/>
      <c r="C42" s="295"/>
      <c r="D42" s="295"/>
    </row>
    <row r="43" spans="1:4">
      <c r="A43" s="295"/>
      <c r="B43" s="295"/>
      <c r="C43" s="295"/>
      <c r="D43" s="295"/>
    </row>
    <row r="44" spans="1:4">
      <c r="A44" s="295"/>
      <c r="B44" s="295"/>
      <c r="C44" s="295"/>
      <c r="D44" s="295"/>
    </row>
    <row r="45" spans="1:4">
      <c r="A45" s="295"/>
      <c r="B45" s="295"/>
      <c r="C45" s="295"/>
      <c r="D45" s="295"/>
    </row>
    <row r="46" spans="1:4">
      <c r="A46" s="295"/>
      <c r="B46" s="295"/>
      <c r="C46" s="295"/>
      <c r="D46" s="295"/>
    </row>
    <row r="47" spans="1:4">
      <c r="A47" s="295"/>
      <c r="B47" s="295"/>
      <c r="C47" s="295"/>
      <c r="D47" s="295"/>
    </row>
    <row r="48" spans="1:4">
      <c r="A48" s="295"/>
      <c r="B48" s="295"/>
      <c r="C48" s="295"/>
      <c r="D48" s="295"/>
    </row>
    <row r="49" spans="1:4">
      <c r="A49" s="295"/>
      <c r="B49" s="295"/>
      <c r="C49" s="295"/>
      <c r="D49" s="295"/>
    </row>
    <row r="50" spans="1:4">
      <c r="A50" s="295"/>
      <c r="B50" s="295"/>
      <c r="C50" s="295"/>
      <c r="D50" s="295"/>
    </row>
    <row r="51" spans="1:4">
      <c r="A51" s="295"/>
      <c r="B51" s="295"/>
      <c r="C51" s="295"/>
      <c r="D51" s="295"/>
    </row>
    <row r="52" spans="1:4">
      <c r="A52" s="295"/>
      <c r="B52" s="295"/>
      <c r="C52" s="295"/>
      <c r="D52" s="295"/>
    </row>
    <row r="53" spans="1:4">
      <c r="A53" s="295"/>
      <c r="B53" s="295"/>
      <c r="C53" s="295"/>
      <c r="D53" s="295"/>
    </row>
    <row r="54" spans="1:4">
      <c r="A54" s="295"/>
      <c r="B54" s="295"/>
      <c r="C54" s="295"/>
      <c r="D54" s="295"/>
    </row>
    <row r="55" spans="1:4">
      <c r="A55" s="295"/>
      <c r="B55" s="295"/>
      <c r="C55" s="295"/>
      <c r="D55" s="295"/>
    </row>
    <row r="56" spans="1:4">
      <c r="A56" s="295"/>
      <c r="B56" s="295"/>
      <c r="C56" s="295"/>
      <c r="D56" s="295"/>
    </row>
    <row r="57" spans="1:4">
      <c r="A57" s="295"/>
      <c r="B57" s="295"/>
      <c r="C57" s="295"/>
      <c r="D57" s="295"/>
    </row>
    <row r="58" spans="1:4">
      <c r="A58" s="295"/>
      <c r="B58" s="295"/>
      <c r="C58" s="295"/>
      <c r="D58" s="295"/>
    </row>
    <row r="59" spans="1:4">
      <c r="A59" s="295"/>
      <c r="B59" s="295"/>
      <c r="C59" s="295"/>
      <c r="D59" s="295"/>
    </row>
    <row r="60" spans="1:4">
      <c r="A60" s="295"/>
      <c r="B60" s="295"/>
      <c r="C60" s="295"/>
      <c r="D60" s="295"/>
    </row>
    <row r="61" spans="1:4">
      <c r="A61" s="295"/>
      <c r="B61" s="295"/>
      <c r="C61" s="295"/>
      <c r="D61" s="295"/>
    </row>
    <row r="62" spans="1:4">
      <c r="A62" s="295"/>
      <c r="B62" s="295"/>
      <c r="C62" s="295"/>
      <c r="D62" s="295"/>
    </row>
    <row r="63" spans="1:4">
      <c r="A63" s="295"/>
      <c r="B63" s="295"/>
      <c r="C63" s="295"/>
      <c r="D63" s="295"/>
    </row>
    <row r="64" spans="1:4">
      <c r="A64" s="295"/>
      <c r="B64" s="295"/>
      <c r="C64" s="295"/>
      <c r="D64" s="295"/>
    </row>
    <row r="65" spans="1:4">
      <c r="A65" s="295"/>
      <c r="B65" s="295"/>
      <c r="C65" s="295"/>
      <c r="D65" s="295"/>
    </row>
    <row r="66" spans="1:4">
      <c r="A66" s="295"/>
      <c r="B66" s="295"/>
      <c r="C66" s="295"/>
      <c r="D66" s="295"/>
    </row>
    <row r="67" spans="1:4">
      <c r="A67" s="295"/>
      <c r="B67" s="295"/>
      <c r="C67" s="295"/>
      <c r="D67" s="295"/>
    </row>
    <row r="68" spans="1:4">
      <c r="A68" s="295"/>
      <c r="B68" s="295"/>
      <c r="C68" s="295"/>
      <c r="D68" s="295"/>
    </row>
    <row r="69" spans="1:4">
      <c r="A69" s="295"/>
      <c r="B69" s="295"/>
      <c r="C69" s="295"/>
      <c r="D69" s="295"/>
    </row>
    <row r="70" spans="1:4">
      <c r="A70" s="295"/>
      <c r="B70" s="295"/>
      <c r="C70" s="295"/>
      <c r="D70" s="295"/>
    </row>
    <row r="71" spans="1:4">
      <c r="A71" s="295"/>
      <c r="B71" s="295"/>
      <c r="C71" s="295"/>
      <c r="D71" s="295"/>
    </row>
    <row r="72" spans="1:4">
      <c r="A72" s="295"/>
      <c r="B72" s="295"/>
      <c r="C72" s="295"/>
      <c r="D72" s="295"/>
    </row>
    <row r="73" spans="1:4">
      <c r="A73" s="295"/>
      <c r="B73" s="295"/>
      <c r="C73" s="295"/>
      <c r="D73" s="295"/>
    </row>
    <row r="74" spans="1:4">
      <c r="A74" s="295"/>
      <c r="B74" s="295"/>
      <c r="C74" s="295"/>
      <c r="D74" s="295"/>
    </row>
    <row r="75" spans="1:4">
      <c r="A75" s="295"/>
      <c r="B75" s="295"/>
      <c r="C75" s="295"/>
      <c r="D75" s="295"/>
    </row>
    <row r="76" spans="1:4">
      <c r="A76" s="295"/>
      <c r="B76" s="295"/>
      <c r="C76" s="295"/>
      <c r="D76" s="295"/>
    </row>
    <row r="77" spans="1:4">
      <c r="A77" s="295"/>
      <c r="B77" s="295"/>
      <c r="C77" s="295"/>
      <c r="D77" s="295"/>
    </row>
  </sheetData>
  <mergeCells count="74">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 ref="A62:D62"/>
    <mergeCell ref="A63:D63"/>
    <mergeCell ref="A64:D64"/>
    <mergeCell ref="A55:D55"/>
    <mergeCell ref="A56:D56"/>
    <mergeCell ref="A57:D57"/>
    <mergeCell ref="A58:D58"/>
    <mergeCell ref="A59:D59"/>
    <mergeCell ref="A50:D50"/>
    <mergeCell ref="A51:D51"/>
    <mergeCell ref="A52:D52"/>
    <mergeCell ref="A53:D53"/>
    <mergeCell ref="A54:D54"/>
    <mergeCell ref="A45:D45"/>
    <mergeCell ref="A46:D46"/>
    <mergeCell ref="A47:D47"/>
    <mergeCell ref="A48:D48"/>
    <mergeCell ref="A49:D49"/>
    <mergeCell ref="A34:D34"/>
    <mergeCell ref="A41:D41"/>
    <mergeCell ref="A42:D42"/>
    <mergeCell ref="A43:D43"/>
    <mergeCell ref="A44:D44"/>
    <mergeCell ref="A35:D35"/>
    <mergeCell ref="A36:D36"/>
    <mergeCell ref="A37:D37"/>
    <mergeCell ref="A38:D38"/>
    <mergeCell ref="A30:D30"/>
    <mergeCell ref="A31:D31"/>
    <mergeCell ref="A32:D32"/>
    <mergeCell ref="A33:D33"/>
    <mergeCell ref="A28:D28"/>
    <mergeCell ref="A29:D29"/>
    <mergeCell ref="A13:D13"/>
    <mergeCell ref="A14:D14"/>
    <mergeCell ref="A15:D15"/>
    <mergeCell ref="A16:D16"/>
    <mergeCell ref="A17:D17"/>
    <mergeCell ref="A18:D18"/>
    <mergeCell ref="A19:D19"/>
    <mergeCell ref="A26:D26"/>
    <mergeCell ref="A27:D27"/>
    <mergeCell ref="A24:D24"/>
    <mergeCell ref="A23:D23"/>
    <mergeCell ref="A20:D20"/>
    <mergeCell ref="A21:D21"/>
    <mergeCell ref="A22:D22"/>
    <mergeCell ref="A25:D25"/>
    <mergeCell ref="A8:D8"/>
    <mergeCell ref="A9:D9"/>
    <mergeCell ref="A10:D10"/>
    <mergeCell ref="A11:D11"/>
    <mergeCell ref="A12:D12"/>
    <mergeCell ref="A4:D4"/>
    <mergeCell ref="A5:D5"/>
    <mergeCell ref="C1:D1"/>
    <mergeCell ref="A6:D6"/>
    <mergeCell ref="A7:D7"/>
  </mergeCells>
  <pageMargins left="0.7" right="0.7" top="0.75" bottom="0.75" header="0.3" footer="0.3"/>
  <pageSetup paperSize="9" scale="8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Normal="100" zoomScaleSheetLayoutView="85" workbookViewId="0">
      <selection activeCell="I31" sqref="I31"/>
    </sheetView>
  </sheetViews>
  <sheetFormatPr defaultRowHeight="15"/>
  <cols>
    <col min="1" max="1" width="54.42578125" style="15" customWidth="1"/>
    <col min="2" max="2" width="32.28515625" style="15" customWidth="1"/>
  </cols>
  <sheetData>
    <row r="3" spans="1:2" ht="35.25" customHeight="1">
      <c r="A3" s="298" t="s">
        <v>215</v>
      </c>
      <c r="B3" s="298"/>
    </row>
    <row r="4" spans="1:2" ht="92.25" customHeight="1">
      <c r="A4" s="236" t="str">
        <f>"     Men, fuqaro "&amp;'Общие данные'!B5&amp;" "&amp;'Общие данные'!B149&amp;" bilan "&amp;'Общие данные'!B69&amp;" sanasidagi "&amp;'Общие данные'!B66&amp;"-sonli shartnomaning garov ta'minoti sifatida taqdim etilayotgan mulk "&amp;'Общие данные'!B125&amp;" rusumli avtotransport vositasini qonunga xilof ravishda o‘zlashtirmaslikka, yashirmaslikka, nobud qilmaslikka yoki unga shikast yetkazmaslik majburiyatini olaman."</f>
        <v xml:space="preserve">     Men, fuqaro NUTFULLAYEV AKBARJON AXMEDOVICH «CLEVER MIKROMOLIYA TASHKILOTI» MChJ bilan 11 mart 2025 y. sanasidagi № -AL-sonli shartnomaning garov ta'minoti sifatida taqdim etilayotgan mulk CHANGAN CHANGAN SC 1027SB rusumli avtotransport vositasini qonunga xilof ravishda o‘zlashtirmaslikka, yashirmaslikka, nobud qilmaslikka yoki unga shikast yetkazmaslik majburiyatini olaman.</v>
      </c>
      <c r="B4" s="236"/>
    </row>
    <row r="5" spans="1:2" ht="56.25" customHeight="1">
      <c r="A5" s="299" t="s">
        <v>216</v>
      </c>
      <c r="B5" s="299"/>
    </row>
    <row r="6" spans="1:2" ht="42.75" customHeight="1"/>
    <row r="7" spans="1:2">
      <c r="A7" s="15" t="str">
        <f>'Общие данные'!B5</f>
        <v>NUTFULLAYEV AKBARJON AXMEDOVICH</v>
      </c>
      <c r="B7" s="136" t="s">
        <v>217</v>
      </c>
    </row>
    <row r="8" spans="1:2" ht="26.25" customHeight="1"/>
    <row r="9" spans="1:2" ht="26.25" customHeight="1"/>
    <row r="10" spans="1:2" ht="26.25" customHeight="1"/>
    <row r="11" spans="1:2">
      <c r="A11" s="15" t="str">
        <f>"sana:   "&amp;TEXT('Общие данные'!B2,"ДД.ММ.ГГГГ")&amp;" y."</f>
        <v>sana:   11.03.2025 y.</v>
      </c>
    </row>
  </sheetData>
  <mergeCells count="3">
    <mergeCell ref="A3:B3"/>
    <mergeCell ref="A4:B4"/>
    <mergeCell ref="A5: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58"/>
  <sheetViews>
    <sheetView tabSelected="1" view="pageBreakPreview" topLeftCell="A47" zoomScaleSheetLayoutView="100" workbookViewId="0">
      <selection activeCell="B54" sqref="B54"/>
    </sheetView>
  </sheetViews>
  <sheetFormatPr defaultColWidth="9.140625" defaultRowHeight="15" outlineLevelRow="1"/>
  <cols>
    <col min="1" max="1" width="23.7109375" style="15" customWidth="1"/>
    <col min="2" max="2" width="24.7109375" style="15" customWidth="1"/>
    <col min="3" max="5" width="17" style="15" customWidth="1"/>
    <col min="6" max="16384" width="9.140625" style="15"/>
  </cols>
  <sheetData>
    <row r="1" spans="1:5" ht="36" customHeight="1">
      <c r="A1" s="263" t="str">
        <f>""&amp;'Общие данные'!B147&amp;"
mikromoliya tashkilotining Xulosasi"</f>
        <v>«CLEVER MIKROMOLIYA TASHKILOTI» MChJ
mikromoliya tashkilotining Xulosasi</v>
      </c>
      <c r="B1" s="263"/>
      <c r="C1" s="263"/>
      <c r="D1" s="263"/>
      <c r="E1" s="263"/>
    </row>
    <row r="2" spans="1:5">
      <c r="A2" s="236"/>
      <c r="B2" s="236"/>
      <c r="C2" s="236"/>
      <c r="D2" s="236"/>
      <c r="E2" s="236"/>
    </row>
    <row r="3" spans="1:5">
      <c r="A3" s="263" t="s">
        <v>204</v>
      </c>
      <c r="B3" s="263"/>
      <c r="C3" s="263"/>
      <c r="D3" s="263"/>
      <c r="E3" s="263"/>
    </row>
    <row r="4" spans="1:5" ht="19.5" customHeight="1">
      <c r="A4" s="236" t="str">
        <f>"Mijozning to'liq ismi sharifi: "&amp;'Общие данные'!B5&amp;""</f>
        <v>Mijozning to'liq ismi sharifi: NUTFULLAYEV AKBARJON AXMEDOVICH</v>
      </c>
      <c r="B4" s="236"/>
      <c r="C4" s="236"/>
      <c r="D4" s="236"/>
      <c r="E4" s="236"/>
    </row>
    <row r="5" spans="1:5">
      <c r="A5" s="236" t="str">
        <f>"Tug'ilgan sanasi: "&amp;'Общие данные'!B15&amp;""</f>
        <v>Tug'ilgan sanasi: 14.09.1989 y</v>
      </c>
      <c r="B5" s="236"/>
      <c r="C5" s="236"/>
      <c r="D5" s="236"/>
      <c r="E5" s="236"/>
    </row>
    <row r="6" spans="1:5" ht="31.5" customHeight="1">
      <c r="A6" s="236" t="str">
        <f>"Pasport seriyasi "&amp;'Общие данные'!B16&amp;" "&amp;'Общие данные'!B20&amp;", amal qilish muddati - "&amp;'Общие данные'!B21&amp;""</f>
        <v>Pasport seriyasi AA 9481167 BUXORO VILOYATI BUXORO SHAHAR IIB tomonidan 24.04.2015 yilda berilgan, amal qilish muddati - 23.04.2025 y.</v>
      </c>
      <c r="B6" s="236"/>
      <c r="C6" s="236"/>
      <c r="D6" s="236"/>
      <c r="E6" s="236"/>
    </row>
    <row r="7" spans="1:5" ht="39.75" customHeight="1">
      <c r="A7" s="236" t="str">
        <f>"Ro‘yxatdan o‘tgan manzili: "&amp;'Общие данные'!B28&amp;", mo'ljal: "&amp;'Общие данные'!B26&amp;""</f>
        <v>Ro‘yxatdan o‘tgan manzili: BUXORO VILOYATI BUXORO SHAHAR TADBIRKOR KO'CHASI 12-UY, mo'ljal: GOR VODAKANAL</v>
      </c>
      <c r="B7" s="236"/>
      <c r="C7" s="236"/>
      <c r="D7" s="236"/>
      <c r="E7" s="236"/>
    </row>
    <row r="8" spans="1:5" ht="26.25" customHeight="1">
      <c r="A8" s="236" t="str">
        <f>"Ish joyi: "&amp;'Общие данные'!B52&amp;" lavozimi "&amp;'Общие данные'!B49&amp;"da "&amp;'Общие данные'!B44&amp;""</f>
        <v>Ish joyi:  lavozimi Yakka tartibdagi tadbirkorda Yakka tartibdagi tadbirkor</v>
      </c>
      <c r="B8" s="236"/>
      <c r="C8" s="236"/>
      <c r="D8" s="236"/>
      <c r="E8" s="236"/>
    </row>
    <row r="9" spans="1:5">
      <c r="A9" s="236"/>
      <c r="B9" s="236"/>
      <c r="C9" s="236"/>
      <c r="D9" s="236"/>
      <c r="E9" s="236"/>
    </row>
    <row r="10" spans="1:5">
      <c r="A10" s="263" t="str">
        <f>"Mijoz tomonidan so’ralgan "&amp;'Общие данные'!B65&amp;" shartlari:"</f>
        <v>Mijoz tomonidan so’ralgan mikroqarz shartlari:</v>
      </c>
      <c r="B10" s="263"/>
      <c r="C10" s="263"/>
      <c r="D10" s="263"/>
      <c r="E10" s="263"/>
    </row>
    <row r="11" spans="1:5">
      <c r="A11" s="236" t="str">
        <f>'Кредитная заявка'!A13:D13</f>
        <v>Mikroqarz summasi: 27 000 000,00 (yigirma yetti million so'm) so'm.</v>
      </c>
      <c r="B11" s="236"/>
      <c r="C11" s="236"/>
      <c r="D11" s="236"/>
      <c r="E11" s="236"/>
    </row>
    <row r="12" spans="1:5">
      <c r="A12" s="236" t="str">
        <f>'Кредитная заявка'!A14:D14</f>
        <v>Mikroqarz muddati: 36 (o'ttiz olti) oy.</v>
      </c>
      <c r="B12" s="236"/>
      <c r="C12" s="236"/>
      <c r="D12" s="236"/>
      <c r="E12" s="236"/>
    </row>
    <row r="13" spans="1:5">
      <c r="A13" s="236" t="str">
        <f>'Кредитная заявка'!A15:D15</f>
        <v>Mikroqarzdan foydalanganlik uchun foiz stavkasi: yillik  60% (Oltmish) foiz</v>
      </c>
      <c r="B13" s="236"/>
      <c r="C13" s="236"/>
      <c r="D13" s="236"/>
      <c r="E13" s="236"/>
    </row>
    <row r="14" spans="1:5">
      <c r="A14" s="236" t="str">
        <f>'Кредитная заявка'!A16:D16</f>
        <v>Mikroqarz bo'yicha asosiy qarz va foizlarni to'lash:</v>
      </c>
      <c r="B14" s="236"/>
      <c r="C14" s="236"/>
      <c r="D14" s="236"/>
      <c r="E14" s="236"/>
    </row>
    <row r="15" spans="1:5" ht="18.75" customHeight="1">
      <c r="A15" s="236" t="str">
        <f>'Кредитная заявка'!A19:D19</f>
        <v xml:space="preserve"> - mikroqarz shartnomasi bo'yicha har oy differensial to'lovlari amalga oshiriladi</v>
      </c>
      <c r="B15" s="236"/>
      <c r="C15" s="236"/>
      <c r="D15" s="236"/>
      <c r="E15" s="236"/>
    </row>
    <row r="16" spans="1:5" ht="14.25" customHeight="1">
      <c r="A16" s="239" t="str">
        <f>'Кредитная заявка'!A20:D20</f>
        <v xml:space="preserve">   </v>
      </c>
      <c r="B16" s="239"/>
      <c r="C16" s="239"/>
      <c r="D16" s="239"/>
      <c r="E16" s="239"/>
    </row>
    <row r="17" spans="1:5">
      <c r="A17" s="236" t="str">
        <f>'Кредитная заявка'!A21:D21</f>
        <v>Mikroqarz ta’minoti::</v>
      </c>
      <c r="B17" s="236"/>
      <c r="C17" s="236"/>
      <c r="D17" s="236"/>
      <c r="E17" s="236"/>
    </row>
    <row r="18" spans="1:5" ht="83.25" customHeight="1">
      <c r="A18" s="236" t="str">
        <f>'Кредитная заявка'!A22:D22</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8" s="236"/>
      <c r="C18" s="236"/>
      <c r="D18" s="236"/>
      <c r="E18" s="236"/>
    </row>
    <row r="19" spans="1:5">
      <c r="A19" s="263" t="s">
        <v>205</v>
      </c>
      <c r="B19" s="263"/>
      <c r="C19" s="263"/>
      <c r="D19" s="263"/>
      <c r="E19" s="263"/>
    </row>
    <row r="20" spans="1:5" ht="21" customHeight="1">
      <c r="A20" s="236" t="str">
        <f>"Anketaga muvofiq "&amp;'Общие данные'!B9&amp;"ning o‘rtacha oylik daromadi  "&amp;FIXED('Общие данные'!B60)&amp;" so‘mni tashkil etdi."</f>
        <v>Anketaga muvofiq NUTFULLAYEV A.A.ning o‘rtacha oylik daromadi  10 000 000,00 so‘mni tashkil etdi.</v>
      </c>
      <c r="B20" s="236"/>
      <c r="C20" s="236"/>
      <c r="D20" s="236"/>
      <c r="E20" s="236"/>
    </row>
    <row r="21" spans="1:5" ht="27" customHeight="1">
      <c r="A21" s="236" t="str">
        <f>"Mijozning o'rtacha oylik xarajatlari "&amp;FIXED('Анкета Клиента'!F27)&amp;" so'mni tashkil etdi"</f>
        <v>Mijozning o'rtacha oylik xarajatlari 1 650 000,00 so'mni tashkil etdi</v>
      </c>
      <c r="B21" s="236"/>
      <c r="C21" s="236"/>
      <c r="D21" s="236"/>
      <c r="E21" s="236"/>
    </row>
    <row r="22" spans="1:5" ht="24.75" customHeight="1">
      <c r="A22" s="236" t="str">
        <f>IF('Общие данные'!B77='Общие данные'!C77,'Заключение КК'!A23:E23,'Заключение КК'!A24:E24)</f>
        <v>Mikroqarz shartnomasi bo'yicha birinchi oy uchun to'lov 2 051 917,76 so'mni tashkil etadi.</v>
      </c>
      <c r="B22" s="236"/>
      <c r="C22" s="236"/>
      <c r="D22" s="236"/>
      <c r="E22" s="236"/>
    </row>
    <row r="23" spans="1:5" ht="19.5" hidden="1" customHeight="1">
      <c r="A23" s="236" t="str">
        <f>""&amp;'Общие данные'!C64&amp;" shartnomasi bo'yicha birinchi oy uchun to'lov "&amp;FIXED('Общие данные'!B90)&amp;" so'mni tashkil etadi."</f>
        <v>Mikroqarz shartnomasi bo'yicha birinchi oy uchun to'lov 2 051 917,76 so'mni tashkil etadi.</v>
      </c>
      <c r="B23" s="236"/>
      <c r="C23" s="236"/>
      <c r="D23" s="236"/>
      <c r="E23" s="236"/>
    </row>
    <row r="24" spans="1:5" ht="19.5" hidden="1" customHeight="1">
      <c r="A24" s="236" t="str">
        <f>""&amp;'Общие данные'!C64&amp;" bo‘yicha oylik "&amp;'Общие данные'!B77&amp;" to‘lovi miqdori "&amp;FIXED('Общие данные'!B90)&amp;" so‘mni tashkil etadi."</f>
        <v>Mikroqarz bo‘yicha oylik differensial to‘lovi miqdori 2 051 917,76 so‘mni tashkil etadi.</v>
      </c>
      <c r="B24" s="236"/>
      <c r="C24" s="236"/>
      <c r="D24" s="236"/>
      <c r="E24" s="236"/>
    </row>
    <row r="25" spans="1:5" ht="56.25" hidden="1" customHeight="1">
      <c r="A25" s="239" t="s">
        <v>400</v>
      </c>
      <c r="B25" s="239"/>
      <c r="C25" s="239"/>
      <c r="D25" s="239"/>
      <c r="E25" s="239"/>
    </row>
    <row r="26" spans="1:5">
      <c r="A26" s="263" t="str">
        <f>""&amp;'Общие данные'!C64&amp;" bo’yicha ta’minot:"</f>
        <v>Mikroqarz bo’yicha ta’minot:</v>
      </c>
      <c r="B26" s="263"/>
      <c r="C26" s="263"/>
      <c r="D26" s="263"/>
      <c r="E26" s="263"/>
    </row>
    <row r="27" spans="1:5" ht="31.5" hidden="1" customHeight="1">
      <c r="A27" s="236" t="str">
        <f>" - "&amp;'Общие данные'!B117&amp;" ga mulk huquqi asosida tegishli avtotransport vositasi "&amp;'Общие данные'!B125&amp;" , quyidagi tafsilotlarga muvofiq:"</f>
        <v xml:space="preserve"> - NUTFULLAYEV AKBARJON AXMEDOVICH ga mulk huquqi asosida tegishli avtotransport vositasi CHANGAN CHANGAN SC 1027SB , quyidagi tafsilotlarga muvofiq:</v>
      </c>
      <c r="B27" s="236"/>
      <c r="C27" s="236"/>
      <c r="D27" s="236"/>
      <c r="E27" s="236"/>
    </row>
    <row r="28" spans="1:5" ht="67.5" hidden="1" customHeight="1">
      <c r="A28" s="236" t="str">
        <f>" -   "&amp;'Общие данные'!C117&amp;" ga mulk huquqi asosida tegishli ko'chmas mulk shaklida "&amp;'Общие данные'!C126&amp;", manzili: "&amp;'Общие данные'!C123&amp;", quyidagi tafsilotlarga muvofiq:"</f>
        <v xml:space="preserve"> -   NUTFULLAYEV AKBARJON AXMEDOVICH ga mulk huquqi asosida tegishli ko'chmas mulk shaklida 3 - xonali yakka tartibdagi uy-joy, manzili: SAMARQAND VILOYATI TAYLOQ TUMANI CHAROG'BON MFY YANGI TAYLOQ QISHLOG'I 6 TURAR JOY 12 QAVAT 58 XONADON, quyidagi tafsilotlarga muvofiq:</v>
      </c>
      <c r="B28" s="236"/>
      <c r="C28" s="236"/>
      <c r="D28" s="236"/>
      <c r="E28" s="236"/>
    </row>
    <row r="29" spans="1:5" ht="44.25" customHeight="1">
      <c r="A29" s="236" t="str">
        <f>IF('Общие данные'!B103="Avtotransport",'Заключение КК'!A27:E27,'Заключение КК'!A28:E28)</f>
        <v xml:space="preserve"> - NUTFULLAYEV AKBARJON AXMEDOVICH ga mulk huquqi asosida tegishli avtotransport vositasi CHANGAN CHANGAN SC 1027SB , quyidagi tafsilotlarga muvofiq:</v>
      </c>
      <c r="B29" s="236"/>
      <c r="C29" s="236"/>
      <c r="D29" s="236"/>
      <c r="E29" s="236"/>
    </row>
    <row r="30" spans="1:5" s="16" customFormat="1" ht="47.25" customHeight="1" outlineLevel="1">
      <c r="A30" s="39" t="str">
        <f>'Акт согласования'!A29</f>
        <v>Nomi</v>
      </c>
      <c r="B30" s="39" t="str">
        <f>'Акт согласования'!B29</f>
        <v>Kuzov turi  va kuzov raqami*</v>
      </c>
      <c r="C30" s="39" t="str">
        <f>'Акт согласования'!C29</f>
        <v>Dvigatel va shassi raqami*</v>
      </c>
      <c r="D30" s="39" t="str">
        <f>'Акт согласования'!D29</f>
        <v>Ishlab chiqarilgan yili va rangi*</v>
      </c>
      <c r="E30" s="39" t="str">
        <f>'Акт согласования'!E29</f>
        <v>Kelishilgan garov qiymati, so'm</v>
      </c>
    </row>
    <row r="31" spans="1:5" s="20" customFormat="1" ht="92.25" customHeight="1" outlineLevel="1">
      <c r="A31" s="17" t="str">
        <f>'Акт согласования'!A30</f>
        <v>CHANGAN CHANGAN SC 1027SB</v>
      </c>
      <c r="B31" s="17" t="str">
        <f>'Акт согласования'!B30</f>
        <v>kuzov turi - YUK BORTLI TENT, kuzov raqami LSCAB23D8EG228387</v>
      </c>
      <c r="C31" s="17" t="str">
        <f>'Акт согласования'!C30</f>
        <v>dvigatel raqami JL466Q1%E61H022801, shassi raqami - URINDIKLAR SONI 5TA</v>
      </c>
      <c r="D31" s="17" t="str">
        <f>'Акт согласования'!D30</f>
        <v>rangi -  OQ BELIY, ishlab chiqarilgan yili - 2014</v>
      </c>
      <c r="E31" s="17" t="str">
        <f>'Акт согласования'!E30</f>
        <v>40 500 000,00 
(qirq million besh yuz ming so'm)</v>
      </c>
    </row>
    <row r="32" spans="1:5" ht="17.25" customHeight="1" outlineLevel="1">
      <c r="A32" s="236" t="str">
        <f>'Акт согласования'!A22</f>
        <v>-* avtotransport egasi: NUTFULLAYEV AKBARJON AXMEDOVICH</v>
      </c>
      <c r="B32" s="236"/>
      <c r="C32" s="236"/>
      <c r="D32" s="236"/>
      <c r="E32" s="236"/>
    </row>
    <row r="33" spans="1:5" ht="15" customHeight="1" outlineLevel="1">
      <c r="A33" s="236" t="str">
        <f>'Акт согласования'!A23</f>
        <v>-* texnik pasport: AAG   2346592  13.09.2023y</v>
      </c>
      <c r="B33" s="236"/>
      <c r="C33" s="236"/>
      <c r="D33" s="236"/>
      <c r="E33" s="236"/>
    </row>
    <row r="34" spans="1:5" ht="33" customHeight="1" outlineLevel="1">
      <c r="A34" s="236" t="str">
        <f>'Акт согласования'!A24</f>
        <v>-* roʻyxatdan oʻtgan manzili/garaj manzili: BUXORO VILOYATI BUXORO SHAHAR TADBIRKOR KO'CHASI 12-UY</v>
      </c>
      <c r="B34" s="236"/>
      <c r="C34" s="236"/>
      <c r="D34" s="236"/>
      <c r="E34" s="236"/>
    </row>
    <row r="35" spans="1:5" ht="15" customHeight="1" outlineLevel="1">
      <c r="A35" s="236" t="str">
        <f>'Акт согласования'!A25</f>
        <v>-* davlat raqami: 80T312WA</v>
      </c>
      <c r="B35" s="236"/>
      <c r="C35" s="236"/>
      <c r="D35" s="236"/>
      <c r="E35" s="236"/>
    </row>
    <row r="36" spans="1:5" ht="9" customHeight="1">
      <c r="A36" s="236"/>
      <c r="B36" s="236"/>
      <c r="C36" s="236"/>
      <c r="D36" s="236"/>
      <c r="E36" s="236"/>
    </row>
    <row r="37" spans="1:5" ht="39" customHeight="1">
      <c r="A37" s="263" t="str">
        <f>""&amp;'Общие данные'!B147&amp;"
mikromoliya tashkilotining Xulosasi"</f>
        <v>«CLEVER MIKROMOLIYA TASHKILOTI» MChJ
mikromoliya tashkilotining Xulosasi</v>
      </c>
      <c r="B37" s="263"/>
      <c r="C37" s="263"/>
      <c r="D37" s="263"/>
      <c r="E37" s="263"/>
    </row>
    <row r="38" spans="1:5" ht="48" customHeight="1">
      <c r="A38" s="236" t="str">
        <f>""&amp;'Общие данные'!B147&amp;" kredit qo‘mitasining xulosasiga quyidagi shartlarda "&amp;'Общие данные'!B10&amp;"ga "&amp;'Общие данные'!B65&amp;" berish masalasi kiritiladi:"</f>
        <v>«CLEVER MIKROMOLIYA TASHKILOTI» MChJ kredit qo‘mitasining xulosasiga quyidagi shartlarda NUTFULLAYEV AKBARJON AXMEDOVICHga mikroqarz berish masalasi kiritiladi:</v>
      </c>
      <c r="B38" s="236"/>
      <c r="C38" s="236"/>
      <c r="D38" s="236"/>
      <c r="E38" s="236"/>
    </row>
    <row r="39" spans="1:5">
      <c r="A39" s="236" t="str">
        <f>A11</f>
        <v>Mikroqarz summasi: 27 000 000,00 (yigirma yetti million so'm) so'm.</v>
      </c>
      <c r="B39" s="236"/>
      <c r="C39" s="236"/>
      <c r="D39" s="236"/>
      <c r="E39" s="236"/>
    </row>
    <row r="40" spans="1:5">
      <c r="A40" s="236" t="str">
        <f t="shared" ref="A40:A46" si="0">A12</f>
        <v>Mikroqarz muddati: 36 (o'ttiz olti) oy.</v>
      </c>
      <c r="B40" s="236"/>
      <c r="C40" s="236"/>
      <c r="D40" s="236"/>
      <c r="E40" s="236"/>
    </row>
    <row r="41" spans="1:5">
      <c r="A41" s="236" t="str">
        <f t="shared" si="0"/>
        <v>Mikroqarzdan foydalanganlik uchun foiz stavkasi: yillik  60% (Oltmish) foiz</v>
      </c>
      <c r="B41" s="236"/>
      <c r="C41" s="236"/>
      <c r="D41" s="236"/>
      <c r="E41" s="236"/>
    </row>
    <row r="42" spans="1:5">
      <c r="A42" s="236" t="str">
        <f t="shared" si="0"/>
        <v>Mikroqarz bo'yicha asosiy qarz va foizlarni to'lash:</v>
      </c>
      <c r="B42" s="236"/>
      <c r="C42" s="236"/>
      <c r="D42" s="236"/>
      <c r="E42" s="236"/>
    </row>
    <row r="43" spans="1:5" ht="20.25" customHeight="1">
      <c r="A43" s="236" t="str">
        <f t="shared" si="0"/>
        <v xml:space="preserve"> - mikroqarz shartnomasi bo'yicha har oy differensial to'lovlari amalga oshiriladi</v>
      </c>
      <c r="B43" s="236"/>
      <c r="C43" s="236"/>
      <c r="D43" s="236"/>
      <c r="E43" s="236"/>
    </row>
    <row r="44" spans="1:5" ht="26.25" customHeight="1">
      <c r="A44" s="236" t="str">
        <f t="shared" si="0"/>
        <v xml:space="preserve">   </v>
      </c>
      <c r="B44" s="236"/>
      <c r="C44" s="236"/>
      <c r="D44" s="236"/>
      <c r="E44" s="236"/>
    </row>
    <row r="45" spans="1:5">
      <c r="A45" s="236" t="str">
        <f t="shared" si="0"/>
        <v>Mikroqarz ta’minoti::</v>
      </c>
      <c r="B45" s="236"/>
      <c r="C45" s="236"/>
      <c r="D45" s="236"/>
      <c r="E45" s="236"/>
    </row>
    <row r="46" spans="1:5" ht="72" customHeight="1">
      <c r="A46" s="236" t="str">
        <f t="shared" si="0"/>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46" s="236"/>
      <c r="C46" s="236"/>
      <c r="D46" s="236"/>
      <c r="E46" s="236"/>
    </row>
    <row r="47" spans="1:5">
      <c r="A47" s="236"/>
      <c r="B47" s="236"/>
      <c r="C47" s="236"/>
      <c r="D47" s="236"/>
      <c r="E47" s="236"/>
    </row>
    <row r="48" spans="1:5" ht="36.75" customHeight="1">
      <c r="A48" s="236" t="str">
        <f>""&amp;'Общие данные'!B147&amp;" mikromoliya tashkilotining xulosasi  "&amp;TEXT('Общие данные'!B2,"ДД.ММ.ГГГГ")&amp;" y. tayyorlangan"</f>
        <v>«CLEVER MIKROMOLIYA TASHKILOTI» MChJ mikromoliya tashkilotining xulosasi  11.03.2025 y. tayyorlangan</v>
      </c>
      <c r="B48" s="236"/>
      <c r="C48" s="236"/>
      <c r="D48" s="236"/>
      <c r="E48" s="236"/>
    </row>
    <row r="49" spans="1:5">
      <c r="A49" s="132"/>
      <c r="B49" s="227"/>
      <c r="C49" s="227"/>
      <c r="D49" s="132"/>
      <c r="E49" s="23"/>
    </row>
    <row r="50" spans="1:5">
      <c r="A50" s="236"/>
      <c r="B50" s="236"/>
      <c r="C50" s="236"/>
      <c r="D50" s="236"/>
      <c r="E50" s="236"/>
    </row>
    <row r="51" spans="1:5" ht="47.25" customHeight="1">
      <c r="A51" s="236" t="str">
        <f>""&amp;'Общие данные'!B147&amp;" mikromoliya tashkilotining Kredit qo‘mitasi a’zolari "&amp;'Общие данные'!B147&amp;"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1" s="236"/>
      <c r="C51" s="236"/>
      <c r="D51" s="236"/>
      <c r="E51" s="236"/>
    </row>
    <row r="52" spans="1:5">
      <c r="A52" s="230"/>
      <c r="B52" s="230"/>
      <c r="C52" s="230"/>
      <c r="D52" s="230"/>
      <c r="E52" s="230"/>
    </row>
    <row r="53" spans="1:5">
      <c r="A53" s="19"/>
      <c r="B53" s="360" t="s">
        <v>433</v>
      </c>
      <c r="C53" s="360"/>
      <c r="D53" s="360"/>
      <c r="E53" s="19"/>
    </row>
    <row r="54" spans="1:5">
      <c r="B54" s="359" t="str">
        <f>'Общие данные'!A150</f>
        <v>Olmaliq filiali boshlig'i</v>
      </c>
      <c r="C54" s="361" t="str">
        <f>'Общие данные'!B150</f>
        <v>V. Yerjanov</v>
      </c>
      <c r="D54" s="357"/>
      <c r="E54" s="357"/>
    </row>
    <row r="55" spans="1:5">
      <c r="B55" s="130" t="str">
        <f>'Общие данные'!A159</f>
        <v>Kreditlash bo’limi boshlig’i</v>
      </c>
      <c r="C55" s="231" t="str">
        <f>'Общие данные'!B159</f>
        <v>B. Mominov</v>
      </c>
      <c r="D55" s="132"/>
      <c r="E55" s="228"/>
    </row>
    <row r="56" spans="1:5">
      <c r="B56" s="232" t="str">
        <f>'Общие данные'!A160</f>
        <v>Monitoring bo’limi boshlig’i</v>
      </c>
      <c r="C56" s="231" t="str">
        <f>'Общие данные'!B160</f>
        <v>B. Jumanazarov</v>
      </c>
      <c r="D56" s="132"/>
      <c r="E56" s="222"/>
    </row>
    <row r="57" spans="1:5">
      <c r="B57" s="229" t="s">
        <v>434</v>
      </c>
      <c r="C57" s="361" t="s">
        <v>431</v>
      </c>
      <c r="D57" s="357"/>
      <c r="E57" s="222"/>
    </row>
    <row r="58" spans="1:5" ht="35.25" customHeight="1">
      <c r="B58" s="222"/>
      <c r="C58" s="221"/>
      <c r="D58" s="132"/>
      <c r="E58" s="222"/>
    </row>
  </sheetData>
  <mergeCells count="49">
    <mergeCell ref="B53:D53"/>
    <mergeCell ref="A51:E51"/>
    <mergeCell ref="A38:E38"/>
    <mergeCell ref="A39:E39"/>
    <mergeCell ref="A40:E40"/>
    <mergeCell ref="A41:E41"/>
    <mergeCell ref="A42:E42"/>
    <mergeCell ref="A43:E43"/>
    <mergeCell ref="A44:E44"/>
    <mergeCell ref="A45:E45"/>
    <mergeCell ref="A46:E46"/>
    <mergeCell ref="A47:E47"/>
    <mergeCell ref="A48:E48"/>
    <mergeCell ref="A50:E50"/>
    <mergeCell ref="A33:E33"/>
    <mergeCell ref="A34:E34"/>
    <mergeCell ref="A35:E35"/>
    <mergeCell ref="A36:E36"/>
    <mergeCell ref="A37:E37"/>
    <mergeCell ref="A32:E32"/>
    <mergeCell ref="A14:E14"/>
    <mergeCell ref="A15:E15"/>
    <mergeCell ref="A16:E16"/>
    <mergeCell ref="A17:E17"/>
    <mergeCell ref="A18:E18"/>
    <mergeCell ref="A27:E27"/>
    <mergeCell ref="A19:E19"/>
    <mergeCell ref="A20:E20"/>
    <mergeCell ref="A24:E24"/>
    <mergeCell ref="A25:E25"/>
    <mergeCell ref="A28:E28"/>
    <mergeCell ref="A29:E29"/>
    <mergeCell ref="A7:E7"/>
    <mergeCell ref="A8:E8"/>
    <mergeCell ref="A9:E9"/>
    <mergeCell ref="A26:E26"/>
    <mergeCell ref="A10:E10"/>
    <mergeCell ref="A11:E11"/>
    <mergeCell ref="A12:E12"/>
    <mergeCell ref="A13:E13"/>
    <mergeCell ref="A23:E23"/>
    <mergeCell ref="A22:E22"/>
    <mergeCell ref="A21:E21"/>
    <mergeCell ref="A6:E6"/>
    <mergeCell ref="A1:E1"/>
    <mergeCell ref="A2:E2"/>
    <mergeCell ref="A3:E3"/>
    <mergeCell ref="A4:E4"/>
    <mergeCell ref="A5:E5"/>
  </mergeCells>
  <pageMargins left="0.7" right="0.7" top="0.75" bottom="0.75" header="0.3" footer="0.3"/>
  <pageSetup paperSize="9" scale="84" orientation="portrait" r:id="rId1"/>
  <rowBreaks count="1" manualBreakCount="1">
    <brk id="3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2"/>
  <sheetViews>
    <sheetView view="pageBreakPreview" topLeftCell="A115" zoomScale="85" zoomScaleNormal="55" zoomScaleSheetLayoutView="85" workbookViewId="0">
      <selection activeCell="A129" sqref="A129"/>
    </sheetView>
  </sheetViews>
  <sheetFormatPr defaultColWidth="9.140625" defaultRowHeight="15.75"/>
  <cols>
    <col min="1" max="1" width="50.42578125" style="6" customWidth="1"/>
    <col min="2" max="2" width="57.42578125" style="6" customWidth="1"/>
    <col min="3" max="3" width="93.28515625" style="6" customWidth="1"/>
    <col min="4" max="7" width="9.140625" style="6" customWidth="1"/>
    <col min="8" max="8" width="111.5703125" style="6" customWidth="1"/>
    <col min="9" max="16" width="9.140625" style="6" customWidth="1"/>
    <col min="17" max="16384" width="9.140625" style="6"/>
  </cols>
  <sheetData>
    <row r="1" spans="1:3">
      <c r="A1" s="300" t="str">
        <f>""&amp;'Общие данные'!C64&amp;" shartnoma "&amp;'Общие данные'!B66&amp;""</f>
        <v>Mikroqarz shartnoma № -AL</v>
      </c>
      <c r="B1" s="300"/>
    </row>
    <row r="3" spans="1:3">
      <c r="A3" s="300" t="str">
        <f>"Toshkent shahri                                                                               "&amp;'Общие данные'!B70&amp;""</f>
        <v>Toshkent shahri                                                                               11 mart 2025 y.</v>
      </c>
      <c r="B3" s="300"/>
    </row>
    <row r="4" spans="1:3">
      <c r="A4" s="66"/>
    </row>
    <row r="5" spans="1:3" ht="132.75" customHeight="1">
      <c r="A5" s="301" t="str">
        <f>""&amp;'Общие данные'!B147&amp;", bundan buyon «Mikromoliya tashkiloti» deb nomlanuvchi, ishonchnoma asosida xarakat qiluvchi "&amp;'Общие данные'!A150&amp;" "&amp;'Общие данные'!B150&amp;"  bir tomondan va o‘z manfaati yo‘lida hamda o‘z nomidan harakat qiluvchi O‘zbekiston Respublikasi fuqarosi "&amp;'Общие данные'!B5&amp;"  (pasport raqami "&amp;'Общие данные'!B16&amp;", "&amp;'Общие данные'!C20&amp;" ), bundan buyon «Qarz oluvchi» deb nomlanuvchi, boshqa tomondan, birgalikda “Tomonlar” yoki alohida “Tomon” deb nomlanuvchilar, Qarz oluvchi tomonidan "&amp;TEXT('Общие данные'!B2,"ДД.ММ.ГГГГ")&amp;" yil,"&amp;'Общие данные'!B65&amp;" olish uchun ariza berilganligini hisobga olib, ushbu "&amp;'Общие данные'!C64&amp;" shartnomasini (bundan keyin – «Shartnoma») quyidagilar haqida tuzdilar:"</f>
        <v>«CLEVER MIKROMOLIYA TASHKILOTI» MChJ, bundan buyon «Mikromoliya tashkiloti» deb nomlanuvchi, ishonchnoma asosida xarakat qiluvchi Olmaliq filiali boshlig'i V. Yerjanov  bir tomondan va o‘z manfaati yo‘lida hamda o‘z nomidan harakat qiluvchi O‘zbekiston Respublikasi fuqarosi NUTFULLAYEV AKBARJON AXMEDOVICH  (pasport raqami AA 9481167, BUXORO VILOYATI BUXORO SHAHAR IIB tomonidan 24.04.2015 yilda berilgan ), bundan buyon «Qarz oluvchi» deb nomlanuvchi, boshqa tomondan, birgalikda “Tomonlar” yoki alohida “Tomon” deb nomlanuvchilar, Qarz oluvchi tomonidan 11.03.2025 yil,mikroqarz olish uchun ariza berilganligini hisobga olib, ushbu Mikroqarz shartnomasini (bundan keyin – «Shartnoma») quyidagilar haqida tuzdilar:</v>
      </c>
      <c r="B5" s="301"/>
    </row>
    <row r="7" spans="1:3">
      <c r="A7" s="300" t="s">
        <v>264</v>
      </c>
      <c r="B7" s="300"/>
    </row>
    <row r="8" spans="1:3" ht="51.75" customHeight="1">
      <c r="A8" s="301" t="str">
        <f>"1.1. Mikromoliya tashkiloti Qarz oluvchiga umumiy miqdori "&amp;FIXED('Общие данные'!B75,2)&amp;" ("&amp;'Общие данные'!C76&amp;") bo‘lgan "&amp;'Общие данные'!B65&amp;"ni "&amp;'Общие данные'!B71&amp;" dan "&amp;'Общие данные'!B73&amp;" gacha bo'lgan muddatga naqd pul va/yoki o'tkazmasi shaklida ajratadi."</f>
        <v>1.1. Mikromoliya tashkiloti Qarz oluvchiga umumiy miqdori 27 000 000,00 (Yigirma yetti million so'm) bo‘lgan mikroqarzni 11 mart 2025 y. dan 11 mart 2028 y. gacha bo'lgan muddatga naqd pul va/yoki o'tkazmasi shaklida ajratadi.</v>
      </c>
      <c r="B8" s="301"/>
    </row>
    <row r="9" spans="1:3" ht="36" customHeight="1">
      <c r="A9" s="301" t="str">
        <f>"1.2. Qarz oluvchi to‘lovlilik, muddatlilik va ta’minlanganlik tamoyillariga amal qilgan holda "&amp;'Общие данные'!B65&amp;"dan foydalanish majburiyatini o‘z zimmasiga oladi."</f>
        <v>1.2. Qarz oluvchi to‘lovlilik, muddatlilik va ta’minlanganlik tamoyillariga amal qilgan holda mikroqarzdan foydalanish majburiyatini o‘z zimmasiga oladi.</v>
      </c>
      <c r="B9" s="301"/>
    </row>
    <row r="10" spans="1:3">
      <c r="A10" s="32"/>
    </row>
    <row r="11" spans="1:3">
      <c r="A11" s="304" t="str">
        <f>"2. "&amp;'Общие данные'!D64&amp;" BERISH VA QAYTARISH TARTIBI"</f>
        <v>2. MIKROQARZ BERISH VA QAYTARISH TARTIBI</v>
      </c>
      <c r="B11" s="304"/>
      <c r="C11" s="64"/>
    </row>
    <row r="12" spans="1:3" ht="36" customHeight="1">
      <c r="A12" s="301" t="str">
        <f>"2.1. Ushbu Shartnomaning 1.1.-bandida ko‘rsatilgan summa miqdoridagi "&amp;'Общие данные'!B65&amp;"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301"/>
    </row>
    <row r="13" spans="1:3" ht="35.25" customHeight="1">
      <c r="A13" s="301" t="str">
        <f>"2.2. "&amp;'Общие данные'!C64&amp;"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301"/>
    </row>
    <row r="14" spans="1:3" ht="35.25" customHeight="1">
      <c r="A14" s="301" t="str">
        <f>"2.3. "&amp;'Общие данные'!C64&amp;"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301"/>
    </row>
    <row r="15" spans="1:3" ht="69.75" customHeight="1">
      <c r="A15" s="301" t="str">
        <f>"2.4. Mikromoliya tashkiloti, "&amp;'Общие данные'!B65&amp;" berilgan vaqtdan boshlab, "&amp;'Общие данные'!B65&amp;" miqdorining qoldiq summasiga "&amp;'Общие данные'!B85&amp;"% ("&amp;'Общие данные'!C86&amp;") foiz yillik va yiliga 365/366 kunlik hisobidan foizlar hisoblaydi. To'lov jadvaliga muvofiq asosiy qarz bo'yicha navbatdagi to'lov buzilgan hollarda, "&amp;"foiz stavkasi oshiriladi va  Mikromoliya tashkiloti "&amp;'Общие данные'!B65&amp;"ning muddati o'tgan asosiy qarz summasiga yillik "&amp;'Общие данные'!B88&amp;" ("&amp;'Общие данные'!B89&amp;")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301"/>
    </row>
    <row r="16" spans="1:3" ht="177.75" customHeight="1">
      <c r="A16" s="301" t="s">
        <v>332</v>
      </c>
      <c r="B16" s="301"/>
    </row>
    <row r="17" spans="1:11" ht="161.25" customHeight="1">
      <c r="A17" s="301"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301"/>
      <c r="C17" s="154" t="s">
        <v>337</v>
      </c>
      <c r="H17" s="6" t="str">
        <f>'Общие данные'!B65</f>
        <v>mikroqarz</v>
      </c>
      <c r="I17" s="6" t="s">
        <v>338</v>
      </c>
    </row>
    <row r="18" spans="1:11" ht="100.5" customHeight="1">
      <c r="A18" s="303" t="s">
        <v>377</v>
      </c>
      <c r="B18" s="303"/>
    </row>
    <row r="19" spans="1:11" ht="36" customHeight="1">
      <c r="A19" s="301" t="str">
        <f>"2.7. Qarz oluvchi Mikromoliya tashkilotining "&amp;'Общие данные'!B65&amp;"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301"/>
    </row>
    <row r="20" spans="1:11" ht="48.75" customHeight="1">
      <c r="A20" s="301" t="str">
        <f>"2.8. Qarz oluvchi "&amp;'Общие данные'!B65&amp;"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301"/>
    </row>
    <row r="21" spans="1:11" ht="113.25" customHeight="1">
      <c r="A21" s="305"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305"/>
      <c r="C21" s="6" t="str">
        <f>"2.9. Qarz oluvchi jismoniy shaxslarning kreditlar ("&amp;'Общие данные'!B65&amp;"lar)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"&amp;'Общие данные'!B65&amp;"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("&amp;'Общие данные'!B65&amp;")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304" t="str">
        <f>"3. "&amp;'Общие данные'!D64&amp;" TA'MINOTI BO‘YICHA "</f>
        <v xml:space="preserve">3. MIKROQARZ TA'MINOTI BO‘YICHA </v>
      </c>
      <c r="B22" s="304"/>
    </row>
    <row r="23" spans="1:11" ht="19.5" customHeight="1">
      <c r="A23" s="301" t="str">
        <f>"3.1. Ushbu Shartnoma bo‘yicha taqdim etilgan "&amp;'Общие данные'!C64&amp;" quyidagi garov bilan ta'minlanadi:"</f>
        <v>3.1. Ushbu Shartnoma bo‘yicha taqdim etilgan Mikroqarz quyidagi garov bilan ta'minlanadi:</v>
      </c>
      <c r="B23" s="301"/>
    </row>
    <row r="24" spans="1:11" ht="151.5" customHeight="1">
      <c r="A24" s="302" t="str">
        <f>IF('Общие данные'!B103='Общие данные'!C103,договор!A28,IF('Общие данные'!B103='Общие данные'!D103,договор!A25,0))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4" s="302"/>
    </row>
    <row r="25" spans="1:11" ht="129" hidden="1" customHeight="1">
      <c r="A25" s="301" t="str">
        <f>IF('Общие данные'!B92='Общие данные'!C92,договор!A27,IF('Общие данные'!B92='Общие данные'!D92,договор!A26,0))</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5" s="301"/>
    </row>
    <row r="26" spans="1:11" ht="129.75" hidden="1" customHeight="1">
      <c r="A26" s="302" t="str">
        <f>"3.1.1. "&amp;'Общие данные'!N126&amp;" tomonidan "&amp;'Общие данные'!B143&amp;" yil "&amp;'Общие данные'!B145&amp;" "&amp;'Общие данные'!B144&amp;"da imzolangan 1-sonli navbatdagi garov predmeti qiymatini tasdiqlash dalolatnomasiga muvofiq "&amp;'Общие данные'!C123&amp;" manzilida joylashgan, "&amp;'Общие данные'!E126&amp;" bo'lgan, "&amp;'Общие данные'!E125&amp;" ko'rinishidagi ko'chmas mulk (bundan keyin “navbatdagi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6" s="302"/>
    </row>
    <row r="27" spans="1:11" ht="131.25" hidden="1" customHeight="1">
      <c r="A27" s="301" t="str">
        <f>"3.1.1. "&amp;'Общие данные'!N126&amp;" tomonidan "&amp;'Общие данные'!B143&amp;" yil "&amp;'Общие данные'!B145&amp;" "&amp;'Общие данные'!B144&amp;"da imzolangan 1-sonli Garov predmeti qiymatini tasdiqlash dalolatnomasiga muvofiq "&amp;'Общие данные'!C123&amp;" manzilida joylashgan, "&amp;'Общие данные'!E126&amp;" bo'lgan, "&amp;'Общие данные'!E125&amp;" ko'rinishidagi ko'chmas mulk (bundan keyin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7" s="301"/>
    </row>
    <row r="28" spans="1:11" ht="114" hidden="1" customHeight="1">
      <c r="A28" s="302" t="str">
        <f>IF('Общие данные'!B92='Общие данные'!C92,A29,IF('Общие данные'!B92='Общие данные'!D92,A30,0))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8" s="302"/>
      <c r="K28" s="6" t="s">
        <v>329</v>
      </c>
    </row>
    <row r="29" spans="1:11" ht="114.75" hidden="1" customHeight="1">
      <c r="A29" s="302" t="str">
        <f>"3.1.1. "&amp;'Общие данные'!N126&amp;" tomonidan "&amp;'Общие данные'!B143&amp;" yil "&amp;'Общие данные'!B145&amp;" "&amp;'Общие данные'!B144&amp;"da imzolangan 1-sonli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9" s="302"/>
    </row>
    <row r="30" spans="1:11" ht="115.5" hidden="1" customHeight="1">
      <c r="A30" s="307" t="str">
        <f>"3.1.1. "&amp;'Общие данные'!N126&amp;" tomonidan "&amp;'Общие данные'!B143&amp;" yil "&amp;'Общие данные'!B145&amp;" "&amp;'Общие данные'!B144&amp;"da imzolangan 1-sonli navbatdagi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“navbatdagi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navbatdagi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“navbatdagi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30" s="307"/>
    </row>
    <row r="31" spans="1:11" ht="117" customHeight="1">
      <c r="A31" s="306"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306"/>
    </row>
    <row r="32" spans="1:11" ht="94.5" hidden="1">
      <c r="A32" s="158" t="s">
        <v>359</v>
      </c>
      <c r="B32" s="32"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c r="A33" s="158" t="str">
        <f>" Mikromoliya tashkilotiga taqdim etilishi lozim. Garov shartnomasi belgilangan muddatda taqdim etilmagan hollarda, Mikromoliya tashkiloti Qarz oluvchining manziliga yozma bildirishnoma yuborish orqali "&amp;'Общие данные'!B65&amp;""</f>
        <v xml:space="preserve"> Mikromoliya tashkilotiga taqdim etilishi lozim. Garov shartnomasi belgilangan muddatda taqdim etilmagan hollarda, Mikromoliya tashkiloti Qarz oluvchining manziliga yozma bildirishnoma yuborish orqali mikroqarz</v>
      </c>
      <c r="B33" s="32" t="s">
        <v>340</v>
      </c>
    </row>
    <row r="34" spans="1:8" ht="85.5" customHeight="1">
      <c r="A34" s="306" t="s">
        <v>265</v>
      </c>
      <c r="B34" s="306"/>
    </row>
    <row r="35" spans="1:8" ht="84" customHeight="1">
      <c r="A35" s="306" t="s">
        <v>317</v>
      </c>
      <c r="B35" s="306"/>
    </row>
    <row r="37" spans="1:8">
      <c r="A37" s="309" t="s">
        <v>316</v>
      </c>
      <c r="B37" s="309"/>
      <c r="C37" s="75"/>
    </row>
    <row r="38" spans="1:8">
      <c r="A38" s="308" t="s">
        <v>315</v>
      </c>
      <c r="B38" s="308"/>
    </row>
    <row r="39" spans="1:8" ht="114" customHeight="1">
      <c r="A39" s="306"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306"/>
      <c r="C39" s="6" t="str">
        <f>"4.1.1. Ushbu Shartnomada ko‘rsatilgan asoslar bo‘yicha Qarz oluvchiga Shartnomada ko‘zda tutilgan "&amp;'Общие данные'!B65&amp;""</f>
        <v>4.1.1. Ushbu Shartnomada ko‘rsatilgan asoslar bo‘yicha Qarz oluvchiga Shartnomada ko‘zda tutilgan mikroqarz</v>
      </c>
      <c r="H39" s="154" t="s">
        <v>392</v>
      </c>
    </row>
    <row r="40" spans="1:8" ht="39" customHeight="1">
      <c r="A40" s="306" t="str">
        <f>"4.1.2.1. "&amp;'Общие данные'!C64&amp;"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306"/>
    </row>
    <row r="41" spans="1:8">
      <c r="A41" s="306" t="s">
        <v>318</v>
      </c>
      <c r="B41" s="306"/>
    </row>
    <row r="42" spans="1:8" ht="33" customHeight="1">
      <c r="A42" s="306" t="str">
        <f>"b) "&amp;'Общие данные'!B65&amp;" summasiga hisoblanadigan asosiy qarz bo‘yicha muddati o‘tgan qarzdorlik va/yoki foizlarning yuzaga kelishi;"</f>
        <v>b) mikroqarz summasiga hisoblanadigan asosiy qarz bo‘yicha muddati o‘tgan qarzdorlik va/yoki foizlarning yuzaga kelishi;</v>
      </c>
      <c r="B42" s="306"/>
    </row>
    <row r="43" spans="1:8" ht="37.5" customHeight="1">
      <c r="A43" s="306" t="s">
        <v>319</v>
      </c>
      <c r="B43" s="306"/>
    </row>
    <row r="44" spans="1:8" ht="52.5" customHeight="1">
      <c r="A44" s="306" t="s">
        <v>320</v>
      </c>
      <c r="B44" s="306"/>
    </row>
    <row r="45" spans="1:8" ht="19.5" customHeight="1">
      <c r="A45" s="306" t="s">
        <v>321</v>
      </c>
      <c r="B45" s="306"/>
    </row>
    <row r="46" spans="1:8" ht="51.75" customHeight="1">
      <c r="A46" s="306" t="str">
        <f>"f) Qarz oluvchi "&amp;'Общие данные'!B65&amp;" summasini olish uchun Mikromoliya tashkilotiga "&amp;'Общие данные'!B65&amp;"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306"/>
    </row>
    <row r="47" spans="1:8" ht="33.75" customHeight="1">
      <c r="A47" s="306" t="s">
        <v>314</v>
      </c>
      <c r="B47" s="306"/>
    </row>
    <row r="48" spans="1:8" ht="36.75" customHeight="1">
      <c r="A48" s="306" t="s">
        <v>313</v>
      </c>
      <c r="B48" s="306"/>
      <c r="C48" s="158"/>
    </row>
    <row r="49" spans="1:8" ht="100.5" customHeight="1">
      <c r="A49" s="301" t="s">
        <v>312</v>
      </c>
      <c r="B49" s="301"/>
      <c r="C49" s="158"/>
    </row>
    <row r="50" spans="1:8" ht="70.5" customHeight="1">
      <c r="A50" s="301" t="s">
        <v>311</v>
      </c>
      <c r="B50" s="301"/>
      <c r="C50" s="158"/>
    </row>
    <row r="51" spans="1:8" ht="39.75" customHeight="1">
      <c r="A51" s="301" t="str">
        <f>"4.1.7. Qarz oluvchini oldindan ogohlantirmasdan "&amp;'Общие данные'!B65&amp;"ni qaytarish uchun haqiqatdan ham garov ta'minoti mavjudligini tekshirishni amalga oshirish."</f>
        <v>4.1.7. Qarz oluvchini oldindan ogohlantirmasdan mikroqarzni qaytarish uchun haqiqatdan ham garov ta'minoti mavjudligini tekshirishni amalga oshirish.</v>
      </c>
      <c r="B51" s="301"/>
      <c r="C51" s="158"/>
    </row>
    <row r="52" spans="1:8" ht="33" customHeight="1">
      <c r="A52" s="301" t="s">
        <v>322</v>
      </c>
      <c r="B52" s="301"/>
      <c r="C52" s="158"/>
    </row>
    <row r="53" spans="1:8" ht="39.75" customHeight="1">
      <c r="A53" s="301" t="s">
        <v>310</v>
      </c>
      <c r="B53" s="301"/>
      <c r="C53" s="158"/>
    </row>
    <row r="54" spans="1:8" ht="50.25" customHeight="1">
      <c r="A54" s="301"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301"/>
      <c r="C54" s="158" t="str">
        <f>"4.1.10. Qarz oluvchi taqdim etilgan "&amp;'Общие данные'!B65&amp;"dan Shartnoma tuzilgan kundan boshlab 1 (bir) oy davomida foydalanmagan"</f>
        <v>4.1.10. Qarz oluvchi taqdim etilgan mikroqarzdan Shartnoma tuzilgan kundan boshlab 1 (bir) oy davomida foydalanmagan</v>
      </c>
      <c r="H54" s="6" t="s">
        <v>341</v>
      </c>
    </row>
    <row r="55" spans="1:8" ht="19.5" customHeight="1">
      <c r="A55" s="301" t="str">
        <f>"4.1.11. Oldingi "&amp;'Общие данные'!B65&amp;" to‘liq to‘lanmagunga qadar yangi "&amp;'Общие данные'!B65&amp;" berishni rad etish."</f>
        <v>4.1.11. Oldingi mikroqarz to‘liq to‘lanmagunga qadar yangi mikroqarz berishni rad etish.</v>
      </c>
      <c r="B55" s="301"/>
      <c r="C55" s="158"/>
    </row>
    <row r="57" spans="1:8">
      <c r="A57" s="304" t="s">
        <v>309</v>
      </c>
      <c r="B57" s="304"/>
      <c r="C57" s="157"/>
    </row>
    <row r="58" spans="1:8">
      <c r="A58" s="310" t="s">
        <v>308</v>
      </c>
      <c r="B58" s="310"/>
      <c r="C58" s="159"/>
    </row>
    <row r="59" spans="1:8" ht="36" customHeight="1">
      <c r="A59" s="301" t="str">
        <f>"5.1.1. Ushbu shartnomada nazarda tutilgan shartlar bo‘yicha "&amp;'Общие данные'!B65&amp;"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301"/>
      <c r="C59" s="158"/>
    </row>
    <row r="60" spans="1:8" ht="36.75" customHeight="1">
      <c r="A60" s="301" t="str">
        <f>"5.1.2. Shartnoma tuzilgan kundan boshlab 2 (ikki) hafta mobaynida Mikromoliya tashkilotiga bu haqda yozma xabarnoma yo‘llash orqali "&amp;'Общие данные'!B65&amp;"ning foydalanilmagan summasidan voz kechish."</f>
        <v>5.1.2. Shartnoma tuzilgan kundan boshlab 2 (ikki) hafta mobaynida Mikromoliya tashkilotiga bu haqda yozma xabarnoma yo‘llash orqali mikroqarzning foydalanilmagan summasidan voz kechish.</v>
      </c>
      <c r="B60" s="301"/>
      <c r="C60" s="158"/>
    </row>
    <row r="61" spans="1:8" ht="17.25" customHeight="1">
      <c r="A61" s="301" t="str">
        <f>"5.1.3. "&amp;'Общие данные'!C64&amp;" xizmatlari ko‘rsatish qoidalari bilan tanishish."</f>
        <v>5.1.3. Mikroqarz xizmatlari ko‘rsatish qoidalari bilan tanishish.</v>
      </c>
      <c r="B61" s="301"/>
      <c r="C61" s="158"/>
    </row>
    <row r="62" spans="1:8" ht="36" customHeight="1">
      <c r="A62" s="301" t="str">
        <f>"5.1.4. O‘z huquq va majburiyatlari, shu jumladan "&amp;'Общие данные'!B65&amp;" xizmatlari ko‘rsatish bilan bog‘liq barcha xarajatlar haqida aniq va to‘liq ma'lumot olish."</f>
        <v>5.1.4. O‘z huquq va majburiyatlari, shu jumladan mikroqarz xizmatlari ko‘rsatish bilan bog‘liq barcha xarajatlar haqida aniq va to‘liq ma'lumot olish.</v>
      </c>
      <c r="B62" s="301"/>
      <c r="C62" s="158"/>
    </row>
    <row r="63" spans="1:8" ht="33.75" customHeight="1">
      <c r="A63" s="301" t="s">
        <v>323</v>
      </c>
      <c r="B63" s="301"/>
      <c r="C63" s="158"/>
    </row>
    <row r="64" spans="1:8">
      <c r="A64" s="310" t="s">
        <v>307</v>
      </c>
      <c r="B64" s="310"/>
      <c r="C64" s="159"/>
    </row>
    <row r="65" spans="1:8" ht="37.5" customHeight="1">
      <c r="A65" s="301" t="str">
        <f>"5.2.1. Mikromoliya tashkilotining birinchi talabi bilan zarur hujjatlar, shuningdek "&amp;'Общие данные'!B65&amp;"dan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301"/>
      <c r="C65" s="158"/>
    </row>
    <row r="66" spans="1:8" ht="39.75" customHeight="1">
      <c r="A66" s="301" t="s">
        <v>324</v>
      </c>
      <c r="B66" s="301"/>
      <c r="C66" s="158"/>
    </row>
    <row r="67" spans="1:8" ht="27" customHeight="1">
      <c r="A67" s="301" t="str">
        <f>"5.2.3. To‘lov jadvaliga muvofiq "&amp;'Общие данные'!B65&amp;", shuningdek hisoblangan foizlar to‘lovlarini amalga oshirish."</f>
        <v>5.2.3. To‘lov jadvaliga muvofiq mikroqarz, shuningdek hisoblangan foizlar to‘lovlarini amalga oshirish.</v>
      </c>
      <c r="B67" s="301"/>
      <c r="C67" s="158"/>
    </row>
    <row r="68" spans="1:8" ht="84" customHeight="1">
      <c r="A68" s="301"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301"/>
      <c r="C68" s="158" t="s">
        <v>342</v>
      </c>
      <c r="H68" s="6" t="str">
        <f>" "&amp;'Общие данные'!B65&amp;"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301" t="s">
        <v>325</v>
      </c>
      <c r="B69" s="301"/>
      <c r="C69" s="158"/>
    </row>
    <row r="70" spans="1:8" ht="36" customHeight="1">
      <c r="A70" s="301" t="str">
        <f>"5.2.6. Quyidagi holatlarda Mikromoliya tashkilotning birinchi talabi bilan "&amp;'Общие данные'!B65&amp;" qaytarilishi bo‘yicha qo‘shimcha garov ta'minotini taqdim etish: "</f>
        <v xml:space="preserve">5.2.6. Quyidagi holatlarda Mikromoliya tashkilotning birinchi talabi bilan mikroqarz qaytarilishi bo‘yicha qo‘shimcha garov ta'minotini taqdim etish: </v>
      </c>
      <c r="B70" s="301"/>
      <c r="C70" s="158"/>
    </row>
    <row r="71" spans="1:8" ht="51.75" customHeight="1">
      <c r="A71" s="303" t="s">
        <v>343</v>
      </c>
      <c r="B71" s="303"/>
      <c r="C71" s="161"/>
    </row>
    <row r="72" spans="1:8" ht="71.25" customHeight="1">
      <c r="A72" s="301" t="str">
        <f>"5.2.7. Sud qarori asosida Qarz oluvchi – jismoniy shaxsning muomalaga layoqatsizligi yoki muomalaga layoqati cheklangan yoxud to‘lash qobiliyatiga ega emasligi (bankrotligi) tan olinganda, uning vasiysi yoki homiysi "&amp;'Общие данные'!B65&amp;"ning asosiy summa bo‘yicha qarzdorlikni "&amp;'Общие данные'!B65&amp;"dan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301"/>
      <c r="C72" s="158"/>
    </row>
    <row r="73" spans="1:8" ht="33.75" customHeight="1">
      <c r="A73" s="301" t="str">
        <f>"5.2.8. Mikromoliya tashkilotining "&amp;'Общие данные'!B65&amp;"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301"/>
      <c r="C73" s="158"/>
      <c r="H73" s="6" t="s">
        <v>339</v>
      </c>
    </row>
    <row r="74" spans="1:8" ht="68.25" customHeight="1">
      <c r="A74" s="301"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301"/>
      <c r="C74" s="158" t="str">
        <f>"5.2.9. Mikromoliya tashkilotining talabi bo‘yicha Mikromoliya tashkiloti ko‘rgan, shu jumladan "&amp;'Общие данные'!B65&amp;" bo‘yicha (asosiy qarz, foizlar va boshqalar)"</f>
        <v>5.2.9. Mikromoliya tashkilotining talabi bo‘yicha Mikromoliya tashkiloti ko‘rgan, shu jumladan mikroqarz bo‘yicha (asosiy qarz, foizlar va boshqalar)</v>
      </c>
      <c r="H74" s="6" t="s">
        <v>344</v>
      </c>
    </row>
    <row r="75" spans="1:8">
      <c r="A75" s="71"/>
    </row>
    <row r="76" spans="1:8">
      <c r="A76" s="309" t="s">
        <v>306</v>
      </c>
      <c r="B76" s="309"/>
      <c r="C76" s="160"/>
    </row>
    <row r="77" spans="1:8" ht="98.25" customHeight="1">
      <c r="A77" s="301"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301"/>
      <c r="C77" s="158" t="s">
        <v>345</v>
      </c>
      <c r="H77" s="6" t="str">
        <f>""&amp;'Общие данные'!B65&amp;"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301" t="s">
        <v>305</v>
      </c>
      <c r="B78" s="301"/>
      <c r="C78" s="158"/>
    </row>
    <row r="79" spans="1:8" ht="35.25" customHeight="1">
      <c r="A79" s="301" t="s">
        <v>304</v>
      </c>
      <c r="B79" s="301"/>
      <c r="C79" s="158"/>
    </row>
    <row r="80" spans="1:8" ht="33" customHeight="1">
      <c r="A80" s="301" t="s">
        <v>303</v>
      </c>
      <c r="B80" s="301"/>
      <c r="C80" s="158"/>
    </row>
    <row r="82" spans="1:3">
      <c r="A82" s="293" t="s">
        <v>302</v>
      </c>
      <c r="B82" s="293"/>
      <c r="C82" s="65"/>
    </row>
    <row r="83" spans="1:3" ht="162.75" customHeight="1">
      <c r="A83" s="301" t="s">
        <v>301</v>
      </c>
      <c r="B83" s="301"/>
      <c r="C83" s="158"/>
    </row>
    <row r="84" spans="1:3" ht="33.75" customHeight="1">
      <c r="A84" s="301" t="s">
        <v>346</v>
      </c>
      <c r="B84" s="301"/>
      <c r="C84" s="158"/>
    </row>
    <row r="85" spans="1:3" ht="51.75" customHeight="1">
      <c r="A85" s="301" t="s">
        <v>300</v>
      </c>
      <c r="B85" s="301"/>
      <c r="C85" s="158"/>
    </row>
    <row r="86" spans="1:3" ht="36" customHeight="1">
      <c r="A86" s="301" t="s">
        <v>299</v>
      </c>
      <c r="B86" s="301"/>
      <c r="C86" s="158"/>
    </row>
    <row r="88" spans="1:3">
      <c r="A88" s="293" t="s">
        <v>298</v>
      </c>
      <c r="B88" s="293"/>
      <c r="C88" s="65"/>
    </row>
    <row r="89" spans="1:3" ht="114.75" customHeight="1">
      <c r="A89" s="301" t="s">
        <v>360</v>
      </c>
      <c r="B89" s="301"/>
      <c r="C89" s="158"/>
    </row>
    <row r="90" spans="1:3" ht="36" customHeight="1">
      <c r="A90" s="301" t="s">
        <v>326</v>
      </c>
      <c r="B90" s="301"/>
      <c r="C90" s="158"/>
    </row>
    <row r="91" spans="1:3" ht="64.5" customHeight="1">
      <c r="A91" s="301" t="str">
        <f>"8.2. Mikromoliya tashkiloti sud organlariga murojaat qilganidan keyin Qarz oluvchi tomonidan "&amp;'Общие данные'!B65&amp;" bo‘yicha muddati o‘tgan qarzdorlikning to‘lanishi Mikromoliya tashkilotning "&amp;'Общие данные'!B65&amp;"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301"/>
      <c r="C91" s="158"/>
    </row>
    <row r="93" spans="1:3">
      <c r="A93" s="311" t="s">
        <v>297</v>
      </c>
      <c r="B93" s="311"/>
      <c r="C93" s="73"/>
    </row>
    <row r="94" spans="1:3" ht="20.25" customHeight="1">
      <c r="A94" s="301" t="s">
        <v>296</v>
      </c>
      <c r="B94" s="301"/>
      <c r="C94" s="158"/>
    </row>
    <row r="95" spans="1:3" ht="33.75" customHeight="1">
      <c r="A95" s="301" t="str">
        <f>"9.2. Shartnomaning amal qilish muddati Qarz oluvchi "&amp;'Общие данные'!B65&amp;"ni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301"/>
      <c r="C95" s="158"/>
    </row>
    <row r="96" spans="1:3" ht="51" customHeight="1">
      <c r="A96" s="301" t="s">
        <v>295</v>
      </c>
      <c r="B96" s="301"/>
      <c r="C96" s="158"/>
    </row>
    <row r="98" spans="1:3">
      <c r="A98" s="304" t="s">
        <v>294</v>
      </c>
      <c r="B98" s="304"/>
      <c r="C98" s="64"/>
    </row>
    <row r="99" spans="1:3" ht="82.5" customHeight="1">
      <c r="A99" s="301" t="s">
        <v>293</v>
      </c>
      <c r="B99" s="301"/>
      <c r="C99" s="158"/>
    </row>
    <row r="100" spans="1:3" ht="66" customHeight="1">
      <c r="A100" s="301" t="s">
        <v>292</v>
      </c>
      <c r="B100" s="301"/>
      <c r="C100" s="158"/>
    </row>
    <row r="101" spans="1:3" ht="48" customHeight="1">
      <c r="A101" s="301" t="s">
        <v>291</v>
      </c>
      <c r="B101" s="301"/>
      <c r="C101" s="158"/>
    </row>
    <row r="103" spans="1:3">
      <c r="A103" s="293" t="s">
        <v>290</v>
      </c>
      <c r="B103" s="293"/>
      <c r="C103" s="144"/>
    </row>
    <row r="104" spans="1:3" ht="37.5" customHeight="1">
      <c r="A104" s="301" t="s">
        <v>289</v>
      </c>
      <c r="B104" s="301"/>
      <c r="C104" s="158"/>
    </row>
    <row r="105" spans="1:3" ht="34.5" customHeight="1">
      <c r="A105" s="301" t="s">
        <v>288</v>
      </c>
      <c r="B105" s="301"/>
      <c r="C105" s="158"/>
    </row>
    <row r="106" spans="1:3" ht="66.75" customHeight="1">
      <c r="A106" s="301" t="s">
        <v>287</v>
      </c>
      <c r="B106" s="301"/>
      <c r="C106" s="158"/>
    </row>
    <row r="107" spans="1:3" ht="51" customHeight="1">
      <c r="A107" s="301" t="s">
        <v>286</v>
      </c>
      <c r="B107" s="301"/>
      <c r="C107" s="158"/>
    </row>
    <row r="108" spans="1:3" ht="37.5" customHeight="1">
      <c r="A108" s="301" t="s">
        <v>285</v>
      </c>
      <c r="B108" s="301"/>
      <c r="C108" s="158"/>
    </row>
    <row r="109" spans="1:3" ht="38.25" customHeight="1">
      <c r="A109" s="301" t="s">
        <v>284</v>
      </c>
      <c r="B109" s="301"/>
      <c r="C109" s="158"/>
    </row>
    <row r="110" spans="1:3" ht="21" customHeight="1">
      <c r="A110" s="301" t="s">
        <v>283</v>
      </c>
      <c r="B110" s="301"/>
      <c r="C110" s="158"/>
    </row>
    <row r="111" spans="1:3" ht="32.25" customHeight="1">
      <c r="A111" s="301"/>
      <c r="B111" s="301"/>
      <c r="C111" s="158"/>
    </row>
    <row r="113" spans="1:3">
      <c r="A113" s="311" t="s">
        <v>327</v>
      </c>
      <c r="B113" s="311"/>
      <c r="C113" s="73"/>
    </row>
    <row r="115" spans="1:3">
      <c r="A115" s="74" t="s">
        <v>282</v>
      </c>
      <c r="B115" s="74" t="s">
        <v>281</v>
      </c>
    </row>
    <row r="117" spans="1:3" ht="31.5">
      <c r="A117" s="73" t="str">
        <f>'Общие данные'!B148</f>
        <v>«CLEVER MIKROMOLIYA TASHKILOTI» MChJ</v>
      </c>
      <c r="B117" s="67" t="str">
        <f>'Общие данные'!B5</f>
        <v>NUTFULLAYEV AKBARJON AXMEDOVICH</v>
      </c>
    </row>
    <row r="119" spans="1:3" ht="49.5" customHeight="1">
      <c r="A119" s="70" t="str">
        <f>"Manzil: "&amp;'Общие данные'!B153&amp;""</f>
        <v>Manzil: Toshkent shahri, Olmazor tumani, Sagbon ko'chasi, 30 boshi berk, 6-uy</v>
      </c>
      <c r="B119" s="70" t="str">
        <f>"Manzil: "&amp;'Общие данные'!B27&amp;""</f>
        <v>Manzil: BUXORO VILOYATI BUXORO SHAHAR TADBIRKOR KO'CHASI 12-UY</v>
      </c>
    </row>
    <row r="120" spans="1:3">
      <c r="A120" s="72" t="str">
        <f>"h/r: "&amp;'Общие данные'!B154&amp;""</f>
        <v>h/r: №20216000705068380001</v>
      </c>
    </row>
    <row r="121" spans="1:3" ht="63" customHeight="1">
      <c r="A121" s="70" t="str">
        <f>"MFO: "&amp;'Общие данные'!B155&amp;" в "&amp;'Общие данные'!B156&amp;""</f>
        <v>MFO: №01042 в ATB “Kapitalbank” Sergeli filiali</v>
      </c>
      <c r="B121" s="70" t="str">
        <f>"pasport seriyasi: "&amp;'Общие данные'!B16&amp;", "&amp;'Общие данные'!B20&amp;""</f>
        <v>pasport seriyasi: AA 9481167, BUXORO VILOYATI BUXORO SHAHAR IIB tomonidan 24.04.2015 yilda berilgan</v>
      </c>
    </row>
    <row r="122" spans="1:3">
      <c r="A122" s="70" t="str">
        <f>"STIR: "&amp;'Общие данные'!B157&amp;""</f>
        <v>STIR: 306365847</v>
      </c>
      <c r="B122" s="66" t="str">
        <f>"Tel: "&amp;'Общие данные'!B40&amp;""</f>
        <v>Tel: 91 408 76 67  UZI</v>
      </c>
    </row>
    <row r="123" spans="1:3">
      <c r="A123" s="181" t="str">
        <f>"Tel: (78) 113 31 33"</f>
        <v>Tel: (78) 113 31 33</v>
      </c>
      <c r="B123" s="66" t="str">
        <f>'Общие данные'!B41</f>
        <v>88 305 76 67 AYOLI</v>
      </c>
    </row>
    <row r="124" spans="1:3">
      <c r="A124" s="181" t="s">
        <v>8</v>
      </c>
      <c r="B124" s="66" t="str">
        <f>'Общие данные'!B42</f>
        <v>88 870 76 67 AKASI</v>
      </c>
    </row>
    <row r="126" spans="1:3">
      <c r="A126" s="312" t="str">
        <f>'Общие данные'!A161</f>
        <v>Olmaliq filiali boshlig'i</v>
      </c>
    </row>
    <row r="127" spans="1:3">
      <c r="A127" s="312"/>
      <c r="B127" s="65" t="str">
        <f>""&amp;'Общие данные'!B7&amp;"     __________________"</f>
        <v>NUTFULLAYEV A.A.     __________________</v>
      </c>
    </row>
    <row r="129" spans="1:2">
      <c r="A129" s="144" t="str">
        <f>""&amp;'Общие данные'!B161&amp;"     __________________"</f>
        <v>V. Yerjanov     __________________</v>
      </c>
      <c r="B129" s="172"/>
    </row>
    <row r="131" spans="1:2">
      <c r="B131" s="6" t="s">
        <v>398</v>
      </c>
    </row>
    <row r="132" spans="1:2" hidden="1">
      <c r="A132" s="6" t="str">
        <f>"менеджер :   "&amp;'Общие данные'!B161&amp;"______________"</f>
        <v>менеджер :   V. Yerjanov______________</v>
      </c>
    </row>
  </sheetData>
  <mergeCells count="99">
    <mergeCell ref="A126:A127"/>
    <mergeCell ref="A113:B113"/>
    <mergeCell ref="A107:B107"/>
    <mergeCell ref="A108:B108"/>
    <mergeCell ref="A109:B109"/>
    <mergeCell ref="A110:B110"/>
    <mergeCell ref="A111:B111"/>
    <mergeCell ref="A101:B101"/>
    <mergeCell ref="A103:B103"/>
    <mergeCell ref="A104:B104"/>
    <mergeCell ref="A105:B105"/>
    <mergeCell ref="A106:B106"/>
    <mergeCell ref="A95:B95"/>
    <mergeCell ref="A96:B96"/>
    <mergeCell ref="A98:B98"/>
    <mergeCell ref="A99:B99"/>
    <mergeCell ref="A100:B100"/>
    <mergeCell ref="A90:B90"/>
    <mergeCell ref="A91:B91"/>
    <mergeCell ref="A93:B93"/>
    <mergeCell ref="A94:B94"/>
    <mergeCell ref="A84:B84"/>
    <mergeCell ref="A85:B85"/>
    <mergeCell ref="A86:B86"/>
    <mergeCell ref="A88:B88"/>
    <mergeCell ref="A89:B89"/>
    <mergeCell ref="A78:B78"/>
    <mergeCell ref="A79:B79"/>
    <mergeCell ref="A80:B80"/>
    <mergeCell ref="A82:B82"/>
    <mergeCell ref="A83:B83"/>
    <mergeCell ref="A73:B73"/>
    <mergeCell ref="A74:B74"/>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2:B52"/>
    <mergeCell ref="A53:B53"/>
    <mergeCell ref="A54:B54"/>
    <mergeCell ref="A55:B55"/>
    <mergeCell ref="A57:B57"/>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35:B35"/>
    <mergeCell ref="A34:B34"/>
    <mergeCell ref="A31:B31"/>
    <mergeCell ref="A24:B24"/>
    <mergeCell ref="A28:B28"/>
    <mergeCell ref="A29:B29"/>
    <mergeCell ref="A30:B30"/>
    <mergeCell ref="A23:B23"/>
    <mergeCell ref="A22:B22"/>
    <mergeCell ref="A21:B21"/>
    <mergeCell ref="A20:B20"/>
    <mergeCell ref="A19:B1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6" max="1" man="1"/>
    <brk id="72" max="1" man="1"/>
    <brk id="96" max="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sheetPr>
  <dimension ref="A1:P65"/>
  <sheetViews>
    <sheetView view="pageBreakPreview" zoomScaleNormal="100" zoomScaleSheetLayoutView="100" workbookViewId="0">
      <selection activeCell="F9" sqref="F9"/>
    </sheetView>
  </sheetViews>
  <sheetFormatPr defaultColWidth="9.140625" defaultRowHeight="15" outlineLevelCol="1"/>
  <cols>
    <col min="1" max="1" width="9.140625" style="15"/>
    <col min="2" max="2" width="13.7109375" style="15" customWidth="1"/>
    <col min="3" max="3" width="20.140625" style="15" customWidth="1"/>
    <col min="4" max="4" width="20.28515625" style="15" customWidth="1"/>
    <col min="5" max="5" width="19.5703125" style="15" customWidth="1"/>
    <col min="6" max="6" width="18.28515625" style="15" customWidth="1"/>
    <col min="7" max="7" width="10.140625" style="15" customWidth="1" outlineLevel="1"/>
    <col min="8" max="8" width="19.7109375" style="15" customWidth="1"/>
    <col min="9" max="10" width="9.140625" style="15" customWidth="1"/>
    <col min="11" max="16384" width="9.140625" style="15"/>
  </cols>
  <sheetData>
    <row r="1" spans="1:16" ht="9" customHeight="1"/>
    <row r="2" spans="1:16" ht="6" customHeight="1">
      <c r="A2" s="37"/>
      <c r="B2" s="37"/>
      <c r="C2" s="37"/>
      <c r="D2" s="37"/>
      <c r="E2" s="266"/>
      <c r="F2" s="266"/>
      <c r="G2" s="20"/>
    </row>
    <row r="3" spans="1:16" ht="77.25" customHeight="1">
      <c r="A3" s="37"/>
      <c r="B3" s="37"/>
      <c r="C3" s="37"/>
      <c r="D3" s="37"/>
      <c r="E3" s="315" t="str">
        <f>""&amp;'Общие данные'!B74&amp;" 
"&amp;'Общие данные'!B65&amp;" shartnomasiga 
1 sonli ilova"</f>
        <v>11 mart 2025 y.dan № -AL 
mikroqarz shartnomasiga 
1 sonli ilova</v>
      </c>
      <c r="F3" s="315"/>
      <c r="G3" s="20"/>
    </row>
    <row r="4" spans="1:16" ht="6.75" customHeight="1">
      <c r="A4" s="37"/>
      <c r="B4" s="37"/>
      <c r="C4" s="37"/>
      <c r="D4" s="37"/>
      <c r="E4" s="37"/>
      <c r="F4" s="37"/>
    </row>
    <row r="5" spans="1:16">
      <c r="A5" s="267" t="s">
        <v>266</v>
      </c>
      <c r="B5" s="267"/>
      <c r="C5" s="267"/>
      <c r="D5" s="267"/>
      <c r="E5" s="267"/>
      <c r="F5" s="267"/>
    </row>
    <row r="6" spans="1:16" ht="7.5" customHeight="1"/>
    <row r="7" spans="1:16" ht="15" customHeight="1">
      <c r="A7" s="268" t="s">
        <v>15</v>
      </c>
      <c r="B7" s="269" t="s">
        <v>267</v>
      </c>
      <c r="C7" s="269" t="s">
        <v>268</v>
      </c>
      <c r="D7" s="270" t="s">
        <v>269</v>
      </c>
      <c r="E7" s="270"/>
      <c r="F7" s="270"/>
    </row>
    <row r="8" spans="1:16" s="16" customFormat="1">
      <c r="A8" s="268"/>
      <c r="B8" s="269"/>
      <c r="C8" s="269"/>
      <c r="D8" s="17" t="s">
        <v>270</v>
      </c>
      <c r="E8" s="17" t="s">
        <v>271</v>
      </c>
      <c r="F8" s="17" t="s">
        <v>272</v>
      </c>
    </row>
    <row r="9" spans="1:16">
      <c r="A9" s="18">
        <v>1</v>
      </c>
      <c r="B9" s="33">
        <f>'График аннуитет.'!B8</f>
        <v>45754</v>
      </c>
      <c r="C9" s="34">
        <f>IF('Общие данные'!$B$77='Общие данные'!$C$77,'График дифференц'!C8,IF('Общие данные'!$B$77='Общие данные'!$D$77,'График аннуитет.'!C8))</f>
        <v>27000000</v>
      </c>
      <c r="D9" s="34">
        <f>IF('Общие данные'!$B$77='Общие данные'!$C$77,'График дифференц'!D8,IF('Общие данные'!$B$77='Общие данные'!$D$77,'График аннуитет.'!D8))</f>
        <v>750000</v>
      </c>
      <c r="E9" s="34">
        <f>IF('Общие данные'!$B$77='Общие данные'!$C$77,'График дифференц'!E8,IF('Общие данные'!$B$77='Общие данные'!$D$77,'График аннуитет.'!E8))</f>
        <v>1198356.1199999999</v>
      </c>
      <c r="F9" s="34">
        <f>IF('Общие данные'!$B$77='Общие данные'!$C$77,'График дифференц'!F8,IF('Общие данные'!$B$77='Общие данные'!$D$77,'График аннуитет.'!F8))</f>
        <v>1948356.1199999999</v>
      </c>
    </row>
    <row r="10" spans="1:16">
      <c r="A10" s="18">
        <v>2</v>
      </c>
      <c r="B10" s="33">
        <f>'График аннуитет.'!B9</f>
        <v>45782</v>
      </c>
      <c r="C10" s="34">
        <f>IF('Общие данные'!$B$77='Общие данные'!$C$77,'График дифференц'!C9,IF('Общие данные'!$B$77='Общие данные'!$D$77,'График аннуитет.'!C9))</f>
        <v>26250000</v>
      </c>
      <c r="D10" s="34">
        <f>IF('Общие данные'!$B$77='Общие данные'!$C$77,'График дифференц'!D9,IF('Общие данные'!$B$77='Общие данные'!$D$77,'График аннуитет.'!D9))</f>
        <v>750000</v>
      </c>
      <c r="E10" s="34">
        <f>IF('Общие данные'!$B$77='Общие данные'!$C$77,'График дифференц'!E9,IF('Общие данные'!$B$77='Общие данные'!$D$77,'График аннуитет.'!E9))</f>
        <v>1208219.04</v>
      </c>
      <c r="F10" s="34">
        <f>IF('Общие данные'!$B$77='Общие данные'!$C$77,'График дифференц'!F9,IF('Общие данные'!$B$77='Общие данные'!$D$77,'График аннуитет.'!F9))</f>
        <v>1958219.04</v>
      </c>
    </row>
    <row r="11" spans="1:16">
      <c r="A11" s="18">
        <v>3</v>
      </c>
      <c r="B11" s="33">
        <f>'График аннуитет.'!B10</f>
        <v>45813</v>
      </c>
      <c r="C11" s="34">
        <f>IF('Общие данные'!$B$77='Общие данные'!$C$77,'График дифференц'!C10,IF('Общие данные'!$B$77='Общие данные'!$D$77,'График аннуитет.'!C10))</f>
        <v>25500000</v>
      </c>
      <c r="D11" s="34">
        <f>IF('Общие данные'!$B$77='Общие данные'!$C$77,'График дифференц'!D10,IF('Общие данные'!$B$77='Общие данные'!$D$77,'График аннуитет.'!D10))</f>
        <v>750000</v>
      </c>
      <c r="E11" s="34">
        <f>IF('Общие данные'!$B$77='Общие данные'!$C$77,'График дифференц'!E10,IF('Общие данные'!$B$77='Общие данные'!$D$77,'График аннуитет.'!E10))</f>
        <v>1299452.1099999999</v>
      </c>
      <c r="F11" s="34">
        <f>IF('Общие данные'!$B$77='Общие данные'!$C$77,'График дифференц'!F10,IF('Общие данные'!$B$77='Общие данные'!$D$77,'График аннуитет.'!F10))</f>
        <v>2049452.1099999999</v>
      </c>
    </row>
    <row r="12" spans="1:16">
      <c r="A12" s="18">
        <v>4</v>
      </c>
      <c r="B12" s="33">
        <f>'График аннуитет.'!B11</f>
        <v>45845</v>
      </c>
      <c r="C12" s="34">
        <f>IF('Общие данные'!$B$77='Общие данные'!$C$77,'График дифференц'!C11,IF('Общие данные'!$B$77='Общие данные'!$D$77,'График аннуитет.'!C11))</f>
        <v>24750000</v>
      </c>
      <c r="D12" s="34">
        <f>IF('Общие данные'!$B$77='Общие данные'!$C$77,'График дифференц'!D11,IF('Общие данные'!$B$77='Общие данные'!$D$77,'График аннуитет.'!D11))</f>
        <v>750000</v>
      </c>
      <c r="E12" s="34">
        <f>IF('Общие данные'!$B$77='Общие данные'!$C$77,'График дифференц'!E11,IF('Общие данные'!$B$77='Общие данные'!$D$77,'График аннуитет.'!E11))</f>
        <v>1301917.76</v>
      </c>
      <c r="F12" s="34">
        <f>IF('Общие данные'!$B$77='Общие данные'!$C$77,'График дифференц'!F11,IF('Общие данные'!$B$77='Общие данные'!$D$77,'График аннуитет.'!F11))</f>
        <v>2051917.76</v>
      </c>
      <c r="H12" s="313" t="s">
        <v>378</v>
      </c>
      <c r="I12" s="313"/>
      <c r="J12" s="313"/>
      <c r="K12" s="313"/>
      <c r="L12" s="313"/>
      <c r="M12" s="313"/>
      <c r="N12" s="313"/>
      <c r="O12" s="313"/>
      <c r="P12" s="313"/>
    </row>
    <row r="13" spans="1:16">
      <c r="A13" s="18">
        <v>5</v>
      </c>
      <c r="B13" s="33">
        <f>'График аннуитет.'!B12</f>
        <v>45874</v>
      </c>
      <c r="C13" s="34">
        <f>IF('Общие данные'!$B$77='Общие данные'!$C$77,'График дифференц'!C12,IF('Общие данные'!$B$77='Общие данные'!$D$77,'График аннуитет.'!C12))</f>
        <v>24000000</v>
      </c>
      <c r="D13" s="34">
        <f>IF('Общие данные'!$B$77='Общие данные'!$C$77,'График дифференц'!D12,IF('Общие данные'!$B$77='Общие данные'!$D$77,'График аннуитет.'!D12))</f>
        <v>750000</v>
      </c>
      <c r="E13" s="34">
        <f>IF('Общие данные'!$B$77='Общие данные'!$C$77,'График дифференц'!E12,IF('Общие данные'!$B$77='Общие данные'!$D$77,'График аннуитет.'!E12))</f>
        <v>1144109.4500000002</v>
      </c>
      <c r="F13" s="34">
        <f>IF('Общие данные'!$B$77='Общие данные'!$C$77,'График дифференц'!F12,IF('Общие данные'!$B$77='Общие данные'!$D$77,'График аннуитет.'!F12))</f>
        <v>1894109.4500000002</v>
      </c>
      <c r="H13" s="313"/>
      <c r="I13" s="313"/>
      <c r="J13" s="313"/>
      <c r="K13" s="313"/>
      <c r="L13" s="313"/>
      <c r="M13" s="313"/>
      <c r="N13" s="313"/>
      <c r="O13" s="313"/>
      <c r="P13" s="313"/>
    </row>
    <row r="14" spans="1:16">
      <c r="A14" s="18">
        <v>6</v>
      </c>
      <c r="B14" s="33">
        <f>'График аннуитет.'!B13</f>
        <v>45905</v>
      </c>
      <c r="C14" s="34">
        <f>IF('Общие данные'!$B$77='Общие данные'!$C$77,'График дифференц'!C13,IF('Общие данные'!$B$77='Общие данные'!$D$77,'График аннуитет.'!C13))</f>
        <v>23250000</v>
      </c>
      <c r="D14" s="34">
        <f>IF('Общие данные'!$B$77='Общие данные'!$C$77,'График дифференц'!D13,IF('Общие данные'!$B$77='Общие данные'!$D$77,'График аннуитет.'!D13))</f>
        <v>750000</v>
      </c>
      <c r="E14" s="34">
        <f>IF('Общие данные'!$B$77='Общие данные'!$C$77,'График дифференц'!E13,IF('Общие данные'!$B$77='Общие данные'!$D$77,'График аннуитет.'!E13))</f>
        <v>1184794.58</v>
      </c>
      <c r="F14" s="34">
        <f>IF('Общие данные'!$B$77='Общие данные'!$C$77,'График дифференц'!F13,IF('Общие данные'!$B$77='Общие данные'!$D$77,'График аннуитет.'!F13))</f>
        <v>1934794.58</v>
      </c>
      <c r="H14" s="313"/>
      <c r="I14" s="313"/>
      <c r="J14" s="313"/>
      <c r="K14" s="313"/>
      <c r="L14" s="313"/>
      <c r="M14" s="313"/>
      <c r="N14" s="313"/>
      <c r="O14" s="313"/>
      <c r="P14" s="313"/>
    </row>
    <row r="15" spans="1:16">
      <c r="A15" s="18">
        <v>7</v>
      </c>
      <c r="B15" s="33">
        <f>'График аннуитет.'!B14</f>
        <v>45936</v>
      </c>
      <c r="C15" s="34">
        <f>IF('Общие данные'!$B$77='Общие данные'!$C$77,'График дифференц'!C14,IF('Общие данные'!$B$77='Общие данные'!$D$77,'График аннуитет.'!C14))</f>
        <v>22500000</v>
      </c>
      <c r="D15" s="34">
        <f>IF('Общие данные'!$B$77='Общие данные'!$C$77,'График дифференц'!D14,IF('Общие данные'!$B$77='Общие данные'!$D$77,'График аннуитет.'!D14))</f>
        <v>750000</v>
      </c>
      <c r="E15" s="34">
        <f>IF('Общие данные'!$B$77='Общие данные'!$C$77,'График дифференц'!E14,IF('Общие данные'!$B$77='Общие данные'!$D$77,'График аннуитет.'!E14))</f>
        <v>1146575.3</v>
      </c>
      <c r="F15" s="34">
        <f>IF('Общие данные'!$B$77='Общие данные'!$C$77,'График дифференц'!F14,IF('Общие данные'!$B$77='Общие данные'!$D$77,'График аннуитет.'!F14))</f>
        <v>1896575.3</v>
      </c>
      <c r="H15" s="313"/>
      <c r="I15" s="313"/>
      <c r="J15" s="313"/>
      <c r="K15" s="313"/>
      <c r="L15" s="313"/>
      <c r="M15" s="313"/>
      <c r="N15" s="313"/>
      <c r="O15" s="313"/>
      <c r="P15" s="313"/>
    </row>
    <row r="16" spans="1:16">
      <c r="A16" s="18">
        <v>8</v>
      </c>
      <c r="B16" s="33">
        <f>'График аннуитет.'!B15</f>
        <v>45966</v>
      </c>
      <c r="C16" s="34">
        <f>IF('Общие данные'!$B$77='Общие данные'!$C$77,'График дифференц'!C15,IF('Общие данные'!$B$77='Общие данные'!$D$77,'График аннуитет.'!C15))</f>
        <v>21750000</v>
      </c>
      <c r="D16" s="34">
        <f>IF('Общие данные'!$B$77='Общие данные'!$C$77,'График дифференц'!D15,IF('Общие данные'!$B$77='Общие данные'!$D$77,'График аннуитет.'!D15))</f>
        <v>750000</v>
      </c>
      <c r="E16" s="34">
        <f>IF('Общие данные'!$B$77='Общие данные'!$C$77,'График дифференц'!E15,IF('Общие данные'!$B$77='Общие данные'!$D$77,'График аннуитет.'!E15))</f>
        <v>1072602.5999999999</v>
      </c>
      <c r="F16" s="34">
        <f>IF('Общие данные'!$B$77='Общие данные'!$C$77,'График дифференц'!F15,IF('Общие данные'!$B$77='Общие данные'!$D$77,'График аннуитет.'!F15))</f>
        <v>1822602.5999999999</v>
      </c>
      <c r="H16" s="313"/>
      <c r="I16" s="313"/>
      <c r="J16" s="313"/>
      <c r="K16" s="313"/>
      <c r="L16" s="313"/>
      <c r="M16" s="313"/>
      <c r="N16" s="313"/>
      <c r="O16" s="313"/>
      <c r="P16" s="313"/>
    </row>
    <row r="17" spans="1:16">
      <c r="A17" s="18">
        <v>9</v>
      </c>
      <c r="B17" s="33">
        <f>'График аннуитет.'!B16</f>
        <v>45996</v>
      </c>
      <c r="C17" s="34">
        <f>IF('Общие данные'!$B$77='Общие данные'!$C$77,'График дифференц'!C16,IF('Общие данные'!$B$77='Общие данные'!$D$77,'График аннуитет.'!C16))</f>
        <v>21000000</v>
      </c>
      <c r="D17" s="34">
        <f>IF('Общие данные'!$B$77='Общие данные'!$C$77,'График дифференц'!D16,IF('Общие данные'!$B$77='Общие данные'!$D$77,'График аннуитет.'!D16))</f>
        <v>750000</v>
      </c>
      <c r="E17" s="34">
        <f>IF('Общие данные'!$B$77='Общие данные'!$C$77,'График дифференц'!E16,IF('Общие данные'!$B$77='Общие данные'!$D$77,'График аннуитет.'!E16))</f>
        <v>1035616.5000000001</v>
      </c>
      <c r="F17" s="34">
        <f>IF('Общие данные'!$B$77='Общие данные'!$C$77,'График дифференц'!F16,IF('Общие данные'!$B$77='Общие данные'!$D$77,'График аннуитет.'!F16))</f>
        <v>1785616.5</v>
      </c>
      <c r="H17" s="313"/>
      <c r="I17" s="313"/>
      <c r="J17" s="313"/>
      <c r="K17" s="313"/>
      <c r="L17" s="313"/>
      <c r="M17" s="313"/>
      <c r="N17" s="313"/>
      <c r="O17" s="313"/>
      <c r="P17" s="313"/>
    </row>
    <row r="18" spans="1:16">
      <c r="A18" s="18">
        <v>10</v>
      </c>
      <c r="B18" s="33">
        <f>'График аннуитет.'!B17</f>
        <v>46027</v>
      </c>
      <c r="C18" s="34">
        <f>IF('Общие данные'!$B$77='Общие данные'!$C$77,'График дифференц'!C17,IF('Общие данные'!$B$77='Общие данные'!$D$77,'График аннуитет.'!C17))</f>
        <v>20250000</v>
      </c>
      <c r="D18" s="34">
        <f>IF('Общие данные'!$B$77='Общие данные'!$C$77,'График дифференц'!D17,IF('Общие данные'!$B$77='Общие данные'!$D$77,'График аннуитет.'!D17))</f>
        <v>750000</v>
      </c>
      <c r="E18" s="34">
        <f>IF('Общие данные'!$B$77='Общие данные'!$C$77,'График дифференц'!E17,IF('Общие данные'!$B$77='Общие данные'!$D$77,'График аннуитет.'!E17))</f>
        <v>1031917.7699999999</v>
      </c>
      <c r="F18" s="34">
        <f>IF('Общие данные'!$B$77='Общие данные'!$C$77,'График дифференц'!F17,IF('Общие данные'!$B$77='Общие данные'!$D$77,'График аннуитет.'!F17))</f>
        <v>1781917.77</v>
      </c>
      <c r="H18" s="313"/>
      <c r="I18" s="313"/>
      <c r="J18" s="313"/>
      <c r="K18" s="313"/>
      <c r="L18" s="313"/>
      <c r="M18" s="313"/>
      <c r="N18" s="313"/>
      <c r="O18" s="313"/>
      <c r="P18" s="313"/>
    </row>
    <row r="19" spans="1:16">
      <c r="A19" s="18">
        <v>11</v>
      </c>
      <c r="B19" s="33">
        <f>'График аннуитет.'!B18</f>
        <v>46058</v>
      </c>
      <c r="C19" s="34">
        <f>IF('Общие данные'!$B$77='Общие данные'!$C$77,'График дифференц'!C18,IF('Общие данные'!$B$77='Общие данные'!$D$77,'График аннуитет.'!C18))</f>
        <v>19500000</v>
      </c>
      <c r="D19" s="34">
        <f>IF('Общие данные'!$B$77='Общие данные'!$C$77,'График дифференц'!D18,IF('Общие данные'!$B$77='Общие данные'!$D$77,'График аннуитет.'!D18))</f>
        <v>750000</v>
      </c>
      <c r="E19" s="34">
        <f>IF('Общие данные'!$B$77='Общие данные'!$C$77,'График дифференц'!E18,IF('Общие данные'!$B$77='Общие данные'!$D$77,'График аннуитет.'!E18))</f>
        <v>993698.49</v>
      </c>
      <c r="F19" s="34">
        <f>IF('Общие данные'!$B$77='Общие данные'!$C$77,'График дифференц'!F18,IF('Общие данные'!$B$77='Общие данные'!$D$77,'График аннуитет.'!F18))</f>
        <v>1743698.49</v>
      </c>
      <c r="H19" s="313"/>
      <c r="I19" s="313"/>
      <c r="J19" s="313"/>
      <c r="K19" s="313"/>
      <c r="L19" s="313"/>
      <c r="M19" s="313"/>
      <c r="N19" s="313"/>
      <c r="O19" s="313"/>
      <c r="P19" s="313"/>
    </row>
    <row r="20" spans="1:16">
      <c r="A20" s="18">
        <v>12</v>
      </c>
      <c r="B20" s="33">
        <f>'График аннуитет.'!B19</f>
        <v>46086</v>
      </c>
      <c r="C20" s="34">
        <f>IF('Общие данные'!$B$77='Общие данные'!$C$77,'График дифференц'!C19,IF('Общие данные'!$B$77='Общие данные'!$D$77,'График аннуитет.'!C19))</f>
        <v>18750000</v>
      </c>
      <c r="D20" s="34">
        <f>IF('Общие данные'!$B$77='Общие данные'!$C$77,'График дифференц'!D19,IF('Общие данные'!$B$77='Общие данные'!$D$77,'График аннуитет.'!D19))</f>
        <v>750000</v>
      </c>
      <c r="E20" s="34">
        <f>IF('Общие данные'!$B$77='Общие данные'!$C$77,'График дифференц'!E19,IF('Общие данные'!$B$77='Общие данные'!$D$77,'График аннуитет.'!E19))</f>
        <v>863013.76</v>
      </c>
      <c r="F20" s="34">
        <f>IF('Общие данные'!$B$77='Общие данные'!$C$77,'График дифференц'!F19,IF('Общие данные'!$B$77='Общие данные'!$D$77,'График аннуитет.'!F19))</f>
        <v>1613013.76</v>
      </c>
      <c r="H20" s="313"/>
      <c r="I20" s="313"/>
      <c r="J20" s="313"/>
      <c r="K20" s="313"/>
      <c r="L20" s="313"/>
      <c r="M20" s="313"/>
      <c r="N20" s="313"/>
      <c r="O20" s="313"/>
      <c r="P20" s="313"/>
    </row>
    <row r="21" spans="1:16">
      <c r="A21" s="18">
        <v>13</v>
      </c>
      <c r="B21" s="33">
        <f>'График аннуитет.'!B20</f>
        <v>46118</v>
      </c>
      <c r="C21" s="34">
        <f>IF('Общие данные'!$B$77='Общие данные'!$C$77,'График дифференц'!C20,IF('Общие данные'!$B$77='Общие данные'!$D$77,'График аннуитет.'!C20))</f>
        <v>18000000</v>
      </c>
      <c r="D21" s="34">
        <f>IF('Общие данные'!$B$77='Общие данные'!$C$77,'График дифференц'!D20,IF('Общие данные'!$B$77='Общие данные'!$D$77,'График аннуитет.'!D20))</f>
        <v>750000</v>
      </c>
      <c r="E21" s="34">
        <f>IF('Общие данные'!$B$77='Общие данные'!$C$77,'График дифференц'!E20,IF('Общие данные'!$B$77='Общие данные'!$D$77,'График аннуитет.'!E20))</f>
        <v>946849.28000000003</v>
      </c>
      <c r="F21" s="34">
        <f>IF('Общие данные'!$B$77='Общие данные'!$C$77,'График дифференц'!F20,IF('Общие данные'!$B$77='Общие данные'!$D$77,'График аннуитет.'!F20))</f>
        <v>1696849.28</v>
      </c>
      <c r="H21" s="313"/>
      <c r="I21" s="313"/>
      <c r="J21" s="313"/>
      <c r="K21" s="313"/>
      <c r="L21" s="313"/>
      <c r="M21" s="313"/>
      <c r="N21" s="313"/>
      <c r="O21" s="313"/>
      <c r="P21" s="313"/>
    </row>
    <row r="22" spans="1:16">
      <c r="A22" s="18">
        <v>14</v>
      </c>
      <c r="B22" s="33">
        <f>'График аннуитет.'!B21</f>
        <v>46147</v>
      </c>
      <c r="C22" s="34">
        <f>IF('Общие данные'!$B$77='Общие данные'!$C$77,'График дифференц'!C21,IF('Общие данные'!$B$77='Общие данные'!$D$77,'График аннуитет.'!C21))</f>
        <v>17250000</v>
      </c>
      <c r="D22" s="34">
        <f>IF('Общие данные'!$B$77='Общие данные'!$C$77,'График дифференц'!D21,IF('Общие данные'!$B$77='Общие данные'!$D$77,'График аннуитет.'!D21))</f>
        <v>750000</v>
      </c>
      <c r="E22" s="34">
        <f>IF('Общие данные'!$B$77='Общие данные'!$C$77,'График дифференц'!E21,IF('Общие данные'!$B$77='Общие данные'!$D$77,'График аннуитет.'!E21))</f>
        <v>822328.64</v>
      </c>
      <c r="F22" s="34">
        <f>IF('Общие данные'!$B$77='Общие данные'!$C$77,'График дифференц'!F21,IF('Общие данные'!$B$77='Общие данные'!$D$77,'График аннуитет.'!F21))</f>
        <v>1572328.6400000001</v>
      </c>
      <c r="H22" s="313"/>
      <c r="I22" s="313"/>
      <c r="J22" s="313"/>
      <c r="K22" s="313"/>
      <c r="L22" s="313"/>
      <c r="M22" s="313"/>
      <c r="N22" s="313"/>
      <c r="O22" s="313"/>
      <c r="P22" s="313"/>
    </row>
    <row r="23" spans="1:16">
      <c r="A23" s="18">
        <v>15</v>
      </c>
      <c r="B23" s="33">
        <f>'График аннуитет.'!B22</f>
        <v>46178</v>
      </c>
      <c r="C23" s="34">
        <f>IF('Общие данные'!$B$77='Общие данные'!$C$77,'График дифференц'!C22,IF('Общие данные'!$B$77='Общие данные'!$D$77,'График аннуитет.'!C22))</f>
        <v>16500000</v>
      </c>
      <c r="D23" s="34">
        <f>IF('Общие данные'!$B$77='Общие данные'!$C$77,'График дифференц'!D22,IF('Общие данные'!$B$77='Общие данные'!$D$77,'График аннуитет.'!D22))</f>
        <v>750000</v>
      </c>
      <c r="E23" s="34">
        <f>IF('Общие данные'!$B$77='Общие данные'!$C$77,'График дифференц'!E22,IF('Общие данные'!$B$77='Общие данные'!$D$77,'График аннуитет.'!E22))</f>
        <v>840821.99</v>
      </c>
      <c r="F23" s="34">
        <f>IF('Общие данные'!$B$77='Общие данные'!$C$77,'График дифференц'!F22,IF('Общие данные'!$B$77='Общие данные'!$D$77,'График аннуитет.'!F22))</f>
        <v>1590821.99</v>
      </c>
      <c r="H23" s="313"/>
      <c r="I23" s="313"/>
      <c r="J23" s="313"/>
      <c r="K23" s="313"/>
      <c r="L23" s="313"/>
      <c r="M23" s="313"/>
      <c r="N23" s="313"/>
      <c r="O23" s="313"/>
      <c r="P23" s="313"/>
    </row>
    <row r="24" spans="1:16">
      <c r="A24" s="18">
        <v>16</v>
      </c>
      <c r="B24" s="33">
        <f>'График аннуитет.'!B23</f>
        <v>46209</v>
      </c>
      <c r="C24" s="34">
        <f>IF('Общие данные'!$B$77='Общие данные'!$C$77,'График дифференц'!C23,IF('Общие данные'!$B$77='Общие данные'!$D$77,'График аннуитет.'!C23))</f>
        <v>15750000</v>
      </c>
      <c r="D24" s="34">
        <f>IF('Общие данные'!$B$77='Общие данные'!$C$77,'График дифференц'!D23,IF('Общие данные'!$B$77='Общие данные'!$D$77,'График аннуитет.'!D23))</f>
        <v>750000</v>
      </c>
      <c r="E24" s="34">
        <f>IF('Общие данные'!$B$77='Общие данные'!$C$77,'График дифференц'!E23,IF('Общие данные'!$B$77='Общие данные'!$D$77,'График аннуитет.'!E23))</f>
        <v>802602.71</v>
      </c>
      <c r="F24" s="34">
        <f>IF('Общие данные'!$B$77='Общие данные'!$C$77,'График дифференц'!F23,IF('Общие данные'!$B$77='Общие данные'!$D$77,'График аннуитет.'!F23))</f>
        <v>1552602.71</v>
      </c>
      <c r="H24" s="313"/>
      <c r="I24" s="313"/>
      <c r="J24" s="313"/>
      <c r="K24" s="313"/>
      <c r="L24" s="313"/>
      <c r="M24" s="313"/>
      <c r="N24" s="313"/>
      <c r="O24" s="313"/>
      <c r="P24" s="313"/>
    </row>
    <row r="25" spans="1:16" ht="16.5" customHeight="1">
      <c r="A25" s="18">
        <v>17</v>
      </c>
      <c r="B25" s="33">
        <f>'График аннуитет.'!B24</f>
        <v>46239</v>
      </c>
      <c r="C25" s="34">
        <f>IF('Общие данные'!$B$77='Общие данные'!$C$77,'График дифференц'!C24,IF('Общие данные'!$B$77='Общие данные'!$D$77,'График аннуитет.'!C24))</f>
        <v>15000000</v>
      </c>
      <c r="D25" s="34">
        <f>IF('Общие данные'!$B$77='Общие данные'!$C$77,'График дифференц'!D24,IF('Общие данные'!$B$77='Общие данные'!$D$77,'График аннуитет.'!D24))</f>
        <v>750000</v>
      </c>
      <c r="E25" s="34">
        <f>IF('Общие данные'!$B$77='Общие данные'!$C$77,'График дифференц'!E24,IF('Общие данные'!$B$77='Общие данные'!$D$77,'График аннуитет.'!E24))</f>
        <v>739725.89999999991</v>
      </c>
      <c r="F25" s="34">
        <f>IF('Общие данные'!$B$77='Общие данные'!$C$77,'График дифференц'!F24,IF('Общие данные'!$B$77='Общие данные'!$D$77,'График аннуитет.'!F24))</f>
        <v>1489725.9</v>
      </c>
    </row>
    <row r="26" spans="1:16">
      <c r="A26" s="18">
        <v>18</v>
      </c>
      <c r="B26" s="33">
        <f>'График аннуитет.'!B25</f>
        <v>46272</v>
      </c>
      <c r="C26" s="34">
        <f>IF('Общие данные'!$B$77='Общие данные'!$C$77,'График дифференц'!C25,IF('Общие данные'!$B$77='Общие данные'!$D$77,'График аннуитет.'!C25))</f>
        <v>14250000</v>
      </c>
      <c r="D26" s="34">
        <f>IF('Общие данные'!$B$77='Общие данные'!$C$77,'График дифференц'!D25,IF('Общие данные'!$B$77='Общие данные'!$D$77,'График аннуитет.'!D25))</f>
        <v>750000</v>
      </c>
      <c r="E26" s="34">
        <f>IF('Общие данные'!$B$77='Общие данные'!$C$77,'График дифференц'!E25,IF('Общие данные'!$B$77='Общие данные'!$D$77,'График аннуитет.'!E25))</f>
        <v>773013.78</v>
      </c>
      <c r="F26" s="34">
        <f>IF('Общие данные'!$B$77='Общие данные'!$C$77,'График дифференц'!F25,IF('Общие данные'!$B$77='Общие данные'!$D$77,'График аннуитет.'!F25))</f>
        <v>1523013.78</v>
      </c>
    </row>
    <row r="27" spans="1:16">
      <c r="A27" s="18">
        <f>1+A26</f>
        <v>19</v>
      </c>
      <c r="B27" s="33">
        <f>'График аннуитет.'!B26</f>
        <v>46300</v>
      </c>
      <c r="C27" s="34">
        <f>IF('Общие данные'!$B$77='Общие данные'!$C$77,'График дифференц'!C26,IF('Общие данные'!$B$77='Общие данные'!$D$77,'График аннуитет.'!C26))</f>
        <v>13500000</v>
      </c>
      <c r="D27" s="34">
        <f>IF('Общие данные'!$B$77='Общие данные'!$C$77,'График дифференц'!D26,IF('Общие данные'!$B$77='Общие данные'!$D$77,'График аннуитет.'!D26))</f>
        <v>750000</v>
      </c>
      <c r="E27" s="34">
        <f>IF('Общие данные'!$B$77='Общие данные'!$C$77,'График дифференц'!E26,IF('Общие данные'!$B$77='Общие данные'!$D$77,'График аннуитет.'!E26))</f>
        <v>621369.84</v>
      </c>
      <c r="F27" s="34">
        <f>IF('Общие данные'!$B$77='Общие данные'!$C$77,'График дифференц'!F26,IF('Общие данные'!$B$77='Общие данные'!$D$77,'График аннуитет.'!F26))</f>
        <v>1371369.8399999999</v>
      </c>
    </row>
    <row r="28" spans="1:16">
      <c r="A28" s="18">
        <f t="shared" ref="A28:A43" si="0">1+A27</f>
        <v>20</v>
      </c>
      <c r="B28" s="33">
        <f>'График аннуитет.'!B27</f>
        <v>46331</v>
      </c>
      <c r="C28" s="34">
        <f>IF('Общие данные'!$B$77='Общие данные'!$C$77,'График дифференц'!C27,IF('Общие данные'!$B$77='Общие данные'!$D$77,'График аннуитет.'!C27))</f>
        <v>12750000</v>
      </c>
      <c r="D28" s="34">
        <f>IF('Общие данные'!$B$77='Общие данные'!$C$77,'График дифференц'!D27,IF('Общие данные'!$B$77='Общие данные'!$D$77,'График аннуитет.'!D27))</f>
        <v>750000</v>
      </c>
      <c r="E28" s="34">
        <f>IF('Общие данные'!$B$77='Общие данные'!$C$77,'График дифференц'!E27,IF('Общие данные'!$B$77='Общие данные'!$D$77,'График аннуитет.'!E27))</f>
        <v>649725.9</v>
      </c>
      <c r="F28" s="34">
        <f>IF('Общие данные'!$B$77='Общие данные'!$C$77,'График дифференц'!F27,IF('Общие данные'!$B$77='Общие данные'!$D$77,'График аннуитет.'!F27))</f>
        <v>1399725.9</v>
      </c>
    </row>
    <row r="29" spans="1:16">
      <c r="A29" s="18">
        <f t="shared" si="0"/>
        <v>21</v>
      </c>
      <c r="B29" s="33">
        <f>'График аннуитет.'!B28</f>
        <v>46363</v>
      </c>
      <c r="C29" s="34">
        <f>IF('Общие данные'!$B$77='Общие данные'!$C$77,'График дифференц'!C28,IF('Общие данные'!$B$77='Общие данные'!$D$77,'График аннуитет.'!C28))</f>
        <v>12000000</v>
      </c>
      <c r="D29" s="34">
        <f>IF('Общие данные'!$B$77='Общие данные'!$C$77,'График дифференц'!D28,IF('Общие данные'!$B$77='Общие данные'!$D$77,'График аннуитет.'!D28))</f>
        <v>750000</v>
      </c>
      <c r="E29" s="34">
        <f>IF('Общие данные'!$B$77='Общие данные'!$C$77,'График дифференц'!E28,IF('Общие данные'!$B$77='Общие данные'!$D$77,'График аннуитет.'!E28))</f>
        <v>631232.96</v>
      </c>
      <c r="F29" s="34">
        <f>IF('Общие данные'!$B$77='Общие данные'!$C$77,'График дифференц'!F28,IF('Общие данные'!$B$77='Общие данные'!$D$77,'График аннуитет.'!F28))</f>
        <v>1381232.96</v>
      </c>
    </row>
    <row r="30" spans="1:16">
      <c r="A30" s="18">
        <f t="shared" si="0"/>
        <v>22</v>
      </c>
      <c r="B30" s="33">
        <f>'График аннуитет.'!B29</f>
        <v>46392</v>
      </c>
      <c r="C30" s="34">
        <f>IF('Общие данные'!$B$77='Общие данные'!$C$77,'График дифференц'!C29,IF('Общие данные'!$B$77='Общие данные'!$D$77,'График аннуитет.'!C29))</f>
        <v>11250000</v>
      </c>
      <c r="D30" s="34">
        <f>IF('Общие данные'!$B$77='Общие данные'!$C$77,'График дифференц'!D29,IF('Общие данные'!$B$77='Общие данные'!$D$77,'График аннуитет.'!D29))</f>
        <v>750000</v>
      </c>
      <c r="E30" s="34">
        <f>IF('Общие данные'!$B$77='Общие данные'!$C$77,'График дифференц'!E29,IF('Общие данные'!$B$77='Общие данные'!$D$77,'График аннуитет.'!E29))</f>
        <v>536301.35000000009</v>
      </c>
      <c r="F30" s="34">
        <f>IF('Общие данные'!$B$77='Общие данные'!$C$77,'График дифференц'!F29,IF('Общие данные'!$B$77='Общие данные'!$D$77,'График аннуитет.'!F29))</f>
        <v>1286301.3500000001</v>
      </c>
    </row>
    <row r="31" spans="1:16">
      <c r="A31" s="18">
        <f t="shared" si="0"/>
        <v>23</v>
      </c>
      <c r="B31" s="33">
        <f>'График аннуитет.'!B30</f>
        <v>46423</v>
      </c>
      <c r="C31" s="34">
        <f>IF('Общие данные'!$B$77='Общие данные'!$C$77,'График дифференц'!C30,IF('Общие данные'!$B$77='Общие данные'!$D$77,'График аннуитет.'!C30))</f>
        <v>10500000</v>
      </c>
      <c r="D31" s="34">
        <f>IF('Общие данные'!$B$77='Общие данные'!$C$77,'График дифференц'!D30,IF('Общие данные'!$B$77='Общие данные'!$D$77,'График аннуитет.'!D30))</f>
        <v>750000</v>
      </c>
      <c r="E31" s="34">
        <f>IF('Общие данные'!$B$77='Общие данные'!$C$77,'График дифференц'!E30,IF('Общие данные'!$B$77='Общие данные'!$D$77,'График аннуитет.'!E30))</f>
        <v>535068.37</v>
      </c>
      <c r="F31" s="34">
        <f>IF('Общие данные'!$B$77='Общие данные'!$C$77,'График дифференц'!F30,IF('Общие данные'!$B$77='Общие данные'!$D$77,'График аннуитет.'!F30))</f>
        <v>1285068.3700000001</v>
      </c>
    </row>
    <row r="32" spans="1:16">
      <c r="A32" s="18">
        <f t="shared" si="0"/>
        <v>24</v>
      </c>
      <c r="B32" s="33">
        <f>'График аннуитет.'!B31</f>
        <v>46451</v>
      </c>
      <c r="C32" s="34">
        <f>IF('Общие данные'!$B$77='Общие данные'!$C$77,'График дифференц'!C31,IF('Общие данные'!$B$77='Общие данные'!$D$77,'График аннуитет.'!C31))</f>
        <v>9750000</v>
      </c>
      <c r="D32" s="34">
        <f>IF('Общие данные'!$B$77='Общие данные'!$C$77,'График дифференц'!D31,IF('Общие данные'!$B$77='Общие данные'!$D$77,'График аннуитет.'!D31))</f>
        <v>750000</v>
      </c>
      <c r="E32" s="34">
        <f>IF('Общие данные'!$B$77='Общие данные'!$C$77,'График дифференц'!E31,IF('Общие данные'!$B$77='Общие данные'!$D$77,'График аннуитет.'!E31))</f>
        <v>448767.2</v>
      </c>
      <c r="F32" s="34">
        <f>IF('Общие данные'!$B$77='Общие данные'!$C$77,'График дифференц'!F31,IF('Общие данные'!$B$77='Общие данные'!$D$77,'График аннуитет.'!F31))</f>
        <v>1198767.2</v>
      </c>
    </row>
    <row r="33" spans="1:6">
      <c r="A33" s="18">
        <f t="shared" si="0"/>
        <v>25</v>
      </c>
      <c r="B33" s="33">
        <f>IF('График аннуитет.'!B32=FALSE,"",'График аннуитет.'!B32)</f>
        <v>46482</v>
      </c>
      <c r="C33" s="34">
        <f>IF('Общие данные'!$B$77='Общие данные'!$C$77,'График дифференц'!C32,IF('Общие данные'!$B$77='Общие данные'!$D$77,'График аннуитет.'!C32))</f>
        <v>9000000</v>
      </c>
      <c r="D33" s="34">
        <f>IF('Общие данные'!$B$77='Общие данные'!$C$77,'График дифференц'!D32,IF('Общие данные'!$B$77='Общие данные'!$D$77,'График аннуитет.'!D32))</f>
        <v>750000</v>
      </c>
      <c r="E33" s="34">
        <f>IF('Общие данные'!$B$77='Общие данные'!$C$77,'График дифференц'!E32,IF('Общие данные'!$B$77='Общие данные'!$D$77,'График аннуитет.'!E32))</f>
        <v>458630.12</v>
      </c>
      <c r="F33" s="34">
        <f>IF('Общие данные'!$B$77='Общие данные'!$C$77,'График дифференц'!F32,IF('Общие данные'!$B$77='Общие данные'!$D$77,'График аннуитет.'!F32))</f>
        <v>1208630.1200000001</v>
      </c>
    </row>
    <row r="34" spans="1:6">
      <c r="A34" s="18">
        <f t="shared" si="0"/>
        <v>26</v>
      </c>
      <c r="B34" s="33">
        <f>IF('График аннуитет.'!B33=FALSE,"",'График аннуитет.'!B33)</f>
        <v>46512</v>
      </c>
      <c r="C34" s="34">
        <f>IF('Общие данные'!$B$77='Общие данные'!$C$77,'График дифференц'!C33,IF('Общие данные'!$B$77='Общие данные'!$D$77,'График аннуитет.'!C33))</f>
        <v>8250000</v>
      </c>
      <c r="D34" s="34">
        <f>IF('Общие данные'!$B$77='Общие данные'!$C$77,'График дифференц'!D33,IF('Общие данные'!$B$77='Общие данные'!$D$77,'График аннуитет.'!D33))</f>
        <v>750000</v>
      </c>
      <c r="E34" s="34">
        <f>IF('Общие данные'!$B$77='Общие данные'!$C$77,'График дифференц'!E33,IF('Общие данные'!$B$77='Общие данные'!$D$77,'График аннуитет.'!E33))</f>
        <v>406849.19999999995</v>
      </c>
      <c r="F34" s="34">
        <f>IF('Общие данные'!$B$77='Общие данные'!$C$77,'График дифференц'!F33,IF('Общие данные'!$B$77='Общие данные'!$D$77,'График аннуитет.'!F33))</f>
        <v>1156849.2</v>
      </c>
    </row>
    <row r="35" spans="1:6">
      <c r="A35" s="18">
        <f t="shared" si="0"/>
        <v>27</v>
      </c>
      <c r="B35" s="33">
        <f>IF('График аннуитет.'!B34=FALSE,"",'График аннуитет.'!B34)</f>
        <v>46545</v>
      </c>
      <c r="C35" s="34">
        <f>IF('Общие данные'!$B$77='Общие данные'!$C$77,'График дифференц'!C34,IF('Общие данные'!$B$77='Общие данные'!$D$77,'График аннуитет.'!C34))</f>
        <v>7500000</v>
      </c>
      <c r="D35" s="34">
        <f>IF('Общие данные'!$B$77='Общие данные'!$C$77,'График дифференц'!D34,IF('Общие данные'!$B$77='Общие данные'!$D$77,'График аннуитет.'!D34))</f>
        <v>750000</v>
      </c>
      <c r="E35" s="34">
        <f>IF('Общие данные'!$B$77='Общие данные'!$C$77,'График дифференц'!E34,IF('Общие данные'!$B$77='Общие данные'!$D$77,'График аннуитет.'!E34))</f>
        <v>406849.41000000003</v>
      </c>
      <c r="F35" s="34">
        <f>IF('Общие данные'!$B$77='Общие данные'!$C$77,'График дифференц'!F34,IF('Общие данные'!$B$77='Общие данные'!$D$77,'График аннуитет.'!F34))</f>
        <v>1156849.4100000001</v>
      </c>
    </row>
    <row r="36" spans="1:6">
      <c r="A36" s="18">
        <f t="shared" si="0"/>
        <v>28</v>
      </c>
      <c r="B36" s="33">
        <f>IF('График аннуитет.'!B35=FALSE,"",'График аннуитет.'!B35)</f>
        <v>46573</v>
      </c>
      <c r="C36" s="34">
        <f>IF('Общие данные'!$B$77='Общие данные'!$C$77,'График дифференц'!C35,IF('Общие данные'!$B$77='Общие данные'!$D$77,'График аннуитет.'!C35))</f>
        <v>6750000</v>
      </c>
      <c r="D36" s="34">
        <f>IF('Общие данные'!$B$77='Общие данные'!$C$77,'График дифференц'!D35,IF('Общие данные'!$B$77='Общие данные'!$D$77,'График аннуитет.'!D35))</f>
        <v>750000</v>
      </c>
      <c r="E36" s="34">
        <f>IF('Общие данные'!$B$77='Общие данные'!$C$77,'График дифференц'!E35,IF('Общие данные'!$B$77='Общие данные'!$D$77,'График аннуитет.'!E35))</f>
        <v>310684.92</v>
      </c>
      <c r="F36" s="34">
        <f>IF('Общие данные'!$B$77='Общие данные'!$C$77,'График дифференц'!F35,IF('Общие данные'!$B$77='Общие данные'!$D$77,'График аннуитет.'!F35))</f>
        <v>1060684.92</v>
      </c>
    </row>
    <row r="37" spans="1:6">
      <c r="A37" s="18">
        <f t="shared" si="0"/>
        <v>29</v>
      </c>
      <c r="B37" s="33">
        <f>IF('График аннуитет.'!B36=FALSE,"",'График аннуитет.'!B36)</f>
        <v>46604</v>
      </c>
      <c r="C37" s="34">
        <f>IF('Общие данные'!$B$77='Общие данные'!$C$77,'График дифференц'!C36,IF('Общие данные'!$B$77='Общие данные'!$D$77,'График аннуитет.'!C36))</f>
        <v>6000000</v>
      </c>
      <c r="D37" s="34">
        <f>IF('Общие данные'!$B$77='Общие данные'!$C$77,'График дифференц'!D36,IF('Общие данные'!$B$77='Общие данные'!$D$77,'График аннуитет.'!D36))</f>
        <v>750000</v>
      </c>
      <c r="E37" s="34">
        <f>IF('Общие данные'!$B$77='Общие данные'!$C$77,'График дифференц'!E36,IF('Общие данные'!$B$77='Общие данные'!$D$77,'График аннуитет.'!E36))</f>
        <v>305753.31</v>
      </c>
      <c r="F37" s="34">
        <f>IF('Общие данные'!$B$77='Общие данные'!$C$77,'График дифференц'!F36,IF('Общие данные'!$B$77='Общие данные'!$D$77,'График аннуитет.'!F36))</f>
        <v>1055753.31</v>
      </c>
    </row>
    <row r="38" spans="1:6">
      <c r="A38" s="18">
        <f t="shared" si="0"/>
        <v>30</v>
      </c>
      <c r="B38" s="33">
        <f>IF('График аннуитет.'!B37=FALSE,"",'График аннуитет.'!B37)</f>
        <v>46636</v>
      </c>
      <c r="C38" s="34">
        <f>IF('Общие данные'!$B$77='Общие данные'!$C$77,'График дифференц'!C37,IF('Общие данные'!$B$77='Общие данные'!$D$77,'График аннуитет.'!C37))</f>
        <v>5250000</v>
      </c>
      <c r="D38" s="34">
        <f>IF('Общие данные'!$B$77='Общие данные'!$C$77,'График дифференц'!D37,IF('Общие данные'!$B$77='Общие данные'!$D$77,'График аннуитет.'!D37))</f>
        <v>750000</v>
      </c>
      <c r="E38" s="34">
        <f>IF('Общие данные'!$B$77='Общие данные'!$C$77,'График дифференц'!E37,IF('Общие данные'!$B$77='Общие данные'!$D$77,'График аннуитет.'!E37))</f>
        <v>276164.47999999998</v>
      </c>
      <c r="F38" s="34">
        <f>IF('Общие данные'!$B$77='Общие данные'!$C$77,'График дифференц'!F37,IF('Общие данные'!$B$77='Общие данные'!$D$77,'График аннуитет.'!F37))</f>
        <v>1026164.48</v>
      </c>
    </row>
    <row r="39" spans="1:6">
      <c r="A39" s="18">
        <f t="shared" si="0"/>
        <v>31</v>
      </c>
      <c r="B39" s="33">
        <f>IF('График аннуитет.'!B38=FALSE,"",'График аннуитет.'!B38)</f>
        <v>46665</v>
      </c>
      <c r="C39" s="34">
        <f>IF('Общие данные'!$B$77='Общие данные'!$C$77,'График дифференц'!C38,IF('Общие данные'!$B$77='Общие данные'!$D$77,'График аннуитет.'!C38))</f>
        <v>4500000</v>
      </c>
      <c r="D39" s="34">
        <f>IF('Общие данные'!$B$77='Общие данные'!$C$77,'График дифференц'!D38,IF('Общие данные'!$B$77='Общие данные'!$D$77,'График аннуитет.'!D38))</f>
        <v>750000</v>
      </c>
      <c r="E39" s="34">
        <f>IF('Общие данные'!$B$77='Общие данные'!$C$77,'График дифференц'!E38,IF('Общие данные'!$B$77='Общие данные'!$D$77,'График аннуитет.'!E38))</f>
        <v>214520.54</v>
      </c>
      <c r="F39" s="34">
        <f>IF('Общие данные'!$B$77='Общие данные'!$C$77,'График дифференц'!F38,IF('Общие данные'!$B$77='Общие данные'!$D$77,'График аннуитет.'!F38))</f>
        <v>964520.54</v>
      </c>
    </row>
    <row r="40" spans="1:6">
      <c r="A40" s="18">
        <f t="shared" si="0"/>
        <v>32</v>
      </c>
      <c r="B40" s="33">
        <f>IF('График аннуитет.'!B39=FALSE,"",'График аннуитет.'!B39)</f>
        <v>46696</v>
      </c>
      <c r="C40" s="34">
        <f>IF('Общие данные'!$B$77='Общие данные'!$C$77,'График дифференц'!C39,IF('Общие данные'!$B$77='Общие данные'!$D$77,'График аннуитет.'!C39))</f>
        <v>3750000</v>
      </c>
      <c r="D40" s="34">
        <f>IF('Общие данные'!$B$77='Общие данные'!$C$77,'График дифференц'!D39,IF('Общие данные'!$B$77='Общие данные'!$D$77,'График аннуитет.'!D39))</f>
        <v>750000</v>
      </c>
      <c r="E40" s="34">
        <f>IF('Общие данные'!$B$77='Общие данные'!$C$77,'График дифференц'!E39,IF('Общие данные'!$B$77='Общие данные'!$D$77,'График аннуитет.'!E39))</f>
        <v>191095.78</v>
      </c>
      <c r="F40" s="34">
        <f>IF('Общие данные'!$B$77='Общие данные'!$C$77,'График дифференц'!F39,IF('Общие данные'!$B$77='Общие данные'!$D$77,'График аннуитет.'!F39))</f>
        <v>941095.78</v>
      </c>
    </row>
    <row r="41" spans="1:6">
      <c r="A41" s="18">
        <f t="shared" si="0"/>
        <v>33</v>
      </c>
      <c r="B41" s="33">
        <f>IF('График аннуитет.'!B40=FALSE,"",'График аннуитет.'!B40)</f>
        <v>46727</v>
      </c>
      <c r="C41" s="34">
        <f>IF('Общие данные'!$B$77='Общие данные'!$C$77,'График дифференц'!C40,IF('Общие данные'!$B$77='Общие данные'!$D$77,'График аннуитет.'!C40))</f>
        <v>3000000</v>
      </c>
      <c r="D41" s="34">
        <f>IF('Общие данные'!$B$77='Общие данные'!$C$77,'График дифференц'!D40,IF('Общие данные'!$B$77='Общие данные'!$D$77,'График аннуитет.'!D40))</f>
        <v>750000</v>
      </c>
      <c r="E41" s="34">
        <f>IF('Общие данные'!$B$77='Общие данные'!$C$77,'График дифференц'!E40,IF('Общие данные'!$B$77='Общие данные'!$D$77,'График аннуитет.'!E40))</f>
        <v>152876.81</v>
      </c>
      <c r="F41" s="34">
        <f>IF('Общие данные'!$B$77='Общие данные'!$C$77,'График дифференц'!F40,IF('Общие данные'!$B$77='Общие данные'!$D$77,'График аннуитет.'!F40))</f>
        <v>902876.81</v>
      </c>
    </row>
    <row r="42" spans="1:6">
      <c r="A42" s="18">
        <f t="shared" si="0"/>
        <v>34</v>
      </c>
      <c r="B42" s="33">
        <f>IF('График аннуитет.'!B41=FALSE,"",'График аннуитет.'!B41)</f>
        <v>46757</v>
      </c>
      <c r="C42" s="34">
        <f>IF('Общие данные'!$B$77='Общие данные'!$C$77,'График дифференц'!C41,IF('Общие данные'!$B$77='Общие данные'!$D$77,'График аннуитет.'!C41))</f>
        <v>2250000</v>
      </c>
      <c r="D42" s="34">
        <f>IF('Общие данные'!$B$77='Общие данные'!$C$77,'График дифференц'!D41,IF('Общие данные'!$B$77='Общие данные'!$D$77,'График аннуитет.'!D41))</f>
        <v>750000</v>
      </c>
      <c r="E42" s="34">
        <f>IF('Общие данные'!$B$77='Общие данные'!$C$77,'График дифференц'!E41,IF('Общие данные'!$B$77='Общие данные'!$D$77,'График аннуитет.'!E41))</f>
        <v>110655.6</v>
      </c>
      <c r="F42" s="34">
        <f>IF('Общие данные'!$B$77='Общие данные'!$C$77,'График дифференц'!F41,IF('Общие данные'!$B$77='Общие данные'!$D$77,'График аннуитет.'!F41))</f>
        <v>860655.6</v>
      </c>
    </row>
    <row r="43" spans="1:6" ht="13.5" customHeight="1">
      <c r="A43" s="18">
        <f t="shared" si="0"/>
        <v>35</v>
      </c>
      <c r="B43" s="33">
        <f>IF('График аннуитет.'!B42=FALSE,"",'График аннуитет.'!B42)</f>
        <v>46790</v>
      </c>
      <c r="C43" s="34">
        <f>IF('Общие данные'!$B$77='Общие данные'!$C$77,'График дифференц'!C42,IF('Общие данные'!$B$77='Общие данные'!$D$77,'График аннуитет.'!C42))</f>
        <v>1500000</v>
      </c>
      <c r="D43" s="34">
        <f>IF('Общие данные'!$B$77='Общие данные'!$C$77,'График дифференц'!D42,IF('Общие данные'!$B$77='Общие данные'!$D$77,'График аннуитет.'!D42))</f>
        <v>750000</v>
      </c>
      <c r="E43" s="34">
        <f>IF('Общие данные'!$B$77='Общие данные'!$C$77,'График дифференц'!E42,IF('Общие данные'!$B$77='Общие данные'!$D$77,'График аннуитет.'!E42))</f>
        <v>81147.66</v>
      </c>
      <c r="F43" s="34">
        <f>IF('Общие данные'!$B$77='Общие данные'!$C$77,'График дифференц'!F42,IF('Общие данные'!$B$77='Общие данные'!$D$77,'График аннуитет.'!F42))</f>
        <v>831147.66</v>
      </c>
    </row>
    <row r="44" spans="1:6" ht="15.75" customHeight="1">
      <c r="A44" s="18">
        <f>1+A43</f>
        <v>36</v>
      </c>
      <c r="B44" s="33">
        <f>IF('График аннуитет.'!B43=FALSE,"",'График аннуитет.'!B43)</f>
        <v>46823</v>
      </c>
      <c r="C44" s="34">
        <f>IF('Общие данные'!$B$77='Общие данные'!$C$77,'График дифференц'!C43,IF('Общие данные'!$B$77='Общие данные'!$D$77,'График аннуитет.'!C43))</f>
        <v>750000</v>
      </c>
      <c r="D44" s="34">
        <f>IF('Общие данные'!$B$77='Общие данные'!$C$77,'График дифференц'!D43,IF('Общие данные'!$B$77='Общие данные'!$D$77,'График аннуитет.'!D43))</f>
        <v>750000</v>
      </c>
      <c r="E44" s="34">
        <f>IF('Общие данные'!$B$77='Общие данные'!$C$77,'График дифференц'!E43,IF('Общие данные'!$B$77='Общие данные'!$D$77,'График аннуитет.'!E43))</f>
        <v>40573.83</v>
      </c>
      <c r="F44" s="34">
        <f>IF('Общие данные'!$B$77='Общие данные'!$C$77,'График дифференц'!F43,IF('Общие данные'!$B$77='Общие данные'!$D$77,'График аннуитет.'!F43))</f>
        <v>790573.83</v>
      </c>
    </row>
    <row r="45" spans="1:6" ht="15" customHeight="1">
      <c r="A45" s="46"/>
      <c r="B45" s="47" t="s">
        <v>210</v>
      </c>
      <c r="C45" s="48"/>
      <c r="D45" s="48">
        <f>SUM(D9:D44)</f>
        <v>27000000</v>
      </c>
      <c r="E45" s="48">
        <f t="shared" ref="E45:F45" si="1">SUM(E9:E44)</f>
        <v>24783883.060000002</v>
      </c>
      <c r="F45" s="48">
        <f t="shared" si="1"/>
        <v>51783883.06000001</v>
      </c>
    </row>
    <row r="46" spans="1:6" ht="14.25" customHeight="1">
      <c r="B46" s="35"/>
      <c r="C46" s="36"/>
      <c r="D46" s="36"/>
      <c r="E46" s="36"/>
      <c r="F46" s="36"/>
    </row>
    <row r="47" spans="1:6" ht="47.25" customHeight="1">
      <c r="A47" s="236" t="str">
        <f>"*"&amp;'Общие данные'!C64&amp;" bo‘yicha to‘lovlar to‘lov jadvalida ko‘rsatilmagan sanalarda to‘langan taqdirda, to‘lov summasi mikroqarz shartnomasining 2.2.-bandiga muvofiq "&amp;'Общие данные'!B65&amp;"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36"/>
      <c r="C47" s="236"/>
      <c r="D47" s="236"/>
      <c r="E47" s="236"/>
      <c r="F47" s="236"/>
    </row>
    <row r="48" spans="1:6" ht="7.5" customHeight="1"/>
    <row r="49" spans="1:6" ht="15" customHeight="1">
      <c r="A49" s="264" t="s">
        <v>273</v>
      </c>
      <c r="B49" s="264"/>
      <c r="C49" s="264"/>
      <c r="D49" s="264" t="s">
        <v>281</v>
      </c>
      <c r="E49" s="264"/>
      <c r="F49" s="264"/>
    </row>
    <row r="50" spans="1:6" ht="11.25" customHeight="1">
      <c r="A50" s="265"/>
      <c r="B50" s="265"/>
      <c r="C50" s="265"/>
      <c r="D50" s="265"/>
      <c r="E50" s="265"/>
      <c r="F50" s="265"/>
    </row>
    <row r="51" spans="1:6" ht="30" customHeight="1">
      <c r="A51" s="263" t="str">
        <f>договор!A117</f>
        <v>«CLEVER MIKROMOLIYA TASHKILOTI» MChJ</v>
      </c>
      <c r="B51" s="263"/>
      <c r="C51" s="263"/>
      <c r="D51" s="263" t="str">
        <f>договор!B117</f>
        <v>NUTFULLAYEV AKBARJON AXMEDOVICH</v>
      </c>
      <c r="E51" s="263"/>
      <c r="F51" s="263"/>
    </row>
    <row r="52" spans="1:6" ht="39" customHeight="1">
      <c r="A52" s="259" t="str">
        <f>договор!A119</f>
        <v>Manzil: Toshkent shahri, Olmazor tumani, Sagbon ko'chasi, 30 boshi berk, 6-uy</v>
      </c>
      <c r="B52" s="259"/>
      <c r="C52" s="259"/>
      <c r="D52" s="259" t="str">
        <f>договор!B119</f>
        <v>Manzil: BUXORO VILOYATI BUXORO SHAHAR TADBIRKOR KO'CHASI 12-UY</v>
      </c>
      <c r="E52" s="259"/>
      <c r="F52" s="259"/>
    </row>
    <row r="53" spans="1:6" ht="15" customHeight="1">
      <c r="A53" s="259" t="str">
        <f>договор!A120</f>
        <v>h/r: №20216000705068380001</v>
      </c>
      <c r="B53" s="259"/>
      <c r="C53" s="259"/>
      <c r="D53" s="259" t="str">
        <f>договор!B121</f>
        <v>pasport seriyasi: AA 9481167, BUXORO VILOYATI BUXORO SHAHAR IIB tomonidan 24.04.2015 yilda berilgan</v>
      </c>
      <c r="E53" s="259"/>
      <c r="F53" s="259"/>
    </row>
    <row r="54" spans="1:6" ht="32.25" customHeight="1">
      <c r="A54" s="259" t="str">
        <f>договор!A121</f>
        <v>MFO: №01042 в ATB “Kapitalbank” Sergeli filiali</v>
      </c>
      <c r="B54" s="259"/>
      <c r="C54" s="259"/>
      <c r="D54" s="259"/>
      <c r="E54" s="259"/>
      <c r="F54" s="259"/>
    </row>
    <row r="55" spans="1:6" ht="15" customHeight="1">
      <c r="A55" s="259" t="str">
        <f>договор!A122</f>
        <v>STIR: 306365847</v>
      </c>
      <c r="B55" s="259"/>
      <c r="C55" s="259"/>
      <c r="D55" s="259" t="str">
        <f>договор!B122</f>
        <v>Tel: 91 408 76 67  UZI</v>
      </c>
      <c r="E55" s="259"/>
      <c r="F55" s="259"/>
    </row>
    <row r="56" spans="1:6" ht="15" customHeight="1">
      <c r="A56" s="259" t="str">
        <f>договор!A123</f>
        <v>Tel: (78) 113 31 33</v>
      </c>
      <c r="B56" s="259"/>
      <c r="C56" s="259"/>
      <c r="D56" s="259" t="str">
        <f>договор!B123</f>
        <v>88 305 76 67 AYOLI</v>
      </c>
      <c r="E56" s="259"/>
      <c r="F56" s="259"/>
    </row>
    <row r="57" spans="1:6" ht="15" customHeight="1">
      <c r="A57" s="259" t="str">
        <f>договор!A124</f>
        <v>(78) 113 31 34</v>
      </c>
      <c r="B57" s="259"/>
      <c r="C57" s="259"/>
      <c r="D57" s="259" t="str">
        <f>договор!B124</f>
        <v>88 870 76 67 AKASI</v>
      </c>
      <c r="E57" s="259"/>
      <c r="F57" s="259"/>
    </row>
    <row r="58" spans="1:6" ht="23.25" customHeight="1">
      <c r="A58" s="259"/>
      <c r="B58" s="259"/>
      <c r="C58" s="259"/>
      <c r="D58" s="259" t="str">
        <f>IF(договор!B125=0,"",договор!B125)</f>
        <v/>
      </c>
      <c r="E58" s="259"/>
      <c r="F58" s="259"/>
    </row>
    <row r="59" spans="1:6" ht="29.25" customHeight="1">
      <c r="A59" s="314" t="str">
        <f>'Общие данные'!A161</f>
        <v>Olmaliq filiali boshlig'i</v>
      </c>
      <c r="B59" s="314"/>
      <c r="C59" s="314"/>
      <c r="D59" s="263" t="str">
        <f>договор!B127</f>
        <v>NUTFULLAYEV A.A.     __________________</v>
      </c>
      <c r="E59" s="263"/>
      <c r="F59" s="263"/>
    </row>
    <row r="60" spans="1:6" ht="15" customHeight="1">
      <c r="A60" s="259"/>
      <c r="B60" s="259"/>
      <c r="C60" s="259"/>
      <c r="D60" s="263"/>
      <c r="E60" s="263"/>
      <c r="F60" s="263"/>
    </row>
    <row r="61" spans="1:6">
      <c r="A61" s="314" t="str">
        <f>договор!A129</f>
        <v>V. Yerjanov     __________________</v>
      </c>
      <c r="B61" s="314"/>
      <c r="C61" s="314"/>
      <c r="D61" s="263"/>
      <c r="E61" s="263"/>
      <c r="F61" s="263"/>
    </row>
    <row r="62" spans="1:6" ht="8.25" customHeight="1">
      <c r="A62" s="259"/>
      <c r="B62" s="259"/>
      <c r="C62" s="259"/>
      <c r="D62" s="259"/>
      <c r="E62" s="259"/>
      <c r="F62" s="259"/>
    </row>
    <row r="63" spans="1:6" ht="30" customHeight="1">
      <c r="A63" s="260"/>
      <c r="B63" s="260"/>
      <c r="C63" s="260"/>
      <c r="D63" s="261"/>
      <c r="E63" s="261"/>
      <c r="F63" s="261"/>
    </row>
    <row r="64" spans="1:6">
      <c r="A64" s="262"/>
      <c r="B64" s="262"/>
      <c r="C64" s="262"/>
      <c r="D64" s="262"/>
      <c r="E64" s="262"/>
      <c r="F64" s="262"/>
    </row>
    <row r="65" spans="1:6">
      <c r="A65" s="258"/>
      <c r="B65" s="258"/>
      <c r="C65" s="258"/>
      <c r="D65" s="258"/>
      <c r="E65" s="258"/>
      <c r="F65" s="258"/>
    </row>
  </sheetData>
  <mergeCells count="42">
    <mergeCell ref="E2:F2"/>
    <mergeCell ref="A5:F5"/>
    <mergeCell ref="A7:A8"/>
    <mergeCell ref="B7:B8"/>
    <mergeCell ref="C7:C8"/>
    <mergeCell ref="D7:F7"/>
    <mergeCell ref="E3:F3"/>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D56:F56"/>
    <mergeCell ref="A57:C57"/>
    <mergeCell ref="D57:F57"/>
    <mergeCell ref="A58:C58"/>
    <mergeCell ref="D58:F58"/>
    <mergeCell ref="H12:P24"/>
    <mergeCell ref="A65:C65"/>
    <mergeCell ref="D65:F65"/>
    <mergeCell ref="A62:C62"/>
    <mergeCell ref="D62:F62"/>
    <mergeCell ref="A63:C63"/>
    <mergeCell ref="D63:F63"/>
    <mergeCell ref="A64:C64"/>
    <mergeCell ref="D64:F64"/>
    <mergeCell ref="A59:C59"/>
    <mergeCell ref="D59:F59"/>
    <mergeCell ref="A60:C60"/>
    <mergeCell ref="D60:F60"/>
    <mergeCell ref="A61:C61"/>
    <mergeCell ref="D61:F61"/>
    <mergeCell ref="A56:C56"/>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B28"/>
  <sheetViews>
    <sheetView view="pageBreakPreview" topLeftCell="A5" zoomScaleNormal="100" zoomScaleSheetLayoutView="100" workbookViewId="0">
      <selection activeCell="A19" sqref="A19"/>
    </sheetView>
  </sheetViews>
  <sheetFormatPr defaultColWidth="0" defaultRowHeight="15.75" zeroHeight="1"/>
  <cols>
    <col min="1" max="1" width="33" style="6" customWidth="1"/>
    <col min="2" max="2" width="53.42578125" style="6" customWidth="1"/>
    <col min="3" max="16384" width="9.140625" style="6" hidden="1"/>
  </cols>
  <sheetData>
    <row r="5" spans="1:2"/>
    <row r="6" spans="1:2" ht="17.25" customHeight="1">
      <c r="B6" s="14" t="str">
        <f>'Общие данные'!B148</f>
        <v>«CLEVER MIKROMOLIYA TASHKILOTI» MChJ</v>
      </c>
    </row>
    <row r="7" spans="1:2" ht="33" customHeight="1">
      <c r="A7" s="177"/>
      <c r="B7" s="168" t="str">
        <f>""&amp;'Общие данные'!A150&amp;" "&amp;'Общие данные'!B150&amp;"ga"</f>
        <v>Olmaliq filiali boshlig'i V. Yerjanovga</v>
      </c>
    </row>
    <row r="8" spans="1:2">
      <c r="A8" s="155"/>
      <c r="B8" s="168" t="str">
        <f>""&amp;'Общие данные'!B111&amp;"dan"</f>
        <v>NUTFULLAYEV AKBARJON AXMEDOVICHdan</v>
      </c>
    </row>
    <row r="9" spans="1:2" ht="15.75" hidden="1" customHeight="1">
      <c r="B9" s="7" t="str">
        <f>'Общие данные'!B111</f>
        <v>NUTFULLAYEV AKBARJON AXMEDOVICH</v>
      </c>
    </row>
    <row r="10" spans="1:2" ht="15.75" hidden="1" customHeight="1">
      <c r="B10" s="7" t="str">
        <f>'Общие данные'!C111</f>
        <v>NUTFULLAYEV AKBARJON AXMEDOVICH</v>
      </c>
    </row>
    <row r="11" spans="1:2" ht="15.75" hidden="1" customHeight="1">
      <c r="B11" s="155" t="s">
        <v>275</v>
      </c>
    </row>
    <row r="12" spans="1:2"/>
    <row r="13" spans="1:2" ht="115.5" customHeight="1">
      <c r="A13" s="296" t="str">
        <f>IF('Общие данные'!B103="Avtotransport",A14,A15)</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3" s="296"/>
    </row>
    <row r="14" spans="1:2" ht="124.5" hidden="1" customHeight="1">
      <c r="A14" s="296"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данные'!B125&amp;", "&amp;'Общие данные'!B127&amp;", "&amp;'Общие данные'!B130&amp;", "&amp;'Общие данные'!B133&amp;", avtotransport vositasini qabul qilishingizni so’rayman:"</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4" s="296"/>
    </row>
    <row r="15" spans="1:2" ht="116.25" hidden="1" customHeight="1">
      <c r="A15" s="296"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данные'!C126&amp;", umumiy maydoni "&amp;'Общие данные'!C130&amp;" va yashash maydoni "&amp;'Общие данные'!C133&amp;"  "&amp;'Общие данные'!C123&amp;" manzilda joylashgan ko'chmas mulkni qabul qilishingizni so’rayman:"</f>
        <v>NUTFULLAYEV AKBARJON AXMEDOVICH tomonidan so’ralayotgan 36 (o'ttiz olti) oy muddatga, 27 000 000 (yigirma yetti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296"/>
    </row>
    <row r="16" spans="1:2"/>
    <row r="17" spans="1:2"/>
    <row r="18" spans="1:2">
      <c r="B18" s="7" t="s">
        <v>274</v>
      </c>
    </row>
    <row r="19" spans="1:2" ht="18.75" customHeight="1">
      <c r="A19" s="6" t="str">
        <f>IF('Общие данные'!B94='Общие данные'!C94,'Общие данные'!B112,'Общие данные'!B7)</f>
        <v>NUTFULLAYEV A.A.</v>
      </c>
      <c r="B19" s="56" t="str">
        <f>'Общие данные'!B2</f>
        <v>11.03.2025</v>
      </c>
    </row>
    <row r="20" spans="1:2" ht="71.25" customHeight="1">
      <c r="A20" s="316" t="str">
        <f>IF('Общие данные'!B94='Общие данные'!D94,CONCATENATE(A24," ",A28,A22),"")</f>
        <v/>
      </c>
      <c r="B20" s="316"/>
    </row>
    <row r="21" spans="1:2">
      <c r="A21" s="6" t="s">
        <v>27</v>
      </c>
    </row>
    <row r="22" spans="1:2" hidden="1">
      <c r="A22" s="6" t="str">
        <f>" xususiy faoliyat ko'rsatuvchi notarius tomonidan "&amp;'Общие данные'!B98&amp;" "&amp;'Общие данные'!B99&amp;" berilgan ishonchnomaga asosan "</f>
        <v xml:space="preserve"> xususiy faoliyat ko'rsatuvchi notarius tomonidan   berilgan ishonchnomaga asosan </v>
      </c>
    </row>
    <row r="24" spans="1:2" hidden="1">
      <c r="A24" s="6" t="str">
        <f>"№"&amp;'Общие данные'!B100&amp; ""</f>
        <v>№</v>
      </c>
    </row>
    <row r="25" spans="1:2" hidden="1">
      <c r="A25" s="6" t="str">
        <f>'Общие данные'!B102</f>
        <v>00.01.1900</v>
      </c>
    </row>
    <row r="26" spans="1:2" hidden="1">
      <c r="A26" s="6" t="str">
        <f>TEXT(A25,"ДД.ММ.ГГГГ")</f>
        <v>00.01.1900</v>
      </c>
    </row>
    <row r="27" spans="1:2" hidden="1">
      <c r="A27" s="6" t="s">
        <v>388</v>
      </c>
    </row>
    <row r="28" spans="1:2" hidden="1">
      <c r="A28" s="6" t="str">
        <f>CONCATENATE(A26,A27)</f>
        <v>00.01.1900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F64"/>
  <sheetViews>
    <sheetView view="pageBreakPreview" zoomScaleNormal="100" zoomScaleSheetLayoutView="100" workbookViewId="0">
      <selection activeCell="K74" sqref="K74"/>
    </sheetView>
  </sheetViews>
  <sheetFormatPr defaultColWidth="9.140625" defaultRowHeight="15" outlineLevelRow="1"/>
  <cols>
    <col min="1" max="1" width="28.42578125" style="15" customWidth="1"/>
    <col min="2" max="2" width="22.85546875" style="15" customWidth="1"/>
    <col min="3" max="3" width="22.42578125" style="15" customWidth="1"/>
    <col min="4" max="4" width="21.42578125" style="15" customWidth="1"/>
    <col min="5" max="5" width="25.140625" style="15" customWidth="1"/>
    <col min="6" max="16384" width="9.140625" style="15"/>
  </cols>
  <sheetData>
    <row r="1" spans="1:5" ht="106.5" customHeight="1"/>
    <row r="2" spans="1:5">
      <c r="A2" s="267" t="str">
        <f>"GAROV PREDMETI QIYMATINI KELISHISH 
№"&amp;'Общие данные'!B141&amp;" SONLI DALOLATNOMASI
 "</f>
        <v xml:space="preserve">GAROV PREDMETI QIYMATINI KELISHISH 
№1 SONLI DALOLATNOMASI
 </v>
      </c>
      <c r="B2" s="267"/>
      <c r="C2" s="267"/>
      <c r="D2" s="267"/>
      <c r="E2" s="267"/>
    </row>
    <row r="3" spans="1:5">
      <c r="A3" s="40"/>
      <c r="B3" s="40"/>
      <c r="C3" s="40"/>
      <c r="D3" s="40"/>
      <c r="E3" s="40"/>
    </row>
    <row r="4" spans="1:5">
      <c r="A4" s="37" t="s">
        <v>208</v>
      </c>
      <c r="B4" s="37"/>
      <c r="C4" s="37"/>
      <c r="D4" s="37"/>
      <c r="E4" s="37" t="str">
        <f>'Общие данные'!B142</f>
        <v>11 mart 2025 y.</v>
      </c>
    </row>
    <row r="5" spans="1:5" ht="9" customHeight="1">
      <c r="A5" s="236"/>
      <c r="B5" s="236"/>
      <c r="C5" s="236"/>
      <c r="D5" s="236"/>
      <c r="E5" s="236"/>
    </row>
    <row r="6" spans="1:5" ht="76.5" customHeight="1">
      <c r="A6" s="236" t="str">
        <f>IF('Общие данные'!B103="avtotransport",'Акт согласования'!A10:E10,'Акт согласования'!A7:E7)</f>
        <v>«CLEVER MIKROMOLIYA TASHKILOTI» MChJning (1-tomon) vakili bo‘lgan  Olmaliq filiali boshlig'i V. Yerjanov, O‘zbekiston Respublikasi fuqarosi va garovga beruvchi NUTFULLAYEV AKBARJON AXMEDOVICH (2-tomon) o’rtalarida, 11 mart 2025 y.dan № -AL-sonli Mikroqarz shartnomasiga muvofiq 1-tomon 2-tomonga berilgan mikroqarz bo‘yicha ta’minot sifatida taqdim etilgan, 2-tomonga mulk huquqi asosida tegishli bo‘lgan mulkning garov qiymatini kelishish muzokaralari o’tkazildi.</v>
      </c>
      <c r="B6" s="236"/>
      <c r="C6" s="236"/>
      <c r="D6" s="236"/>
      <c r="E6" s="236"/>
    </row>
    <row r="7" spans="1:5" ht="88.5" hidden="1" customHeight="1">
      <c r="A7" s="236" t="str">
        <f>IF('Общие данные'!B93="ha",'Акт согласования'!A9:E9,'Акт согласования'!A8:E8)</f>
        <v xml:space="preserve">«CLEVER MIKROMOLIYA TASHKILOTI» MChJning (1-tomon) vakili bo‘lgan  Olmaliq filiali boshlig'i V. Yerjanov, va O‘zbekiston Respublikasi fuqarosi  NUTFULLAYEV AKBARJON AXMEDOVICH (2-tomon) va garov egasi NUTFULLAYEV AKBARJON AXMEDOVICH (3-tomon) 11 mart 2025 y.dan № -AL Mikroqarz shartnomasiga muvofiq 1-tomon 2-tomonga berilgan mikroqarz bo‘yicha ta’minot sifatida taqdim etilgan, 2-tomonga mulk huquqi asosida tegishli bo‘lgan mulkning garov qiymatini kelishish muzokaralari o’tkazildi. </v>
      </c>
      <c r="B7" s="236"/>
      <c r="C7" s="236"/>
      <c r="D7" s="236"/>
      <c r="E7" s="236"/>
    </row>
    <row r="8" spans="1:5" ht="88.5" hidden="1" customHeight="1">
      <c r="A8" s="236"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Olmaliq filiali boshlig'i V. Yerjanov, va O‘zbekiston Respublikasi fuqarosi  NUTFULLAYEV AKBARJON AXMEDOVICH (2-tomon) va garov egasi NUTFULLAYEV AKBARJON AXMEDOVICH (3-tomon) 11 mart 2025 y.dan № -AL Mikroqarz shartnomasiga muvofiq 1-tomon 2-tomonga berilgan mikroqarz bo‘yicha ta’minot sifatida taqdim etilgan, 2-tomonga mulk huquqi asosida tegishli bo‘lgan mulkning garov qiymatini kelishish muzokaralari o’tkazildi. </v>
      </c>
      <c r="B8" s="236"/>
      <c r="C8" s="236"/>
      <c r="D8" s="236"/>
      <c r="E8" s="236"/>
    </row>
    <row r="9" spans="1:5" ht="88.5" hidden="1" customHeight="1">
      <c r="A9" s="236"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Olmaliq filiali boshlig'i V. Yerjanov, va O‘zbekiston Respublikasi fuqarosi  NUTFULLAYEV AKBARJON AXMEDOVICH (2-tomon) va garov egasi NUTFULLAYEV AKBARJON AXMEDOVICH (3-tomon) 11 mart 2025 y.dan № -AL Mikroqarz shartnomasiga muvofiq 1-tomon 2-tomonga berilgan mikroqarz bo‘yicha ta’minot sifatida taqdim etilgan, 2-tomonga mulk huquqi asosida tegishli bo‘lgan mulkning garov qiymatini kelishish muzokaralari o’tkazildi. </v>
      </c>
      <c r="B9" s="236"/>
      <c r="C9" s="236"/>
      <c r="D9" s="236"/>
      <c r="E9" s="236"/>
    </row>
    <row r="10" spans="1:5" ht="88.5" hidden="1" customHeight="1">
      <c r="A10" s="236" t="str">
        <f>IF('Общие данные'!B93="ha",'Акт согласования'!A12:E12,'Акт согласования'!A11:E11)</f>
        <v>«CLEVER MIKROMOLIYA TASHKILOTI» MChJning (1-tomon) vakili bo‘lgan  Olmaliq filiali boshlig'i V. Yerjanov, O‘zbekiston Respublikasi fuqarosi va garovga beruvchi NUTFULLAYEV AKBARJON AXMEDOVICH (2-tomon) o’rtalarida, 11 mart 2025 y.dan № -AL-sonli Mikroqarz shartnomasiga muvofiq 1-tomon 2-tomonga berilgan mikroqarz bo‘yicha ta’minot sifatida taqdim etilgan, 2-tomonga mulk huquqi asosida tegishli bo‘lgan mulkning garov qiymatini kelishish muzokaralari o’tkazildi.</v>
      </c>
      <c r="B10" s="236"/>
      <c r="C10" s="236"/>
      <c r="D10" s="236"/>
      <c r="E10" s="236"/>
    </row>
    <row r="11" spans="1:5" ht="88.5" hidden="1" customHeight="1">
      <c r="A11" s="236" t="str">
        <f>""&amp;'Общие данные'!B147&amp;"ning (1-tomon) vakili bo‘lgan  "&amp;'Общие данные'!A150&amp;" "&amp;'Общие данные'!B150&amp;", O‘zbekiston Respublikasi fuqarosi "&amp;'Общие данные'!B5&amp;" (2-tomon) va garovga beruvchi O‘zbekiston Respublikasi fuqarosi "&amp;'Общие данные'!B117&amp;" (3-tomon) o’rtalarida, "&amp;'Общие данные'!B74&amp;"-sonli "&amp;'Общие данные'!C64&amp;" shartnomasiga muvofiq 1-tomon 2-tomonga berilgan "&amp;'Общие данные'!B65&amp;" bo‘yicha ta’minot sifatida taqdim etilgan, 3-tomonga mulk huquqi asosida tegishli bo‘lgan mulkning garov qiymatini kelishish muzokaralari o’tkazildi."</f>
        <v>«CLEVER MIKROMOLIYA TASHKILOTI» MChJning (1-tomon) vakili bo‘lgan  Olmaliq filiali boshlig'i V. Yerjanov, O‘zbekiston Respublikasi fuqarosi NUTFULLAYEV AKBARJON AXMEDOVICH (2-tomon) va garovga beruvchi O‘zbekiston Respublikasi fuqarosi NUTFULLAYEV AKBARJON AXMEDOVICH (3-tomon) o’rtalarida, 11 mart 2025 y.dan № -AL-sonli Mikroqarz shartnomasiga muvofiq 1-tomon 2-tomonga berilgan mikroqarz bo‘yicha ta’minot sifatida taqdim etilgan, 3-tomonga mulk huquqi asosida tegishli bo‘lgan mulkning garov qiymatini kelishish muzokaralari o’tkazildi.</v>
      </c>
      <c r="B11" s="236"/>
      <c r="C11" s="236"/>
      <c r="D11" s="236"/>
      <c r="E11" s="236"/>
    </row>
    <row r="12" spans="1:5" ht="88.5" hidden="1" customHeight="1">
      <c r="A12" s="236" t="str">
        <f>""&amp;'Общие данные'!B147&amp;"ning (1-tomon) vakili bo‘lgan  "&amp;'Общие данные'!A150&amp;" "&amp;'Общие данные'!B150&amp;", O‘zbekiston Respublikasi fuqarosi va garovga beruvchi "&amp;'Общие данные'!B5&amp;" (2-tomon) o’rtalarida, "&amp;'Общие данные'!B74&amp;"-sonli "&amp;'Общие данные'!C64&amp;" shartnomasiga muvofiq 1-tomon 2-tomonga berilgan "&amp;'Общие данные'!B65&amp;" bo‘yicha ta’minot sifatida taqdim etilgan, 2-tomonga mulk huquqi asosida tegishli bo‘lgan mulkning garov qiymatini kelishish muzokaralari o’tkazildi."</f>
        <v>«CLEVER MIKROMOLIYA TASHKILOTI» MChJning (1-tomon) vakili bo‘lgan  Olmaliq filiali boshlig'i V. Yerjanov, O‘zbekiston Respublikasi fuqarosi va garovga beruvchi NUTFULLAYEV AKBARJON AXMEDOVICH (2-tomon) o’rtalarida, 11 mart 2025 y.dan № -AL-sonli Mikroqarz shartnomasiga muvofiq 1-tomon 2-tomonga berilgan mikroqarz bo‘yicha ta’minot sifatida taqdim etilgan, 2-tomonga mulk huquqi asosida tegishli bo‘lgan mulkning garov qiymatini kelishish muzokaralari o’tkazildi.</v>
      </c>
      <c r="B12" s="236"/>
      <c r="C12" s="236"/>
      <c r="D12" s="236"/>
      <c r="E12" s="236"/>
    </row>
    <row r="13" spans="1:5" ht="88.5" hidden="1" customHeight="1">
      <c r="A13" s="236" t="str">
        <f>"Garov predmeti sifatida "&amp;'Общие данные'!B125&amp;", 3-tomonga egalik huquqi tegishli bo'lgan, quyidagi tafsilotlarga ega avtotransport vositasi taqdim etiladi:"</f>
        <v>Garov predmeti sifatida CHANGAN CHANGAN SC 1027SB, 3-tomonga egalik huquqi tegishli bo'lgan, quyidagi tafsilotlarga ega avtotransport vositasi taqdim etiladi:</v>
      </c>
      <c r="B13" s="236"/>
      <c r="C13" s="236"/>
      <c r="D13" s="236"/>
      <c r="E13" s="236"/>
    </row>
    <row r="14" spans="1:5" ht="88.5" hidden="1" customHeight="1">
      <c r="A14" s="236" t="str">
        <f>"Garov predmeti sifatida "&amp;'Общие данные'!B125&amp;", 2-tomonga egalik huquqi tegishli bo'lgan, quyidagi tafsilotlarga ega avtotransport vositasi taqdim etiladi:"</f>
        <v>Garov predmeti sifatida CHANGAN CHANGAN SC 1027SB, 2-tomonga egalik huquqi tegishli bo'lgan, quyidagi tafsilotlarga ega avtotransport vositasi taqdim etiladi:</v>
      </c>
      <c r="B14" s="236"/>
      <c r="C14" s="236"/>
      <c r="D14" s="236"/>
      <c r="E14" s="236"/>
    </row>
    <row r="15" spans="1:5" ht="88.5" hidden="1" customHeight="1">
      <c r="A15" s="236" t="str">
        <f>IF('Общие данные'!B93="ha",'Акт согласования'!A14:E14,'Акт согласования'!A13:E13)</f>
        <v>Garov predmeti sifatida CHANGAN CHANGAN SC 1027SB, 2-tomonga egalik huquqi tegishli bo'lgan, quyidagi tafsilotlarga ega avtotransport vositasi taqdim etiladi:</v>
      </c>
      <c r="B15" s="236"/>
      <c r="C15" s="236"/>
      <c r="D15" s="236"/>
      <c r="E15" s="236"/>
    </row>
    <row r="16" spans="1:5" ht="88.5" hidden="1" customHeight="1">
      <c r="A16" s="236" t="str">
        <f>"Garov predmeti sifatida "&amp;'Общие данные'!C126&amp;", 2-tomonga egalik huquqi tegishli bo'lgan, quyidagi tafsilotlarga ega ko'chmas mulk taqdim etiladi:"</f>
        <v>Garov predmeti sifatida 3 - xonali yakka tartibdagi uy-joy, 2-tomonga egalik huquqi tegishli bo'lgan, quyidagi tafsilotlarga ega ko'chmas mulk taqdim etiladi:</v>
      </c>
      <c r="B16" s="236"/>
      <c r="C16" s="236"/>
      <c r="D16" s="236"/>
      <c r="E16" s="236"/>
    </row>
    <row r="17" spans="1:5" ht="13.5" hidden="1" customHeight="1">
      <c r="A17" s="236" t="str">
        <f>"Garov predmeti sifatida "&amp;'Общие данные'!C126&amp;", 3-tomonga egalik huquqi tegishli bo'lgan, quyidagi tafsilotlarga ega ko'chmas mulk taqdim etiladi:"</f>
        <v>Garov predmeti sifatida 3 - xonali yakka tartibdagi uy-joy, 3-tomonga egalik huquqi tegishli bo'lgan, quyidagi tafsilotlarga ega ko'chmas mulk taqdim etiladi:</v>
      </c>
      <c r="B17" s="236"/>
      <c r="C17" s="236"/>
      <c r="D17" s="236"/>
      <c r="E17" s="236"/>
    </row>
    <row r="18" spans="1:5" ht="11.25" hidden="1" customHeight="1">
      <c r="A18" s="236" t="str">
        <f>IF('Общие данные'!B93="ha",'Акт согласования'!A16:E16,'Акт согласования'!A17:E17)</f>
        <v>Garov predmeti sifatida 3 - xonali yakka tartibdagi uy-joy, 2-tomonga egalik huquqi tegishli bo'lgan, quyidagi tafsilotlarga ega ko'chmas mulk taqdim etiladi:</v>
      </c>
      <c r="B18" s="236"/>
      <c r="C18" s="236"/>
      <c r="D18" s="236"/>
      <c r="E18" s="236"/>
    </row>
    <row r="19" spans="1:5" ht="32.25" customHeight="1">
      <c r="A19" s="236" t="str">
        <f>IF('Общие данные'!B103="Avtotransport",'Акт согласования'!A15:E15,'Акт согласования'!A18:E18)</f>
        <v>Garov predmeti sifatida CHANGAN CHANGAN SC 1027SB, 2-tomonga egalik huquqi tegishli bo'lgan, quyidagi tafsilotlarga ega avtotransport vositasi taqdim etiladi:</v>
      </c>
      <c r="B19" s="236"/>
      <c r="C19" s="236"/>
      <c r="D19" s="236"/>
      <c r="E19" s="236"/>
    </row>
    <row r="20" spans="1:5" ht="48" customHeight="1" outlineLevel="1">
      <c r="A20" s="39" t="s">
        <v>206</v>
      </c>
      <c r="B20" s="317" t="str">
        <f>IF('Общие данные'!B103='Общие данные'!C103,"Kuzov turi  va kuzov raqami*","Foydali maydoni")</f>
        <v>Kuzov turi  va kuzov raqami*</v>
      </c>
      <c r="C20" s="318"/>
      <c r="D20" s="39" t="str">
        <f>IF('Общие данные'!B103='Общие данные'!C103,"Dvigatel va shassi raqami*","Yashash maydoni")</f>
        <v>Dvigatel va shassi raqami*</v>
      </c>
      <c r="E20" s="39" t="str">
        <f>IF('Общие данные'!B103='Общие данные'!C103,"Ishlab chiqarilgan yili va rangi**","Umumiy maydoni")</f>
        <v>Ishlab chiqarilgan yili va rangi**</v>
      </c>
    </row>
    <row r="21" spans="1:5" ht="65.25" customHeight="1" outlineLevel="1">
      <c r="A21" s="17" t="str">
        <f>IF('Общие данные'!B103='Общие данные'!C103,'Общие данные'!B125,'Общие данные'!C125)</f>
        <v>CHANGAN CHANGAN SC 1027SB</v>
      </c>
      <c r="B21" s="269" t="str">
        <f>IF('Общие данные'!B103='Общие данные'!C103,'Общие данные'!B127,CONCATENATE('Общие данные'!F130," ","kv.m"))</f>
        <v>kuzov turi - YUK BORTLI TENT, kuzov raqami LSCAB23D8EG228387</v>
      </c>
      <c r="C21" s="269"/>
      <c r="D21" s="17" t="str">
        <f>IF('Общие данные'!B103='Общие данные'!C103,'Общие данные'!B130,'Общие данные'!E133)</f>
        <v>dvigatel raqami JL466Q1%E61H022801, shassi raqami - URINDIKLAR SONI 5TA</v>
      </c>
      <c r="E21" s="17" t="str">
        <f>IF('Общие данные'!B103='Общие данные'!C103,'Общие данные'!B133,'Общие данные'!E130)</f>
        <v>rangi -  OQ BELIY, ishlab chiqarilgan yili - 2014</v>
      </c>
    </row>
    <row r="22" spans="1:5" ht="17.25" customHeight="1" outlineLevel="1">
      <c r="A22" s="236" t="str">
        <f>"-* "&amp;IF('Общие данные'!B103='Общие данные'!C103,"avtotransport "&amp;"egasi: "&amp;'Общие данные'!B117&amp;"","ko'chmas mulk"&amp;" egasi: "&amp;'Общие данные'!B117&amp;"")</f>
        <v>-* avtotransport egasi: NUTFULLAYEV AKBARJON AXMEDOVICH</v>
      </c>
      <c r="B22" s="236"/>
      <c r="C22" s="236"/>
      <c r="D22" s="236"/>
      <c r="E22" s="236"/>
    </row>
    <row r="23" spans="1:5" outlineLevel="1">
      <c r="A23" s="236" t="str">
        <f>IF('Общие данные'!B103='Общие данные'!C103,"-* texnik pasport: "&amp;'Общие данные'!B124&amp;"","-* reest raqami: "&amp;'Общие данные'!C124&amp;"")</f>
        <v>-* texnik pasport: AAG   2346592  13.09.2023y</v>
      </c>
      <c r="B23" s="236"/>
      <c r="C23" s="236"/>
      <c r="D23" s="236"/>
      <c r="E23" s="236"/>
    </row>
    <row r="24" spans="1:5" s="182" customFormat="1" outlineLevel="1">
      <c r="A24" s="236" t="str">
        <f>IF('Общие данные'!B103='Общие данные'!C103,"-* roʻyxatdan oʻtgan manzili/garaj manzili: "&amp;'Общие данные'!B122&amp;"","-*  kadastr raqami: "&amp;'Общие данные'!C127&amp;"")</f>
        <v>-* roʻyxatdan oʻtgan manzili/garaj manzili: BUXORO VILOYATI BUXORO SHAHAR TADBIRKOR KO'CHASI 12-UY</v>
      </c>
      <c r="B24" s="236"/>
      <c r="C24" s="236"/>
      <c r="D24" s="236"/>
      <c r="E24" s="236"/>
    </row>
    <row r="25" spans="1:5" ht="27" customHeight="1" outlineLevel="1">
      <c r="A25" s="236" t="str">
        <f>IF('Общие данные'!B103='Общие данные'!C103,"-* davlat raqami: "&amp;'Общие данные'!B126&amp;"","-* manzili: "&amp;'Общие данные'!C123&amp;"")</f>
        <v>-* davlat raqami: 80T312WA</v>
      </c>
      <c r="B25" s="236"/>
      <c r="C25" s="236"/>
      <c r="D25" s="236"/>
      <c r="E25" s="236"/>
    </row>
    <row r="26" spans="1:5" ht="65.25" customHeight="1">
      <c r="A26" s="236" t="str">
        <f>IF('Общие данные'!B93="ha",'Акт согласования'!A28:E28,'Акт согласования'!A27:E27)</f>
        <v>Tomonlar o’rtasida o’tkazilgan muzokaralar natijalariga ko‘ra, 2-tomon ta’minot sifatida quyidagi tafsilotlarga ega bo’lgan garov predmetini taqdim etadi, 1-tomon esa ushbu garov predmetini  11 mart 2025 y.dan № -AL Mikroqarz shartnomasi bo‘yicha berilgan mikroqarz bo‘yicha  
40 500 000,00 (qirq million besh yuz ming so'm) so’m bo‘lgan kelishilgan garov qiymatida qabul qiladi::</v>
      </c>
      <c r="B26" s="236"/>
      <c r="C26" s="236"/>
      <c r="D26" s="236"/>
      <c r="E26" s="236"/>
    </row>
    <row r="27" spans="1:5" ht="66" hidden="1" customHeight="1">
      <c r="A27" s="236" t="str">
        <f>"Tomonlar o’rtasida o’tkazilgan muzokaralar natijalariga ko‘ra, 2-tomon ta’minot sifatida quyidagi tafsilotlarga ega bo’lgan garov predmetini taqdim etadi, 1-tomon esa ushbu garov predmetini  "&amp;'Общие данные'!B74&amp;" "&amp;'Общие данные'!B65&amp;"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-AL mikroqarz shartnomasi bo‘yicha berilgan mikroqarz bo‘yicha  
40 500 000,00 (qirq million besh yuz ming so'm) so’m bo‘lgan kelishilgan garov qiymatida qabul qiladi::</v>
      </c>
      <c r="B27" s="236"/>
      <c r="C27" s="236"/>
      <c r="D27" s="236"/>
      <c r="E27" s="236"/>
    </row>
    <row r="28" spans="1:5" ht="58.5" hidden="1" customHeight="1">
      <c r="A28" s="236" t="str">
        <f>"Tomonlar o’rtasida o’tkazilgan muzokaralar natijalariga ko‘ra, 2-tomon ta’minot sifatida quyidagi tafsilotlarga ega bo’lgan garov predmetini taqdim etadi, 1-tomon esa ushbu garov predmetini  "&amp;'Общие данные'!B74&amp;" "&amp;'Общие данные'!C64&amp;"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-AL Mikroqarz shartnomasi bo‘yicha berilgan mikroqarz bo‘yicha  
40 500 000,00 (qirq million besh yuz ming so'm) so’m bo‘lgan kelishilgan garov qiymatida qabul qiladi::</v>
      </c>
      <c r="B28" s="236"/>
      <c r="C28" s="236"/>
      <c r="D28" s="236"/>
      <c r="E28" s="236"/>
    </row>
    <row r="29" spans="1:5" ht="51.75" customHeight="1" outlineLevel="1">
      <c r="A29" s="39" t="s">
        <v>206</v>
      </c>
      <c r="B29" s="39" t="str">
        <f>B20</f>
        <v>Kuzov turi  va kuzov raqami*</v>
      </c>
      <c r="C29" s="39" t="str">
        <f>D20</f>
        <v>Dvigatel va shassi raqami*</v>
      </c>
      <c r="D29" s="39" t="str">
        <f>IF('Общие данные'!B103='Общие данные'!C103,"Ishlab chiqarilgan yili va rangi*","Foydalanishga topshirilgan sanasi")</f>
        <v>Ishlab chiqarilgan yili va rangi*</v>
      </c>
      <c r="E29" s="39" t="s">
        <v>207</v>
      </c>
    </row>
    <row r="30" spans="1:5" ht="76.5" customHeight="1" outlineLevel="1">
      <c r="A30" s="17" t="str">
        <f>A21</f>
        <v>CHANGAN CHANGAN SC 1027SB</v>
      </c>
      <c r="B30" s="17" t="str">
        <f>B21</f>
        <v>kuzov turi - YUK BORTLI TENT, kuzov raqami LSCAB23D8EG228387</v>
      </c>
      <c r="C30" s="17" t="str">
        <f>D21</f>
        <v>dvigatel raqami JL466Q1%E61H022801, shassi raqami - URINDIKLAR SONI 5TA</v>
      </c>
      <c r="D30" s="17" t="str">
        <f>IF('Общие данные'!B103='Общие данные'!C103,E21,TEXT('Общие данные'!C135,"ДД.ММ.ГГГГ"))</f>
        <v>rangi -  OQ BELIY, ishlab chiqarilgan yili - 2014</v>
      </c>
      <c r="E30" s="17" t="str">
        <f>""&amp;FIXED('Общие данные'!B136,2)&amp;" 
("&amp;'Общие данные'!B137&amp;")"</f>
        <v>40 500 000,00 
(qirq million besh yuz ming so'm)</v>
      </c>
    </row>
    <row r="31" spans="1:5" ht="16.5" customHeight="1">
      <c r="A31" s="16"/>
      <c r="B31" s="16"/>
      <c r="C31" s="16"/>
      <c r="D31" s="16"/>
      <c r="E31" s="16"/>
    </row>
    <row r="32" spans="1:5" ht="56.25" hidden="1" customHeight="1" outlineLevel="1">
      <c r="A32" s="39" t="s">
        <v>5</v>
      </c>
      <c r="B32" s="39" t="s">
        <v>19</v>
      </c>
      <c r="C32" s="39" t="s">
        <v>20</v>
      </c>
      <c r="D32" s="39" t="s">
        <v>21</v>
      </c>
      <c r="E32" s="39" t="s">
        <v>6</v>
      </c>
    </row>
    <row r="33" spans="1:5" ht="15.75" hidden="1" customHeight="1" outlineLevel="1">
      <c r="A33" s="17" t="e">
        <f>#REF!</f>
        <v>#REF!</v>
      </c>
      <c r="B33" s="111" t="e">
        <f>#REF!</f>
        <v>#REF!</v>
      </c>
      <c r="C33" s="111" t="e">
        <f>#REF!</f>
        <v>#REF!</v>
      </c>
      <c r="D33" s="111" t="e">
        <f>#REF!</f>
        <v>#REF!</v>
      </c>
      <c r="E33" s="320" t="str">
        <f>""&amp;FIXED('Общие данные'!C136,2)&amp;" ("&amp;'Общие данные'!B137&amp;")"</f>
        <v>40 500 000,00 (qirq million besh yuz ming so'm)</v>
      </c>
    </row>
    <row r="34" spans="1:5" ht="15.75" hidden="1" customHeight="1" outlineLevel="1">
      <c r="A34" s="17"/>
      <c r="B34" s="111"/>
      <c r="C34" s="111"/>
      <c r="D34" s="111"/>
      <c r="E34" s="321"/>
    </row>
    <row r="35" spans="1:5" ht="15.75" hidden="1" customHeight="1" outlineLevel="1">
      <c r="A35" s="17" t="e">
        <f>#REF!</f>
        <v>#REF!</v>
      </c>
      <c r="B35" s="111" t="e">
        <f>#REF!</f>
        <v>#REF!</v>
      </c>
      <c r="C35" s="111" t="e">
        <f>#REF!</f>
        <v>#REF!</v>
      </c>
      <c r="D35" s="111" t="e">
        <f>#REF!</f>
        <v>#REF!</v>
      </c>
      <c r="E35" s="321"/>
    </row>
    <row r="36" spans="1:5" ht="15.75" hidden="1" customHeight="1" outlineLevel="1">
      <c r="A36" s="17" t="e">
        <f>#REF!</f>
        <v>#REF!</v>
      </c>
      <c r="B36" s="111" t="e">
        <f>#REF!</f>
        <v>#REF!</v>
      </c>
      <c r="C36" s="111" t="e">
        <f>#REF!</f>
        <v>#REF!</v>
      </c>
      <c r="D36" s="111" t="e">
        <f>#REF!</f>
        <v>#REF!</v>
      </c>
      <c r="E36" s="321"/>
    </row>
    <row r="37" spans="1:5" ht="15.75" hidden="1" customHeight="1" outlineLevel="1">
      <c r="A37" s="17" t="e">
        <f>#REF!</f>
        <v>#REF!</v>
      </c>
      <c r="B37" s="111" t="e">
        <f>#REF!</f>
        <v>#REF!</v>
      </c>
      <c r="C37" s="111" t="e">
        <f>#REF!</f>
        <v>#REF!</v>
      </c>
      <c r="D37" s="111" t="e">
        <f>#REF!</f>
        <v>#REF!</v>
      </c>
      <c r="E37" s="321"/>
    </row>
    <row r="38" spans="1:5" ht="15.75" hidden="1" customHeight="1" outlineLevel="1">
      <c r="A38" s="17" t="e">
        <f>#REF!</f>
        <v>#REF!</v>
      </c>
      <c r="B38" s="111" t="e">
        <f>#REF!</f>
        <v>#REF!</v>
      </c>
      <c r="C38" s="111" t="e">
        <f>#REF!</f>
        <v>#REF!</v>
      </c>
      <c r="D38" s="111" t="e">
        <f>#REF!</f>
        <v>#REF!</v>
      </c>
      <c r="E38" s="321"/>
    </row>
    <row r="39" spans="1:5" ht="15.75" hidden="1" customHeight="1" outlineLevel="1">
      <c r="A39" s="17" t="e">
        <f>#REF!</f>
        <v>#REF!</v>
      </c>
      <c r="B39" s="111" t="e">
        <f>#REF!</f>
        <v>#REF!</v>
      </c>
      <c r="C39" s="111" t="e">
        <f>#REF!</f>
        <v>#REF!</v>
      </c>
      <c r="D39" s="111" t="e">
        <f>#REF!</f>
        <v>#REF!</v>
      </c>
      <c r="E39" s="321"/>
    </row>
    <row r="40" spans="1:5" ht="15.75" hidden="1" customHeight="1" outlineLevel="1">
      <c r="A40" s="17" t="e">
        <f>#REF!</f>
        <v>#REF!</v>
      </c>
      <c r="B40" s="111" t="e">
        <f>#REF!</f>
        <v>#REF!</v>
      </c>
      <c r="C40" s="111" t="e">
        <f>#REF!</f>
        <v>#REF!</v>
      </c>
      <c r="D40" s="111" t="e">
        <f>#REF!</f>
        <v>#REF!</v>
      </c>
      <c r="E40" s="321"/>
    </row>
    <row r="41" spans="1:5" ht="15.75" hidden="1" customHeight="1" outlineLevel="1">
      <c r="A41" s="17" t="e">
        <f>#REF!</f>
        <v>#REF!</v>
      </c>
      <c r="B41" s="111" t="e">
        <f>#REF!</f>
        <v>#REF!</v>
      </c>
      <c r="C41" s="111" t="e">
        <f>#REF!</f>
        <v>#REF!</v>
      </c>
      <c r="D41" s="111" t="e">
        <f>#REF!</f>
        <v>#REF!</v>
      </c>
      <c r="E41" s="321"/>
    </row>
    <row r="42" spans="1:5" ht="15.75" hidden="1" customHeight="1" outlineLevel="1">
      <c r="A42" s="17" t="e">
        <f>#REF!</f>
        <v>#REF!</v>
      </c>
      <c r="B42" s="111" t="e">
        <f>#REF!</f>
        <v>#REF!</v>
      </c>
      <c r="C42" s="111" t="e">
        <f>#REF!</f>
        <v>#REF!</v>
      </c>
      <c r="D42" s="111" t="e">
        <f>#REF!</f>
        <v>#REF!</v>
      </c>
      <c r="E42" s="321"/>
    </row>
    <row r="43" spans="1:5" ht="15.75" hidden="1" customHeight="1" outlineLevel="1">
      <c r="A43" s="17" t="e">
        <f>#REF!</f>
        <v>#REF!</v>
      </c>
      <c r="B43" s="17" t="e">
        <f>#REF!</f>
        <v>#REF!</v>
      </c>
      <c r="C43" s="17" t="e">
        <f>#REF!</f>
        <v>#REF!</v>
      </c>
      <c r="D43" s="17" t="e">
        <f>#REF!</f>
        <v>#REF!</v>
      </c>
      <c r="E43" s="322"/>
    </row>
    <row r="44" spans="1:5" s="37" customFormat="1" ht="15.75" hidden="1" customHeight="1" outlineLevel="1">
      <c r="A44" s="39" t="e">
        <f>#REF!</f>
        <v>#REF!</v>
      </c>
      <c r="B44" s="39" t="e">
        <f>#REF!</f>
        <v>#REF!</v>
      </c>
      <c r="C44" s="39" t="e">
        <f>#REF!</f>
        <v>#REF!</v>
      </c>
      <c r="D44" s="39" t="e">
        <f>#REF!</f>
        <v>#REF!</v>
      </c>
      <c r="E44" s="39" t="str">
        <f>FIXED('Общие данные'!C136,2)</f>
        <v>40 500 000,00</v>
      </c>
    </row>
    <row r="45" spans="1:5" ht="12.75" customHeight="1" collapsed="1">
      <c r="A45" s="16"/>
      <c r="B45" s="16"/>
      <c r="C45" s="16"/>
      <c r="D45" s="16"/>
      <c r="E45" s="16"/>
    </row>
    <row r="46" spans="1:5" ht="93.75" hidden="1" customHeight="1">
      <c r="A46" s="236"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36"/>
      <c r="C46" s="236"/>
      <c r="D46" s="236"/>
      <c r="E46" s="236"/>
    </row>
    <row r="47" spans="1:5" ht="42" customHeight="1">
      <c r="A47" s="236" t="s">
        <v>211</v>
      </c>
      <c r="B47" s="236"/>
      <c r="C47" s="236"/>
      <c r="D47" s="236"/>
      <c r="E47" s="236"/>
    </row>
    <row r="48" spans="1:5" ht="35.25" customHeight="1">
      <c r="A48" s="236" t="str">
        <f>"Shunday qilib, garov predmetining kelishilgan garov qiymati  "&amp;FIXED('Общие данные'!B136)&amp;" ("&amp;'Общие данные'!B137&amp;") so‘mni tashkil etadi."</f>
        <v>Shunday qilib, garov predmetining kelishilgan garov qiymati  40 500 000,00 (qirq million besh yuz ming so'm) so‘mni tashkil etadi.</v>
      </c>
      <c r="B48" s="236"/>
      <c r="C48" s="236"/>
      <c r="D48" s="236"/>
      <c r="E48" s="236"/>
    </row>
    <row r="49" spans="1:6" ht="35.25" hidden="1" customHeight="1">
      <c r="A49" s="19"/>
      <c r="B49" s="19"/>
      <c r="C49" s="19"/>
      <c r="D49" s="19">
        <f>IF('Общие данные'!B92='Общие данные'!C92,'Общие данные'!C136,IF('Общие данные'!B92='Общие данные'!D92,'Данные для послед. Залога'!M22,0))</f>
        <v>40500000</v>
      </c>
      <c r="E49" s="19" t="str">
        <f>IF('Общие данные'!B92='Общие данные'!C92,'Общие данные'!B137,IF('Общие данные'!B92='Общие данные'!D92,'Данные для послед. Залога'!Q22,0))</f>
        <v>qirq million besh yuz ming so'm</v>
      </c>
    </row>
    <row r="50" spans="1:6">
      <c r="A50" s="314" t="s">
        <v>212</v>
      </c>
      <c r="B50" s="314"/>
      <c r="C50" s="314"/>
      <c r="D50" s="22"/>
      <c r="E50" s="22"/>
    </row>
    <row r="51" spans="1:6">
      <c r="A51" s="239" t="str">
        <f>'Общие данные'!B148</f>
        <v>«CLEVER MIKROMOLIYA TASHKILOTI» MChJ</v>
      </c>
      <c r="B51" s="239"/>
      <c r="C51" s="239"/>
      <c r="D51" s="167"/>
      <c r="E51" s="167"/>
    </row>
    <row r="52" spans="1:6" ht="15" customHeight="1">
      <c r="A52" s="239" t="str">
        <f>""&amp;'Общие данные'!A150&amp;""</f>
        <v>Olmaliq filiali boshlig'i</v>
      </c>
      <c r="B52" s="239"/>
      <c r="C52" s="239"/>
      <c r="D52" s="314" t="str">
        <f>"_______________   "&amp;'Общие данные'!B150&amp;""</f>
        <v>_______________   V. Yerjanov</v>
      </c>
      <c r="E52" s="314"/>
    </row>
    <row r="53" spans="1:6">
      <c r="A53" s="53"/>
      <c r="B53" s="53"/>
      <c r="C53" s="53"/>
      <c r="D53" s="53"/>
      <c r="E53" s="53"/>
    </row>
    <row r="54" spans="1:6">
      <c r="A54" s="314"/>
      <c r="B54" s="314"/>
      <c r="C54" s="314"/>
      <c r="D54" s="53"/>
      <c r="E54" s="53"/>
    </row>
    <row r="55" spans="1:6" hidden="1">
      <c r="A55" s="239" t="s">
        <v>47</v>
      </c>
      <c r="B55" s="239"/>
      <c r="C55" s="239"/>
      <c r="D55" s="53"/>
      <c r="E55" s="53"/>
    </row>
    <row r="56" spans="1:6" hidden="1">
      <c r="A56" s="239" t="str">
        <f>'Общие данные'!B148</f>
        <v>«CLEVER MIKROMOLIYA TASHKILOTI» MChJ</v>
      </c>
      <c r="B56" s="239"/>
      <c r="C56" s="239"/>
      <c r="D56" s="239" t="str">
        <f>"_______________   "&amp;'Общие данные'!B159&amp;""</f>
        <v>_______________   B. Mominov</v>
      </c>
      <c r="E56" s="239"/>
    </row>
    <row r="57" spans="1:6" ht="12.75" customHeight="1">
      <c r="A57" s="239"/>
      <c r="B57" s="239"/>
      <c r="C57" s="239"/>
      <c r="D57" s="239"/>
      <c r="E57" s="239"/>
    </row>
    <row r="58" spans="1:6">
      <c r="A58" s="314" t="s">
        <v>213</v>
      </c>
      <c r="B58" s="314"/>
      <c r="C58" s="314"/>
      <c r="D58" s="239"/>
      <c r="E58" s="239"/>
    </row>
    <row r="59" spans="1:6" ht="31.5" customHeight="1">
      <c r="A59" s="239" t="s">
        <v>214</v>
      </c>
      <c r="B59" s="239"/>
      <c r="C59" s="239"/>
      <c r="D59" s="314" t="str">
        <f>"_______________  "&amp;'Общие данные'!B7&amp;""</f>
        <v>_______________  NUTFULLAYEV A.A.</v>
      </c>
      <c r="E59" s="314"/>
    </row>
    <row r="60" spans="1:6" ht="12.75" customHeight="1">
      <c r="A60" s="239"/>
      <c r="B60" s="239"/>
      <c r="C60" s="239"/>
      <c r="D60" s="319" t="str">
        <f>IF('Общие данные'!B93="да","",'Общие данные'!B118)</f>
        <v>NUTFULLAYEV A.A.</v>
      </c>
      <c r="E60" s="319"/>
    </row>
    <row r="61" spans="1:6" ht="17.25" hidden="1" customHeight="1">
      <c r="A61" s="314" t="str">
        <f>+IF('Общие данные'!B93="ha"," ","3-tomondan:")</f>
        <v xml:space="preserve"> </v>
      </c>
      <c r="B61" s="314"/>
      <c r="C61" s="314"/>
      <c r="D61" s="314"/>
      <c r="E61" s="314"/>
      <c r="F61" s="15" t="str">
        <f>IF('Общие данные'!B94='Общие данные'!D94,B7,"")</f>
        <v/>
      </c>
    </row>
    <row r="62" spans="1:6" ht="17.25" hidden="1" customHeight="1">
      <c r="A62" s="239" t="str">
        <f>+IF('Общие данные'!B93="ha"," ","O'zbekiston Respublikasi fuqarosi")</f>
        <v xml:space="preserve"> </v>
      </c>
      <c r="B62" s="239"/>
      <c r="C62" s="239"/>
      <c r="D62" s="314" t="str">
        <f>"_______________  "&amp;'Общие данные'!B112&amp;""</f>
        <v>_______________  NUTFULLAYEV A.A.</v>
      </c>
      <c r="E62" s="314"/>
    </row>
    <row r="63" spans="1:6" ht="63.75" hidden="1" customHeight="1">
      <c r="A63" s="190" t="str">
        <f>IF('Общие данные'!B94='Общие данные'!C94,"_______________  "&amp;'Общие данные'!B112&amp;"","_______________  "&amp;'Общие данные'!B7&amp;"")</f>
        <v>_______________  NUTFULLAYEV A.A.</v>
      </c>
      <c r="B63" s="53"/>
      <c r="C63" s="239" t="str">
        <f>'заявление залогодателя'!A20</f>
        <v/>
      </c>
      <c r="D63" s="239"/>
      <c r="E63" s="239"/>
    </row>
    <row r="64" spans="1:6" ht="6.75" customHeight="1">
      <c r="D64" s="260"/>
      <c r="E64" s="260"/>
    </row>
  </sheetData>
  <mergeCells count="51">
    <mergeCell ref="A56:C56"/>
    <mergeCell ref="D56:E56"/>
    <mergeCell ref="A27:E27"/>
    <mergeCell ref="A50:C50"/>
    <mergeCell ref="A51:C51"/>
    <mergeCell ref="A52:C52"/>
    <mergeCell ref="D52:E52"/>
    <mergeCell ref="A46:E46"/>
    <mergeCell ref="A47:E47"/>
    <mergeCell ref="E33:E43"/>
    <mergeCell ref="A28:E28"/>
    <mergeCell ref="A48:E48"/>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7:C57"/>
    <mergeCell ref="D57:E57"/>
    <mergeCell ref="A58:C58"/>
    <mergeCell ref="D58:E58"/>
    <mergeCell ref="A59:C59"/>
    <mergeCell ref="D59:E59"/>
    <mergeCell ref="A60:C60"/>
    <mergeCell ref="D60:E60"/>
    <mergeCell ref="A61:C61"/>
    <mergeCell ref="D61:E61"/>
    <mergeCell ref="A62:C62"/>
    <mergeCell ref="D62:E62"/>
    <mergeCell ref="A14:E14"/>
    <mergeCell ref="A15:E15"/>
    <mergeCell ref="A16:E16"/>
    <mergeCell ref="A17:E17"/>
    <mergeCell ref="A18:E18"/>
    <mergeCell ref="A19:E19"/>
    <mergeCell ref="A24:E24"/>
    <mergeCell ref="B20:C20"/>
    <mergeCell ref="B21:C21"/>
    <mergeCell ref="A22:E22"/>
    <mergeCell ref="A23:E23"/>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55"/>
  <sheetViews>
    <sheetView view="pageBreakPreview" topLeftCell="A9" zoomScaleSheetLayoutView="100" workbookViewId="0">
      <selection activeCell="A51" sqref="A51:E51"/>
    </sheetView>
  </sheetViews>
  <sheetFormatPr defaultColWidth="9.140625" defaultRowHeight="15" outlineLevelRow="1"/>
  <cols>
    <col min="1" max="1" width="23.85546875" style="15" customWidth="1"/>
    <col min="2" max="2" width="23.28515625" style="15" customWidth="1"/>
    <col min="3" max="3" width="17" style="15" customWidth="1"/>
    <col min="4" max="4" width="17.5703125" style="15" customWidth="1"/>
    <col min="5" max="5" width="19.7109375" style="15" customWidth="1"/>
    <col min="6" max="16384" width="9.140625" style="15"/>
  </cols>
  <sheetData>
    <row r="3" spans="1:5" ht="16.5" customHeight="1"/>
    <row r="4" spans="1:5" ht="17.25" customHeight="1">
      <c r="A4" s="263" t="str">
        <f>""&amp;'Общие данные'!B147&amp;" ijrochi direktorining
"&amp;'Общие данные'!B165&amp;"dagi "&amp;'Общие данные'!B164&amp;"-sonli buyrug‘i"</f>
        <v>«CLEVER MIKROMOLIYA TASHKILOTI» MChJ ijrochi direktorining
11 mart 2025 y.dagi № -AL-sonli buyrug‘i</v>
      </c>
      <c r="B4" s="263"/>
      <c r="C4" s="263"/>
      <c r="D4" s="263"/>
      <c r="E4" s="263"/>
    </row>
    <row r="5" spans="1:5">
      <c r="A5" s="263"/>
      <c r="B5" s="263"/>
      <c r="C5" s="263"/>
      <c r="D5" s="263"/>
      <c r="E5" s="263"/>
    </row>
    <row r="6" spans="1:5">
      <c r="A6" s="263"/>
      <c r="B6" s="263"/>
      <c r="C6" s="263"/>
      <c r="D6" s="263"/>
      <c r="E6" s="263"/>
    </row>
    <row r="7" spans="1:5">
      <c r="A7" s="236"/>
      <c r="B7" s="236"/>
      <c r="C7" s="236"/>
      <c r="D7" s="236"/>
      <c r="E7" s="236"/>
    </row>
    <row r="8" spans="1:5" ht="53.25" customHeight="1">
      <c r="A8" s="236" t="str">
        <f>"Men, Abduraximov Nadirbek Kamilevich "&amp;'Общие данные'!B147&amp;" ijrochi direktori, jismoniy shaxs "&amp;'Общие данные'!B10&amp;"ga quyidagi shartlarda "&amp;'Общие данные'!B65&amp;" berishni buyuraman:"</f>
        <v>Men, Abduraximov Nadirbek Kamilevich «CLEVER MIKROMOLIYA TASHKILOTI» MChJ ijrochi direktori, jismoniy shaxs NUTFULLAYEV AKBARJON AXMEDOVICHga quyidagi shartlarda mikroqarz berishni buyuraman:</v>
      </c>
      <c r="B8" s="236"/>
      <c r="C8" s="236"/>
      <c r="D8" s="236"/>
      <c r="E8" s="236"/>
    </row>
    <row r="9" spans="1:5" ht="26.25" customHeight="1">
      <c r="A9" s="236" t="str">
        <f>'Кредитная заявка'!A13:D13</f>
        <v>Mikroqarz summasi: 27 000 000,00 (yigirma yetti million so'm) so'm.</v>
      </c>
      <c r="B9" s="236"/>
      <c r="C9" s="236"/>
      <c r="D9" s="236"/>
      <c r="E9" s="236"/>
    </row>
    <row r="10" spans="1:5" ht="21" customHeight="1">
      <c r="A10" s="236" t="str">
        <f>'Кредитная заявка'!A14:D14</f>
        <v>Mikroqarz muddati: 36 (o'ttiz olti) oy.</v>
      </c>
      <c r="B10" s="236"/>
      <c r="C10" s="236"/>
      <c r="D10" s="236"/>
      <c r="E10" s="236"/>
    </row>
    <row r="11" spans="1:5" ht="27" customHeight="1">
      <c r="A11" s="236" t="str">
        <f>'Кредитная заявка'!A15:D15</f>
        <v>Mikroqarzdan foydalanganlik uchun foiz stavkasi: yillik  60% (Oltmish) foiz</v>
      </c>
      <c r="B11" s="236"/>
      <c r="C11" s="236"/>
      <c r="D11" s="236"/>
      <c r="E11" s="236"/>
    </row>
    <row r="12" spans="1:5" ht="26.25" customHeight="1">
      <c r="A12" s="236" t="str">
        <f>'Кредитная заявка'!A16:D16</f>
        <v>Mikroqarz bo'yicha asosiy qarz va foizlarni to'lash:</v>
      </c>
      <c r="B12" s="236"/>
      <c r="C12" s="236"/>
      <c r="D12" s="236"/>
      <c r="E12" s="236"/>
    </row>
    <row r="13" spans="1:5" ht="21.75" hidden="1" customHeight="1">
      <c r="A13" s="236" t="str">
        <f>'Кредитная заявка'!A17:D17</f>
        <v xml:space="preserve"> - mikroqarz shartnomasi bo'yicha har oy differensial to'lovlari amalga oshiriladi</v>
      </c>
      <c r="B13" s="236"/>
      <c r="C13" s="236"/>
      <c r="D13" s="236"/>
      <c r="E13" s="236"/>
    </row>
    <row r="14" spans="1:5" hidden="1">
      <c r="A14" s="236" t="str">
        <f>'Кредитная заявка'!A19:D19</f>
        <v xml:space="preserve"> - mikroqarz shartnomasi bo'yicha har oy differensial to'lovlari amalga oshiriladi</v>
      </c>
      <c r="B14" s="236"/>
      <c r="C14" s="236"/>
      <c r="D14" s="236"/>
      <c r="E14" s="236"/>
    </row>
    <row r="15" spans="1:5" ht="23.25" customHeight="1">
      <c r="A15" s="236" t="str">
        <f>IF('Общие данные'!B103="Avtotransport",'Приказ на сделку'!A14:E14,'Приказ на сделку'!A13:E13)</f>
        <v xml:space="preserve"> - mikroqarz shartnomasi bo'yicha har oy differensial to'lovlari amalga oshiriladi</v>
      </c>
      <c r="B15" s="236"/>
      <c r="C15" s="236"/>
      <c r="D15" s="236"/>
      <c r="E15" s="236"/>
    </row>
    <row r="16" spans="1:5" ht="45.75" customHeight="1">
      <c r="A16" s="239" t="str">
        <f>IF('Общие данные'!B103='Общие данные'!D103,""&amp;'Общие данные'!C117&amp;"ga tegishli "&amp;'Общие данные'!C126&amp;" ko'rinishidagi ko'chmas mulkni quyidagi ma'lumotlarga muvofiq  garovga qabul qilinsin:",""&amp;'Общие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6" s="239"/>
      <c r="C16" s="239"/>
      <c r="D16" s="239"/>
      <c r="E16" s="239"/>
    </row>
    <row r="17" spans="1:5" ht="50.25" hidden="1" customHeight="1">
      <c r="A17" s="236" t="str">
        <f>""&amp;'Общие данные'!C117&amp;"ga tegishli "&amp;'Общие данные'!C126&amp;" ko'rinishidagi ko'chmas mulkni quyidagi ma'lumotlarga muvofiq  garovga qabul qilinsin:"</f>
        <v>NUTFULLAYEV AKBARJON AXMEDOVICHga tegishli 3 - xonali yakka tartibdagi uy-joy ko'rinishidagi ko'chmas mulkni quyidagi ma'lumotlarga muvofiq  garovga qabul qilinsin:</v>
      </c>
      <c r="B17" s="236"/>
      <c r="C17" s="236"/>
      <c r="D17" s="236"/>
      <c r="E17" s="236"/>
    </row>
    <row r="18" spans="1:5" ht="47.25" hidden="1" customHeight="1">
      <c r="A18" s="236" t="str">
        <f>""&amp;'Общие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8" s="236"/>
      <c r="C18" s="236"/>
      <c r="D18" s="236"/>
      <c r="E18" s="236"/>
    </row>
    <row r="19" spans="1:5" s="37" customFormat="1" ht="60" customHeight="1" outlineLevel="1">
      <c r="A19" s="39" t="str">
        <f>'Акт согласования'!A29</f>
        <v>Nomi</v>
      </c>
      <c r="B19" s="39" t="str">
        <f>'Акт согласования'!B29</f>
        <v>Kuzov turi  va kuzov raqami*</v>
      </c>
      <c r="C19" s="39" t="str">
        <f>'Акт согласования'!C29</f>
        <v>Dvigatel va shassi raqami*</v>
      </c>
      <c r="D19" s="39" t="str">
        <f>'Акт согласования'!D29</f>
        <v>Ishlab chiqarilgan yili va rangi*</v>
      </c>
      <c r="E19" s="39" t="str">
        <f>'Акт согласования'!E29</f>
        <v>Kelishilgan garov qiymati, so'm</v>
      </c>
    </row>
    <row r="20" spans="1:5" ht="94.5" customHeight="1" outlineLevel="1">
      <c r="A20" s="17" t="str">
        <f>'Акт согласования'!A30</f>
        <v>CHANGAN CHANGAN SC 1027SB</v>
      </c>
      <c r="B20" s="17" t="str">
        <f>'Акт согласования'!B30</f>
        <v>kuzov turi - YUK BORTLI TENT, kuzov raqami LSCAB23D8EG228387</v>
      </c>
      <c r="C20" s="17" t="str">
        <f>'Акт согласования'!C30</f>
        <v>dvigatel raqami JL466Q1%E61H022801, shassi raqami - URINDIKLAR SONI 5TA</v>
      </c>
      <c r="D20" s="17" t="str">
        <f>'Акт согласования'!D30</f>
        <v>rangi -  OQ BELIY, ishlab chiqarilgan yili - 2014</v>
      </c>
      <c r="E20" s="17" t="str">
        <f>'Акт согласования'!E30</f>
        <v>40 500 000,00 
(qirq million besh yuz ming so'm)</v>
      </c>
    </row>
    <row r="21" spans="1:5" ht="20.25" customHeight="1" outlineLevel="1">
      <c r="A21" s="236" t="str">
        <f>'Акт согласования'!A22:E22</f>
        <v>-* avtotransport egasi: NUTFULLAYEV AKBARJON AXMEDOVICH</v>
      </c>
      <c r="B21" s="236"/>
      <c r="C21" s="236"/>
      <c r="D21" s="236"/>
      <c r="E21" s="236"/>
    </row>
    <row r="22" spans="1:5" ht="20.25" customHeight="1" outlineLevel="1">
      <c r="A22" s="236" t="str">
        <f>'Акт согласования'!A23:E23</f>
        <v>-* texnik pasport: AAG   2346592  13.09.2023y</v>
      </c>
      <c r="B22" s="236"/>
      <c r="C22" s="236"/>
      <c r="D22" s="236"/>
      <c r="E22" s="236"/>
    </row>
    <row r="23" spans="1:5" ht="36" customHeight="1" outlineLevel="1">
      <c r="A23" s="236" t="str">
        <f>'Акт согласования'!A24:E24</f>
        <v>-* roʻyxatdan oʻtgan manzili/garaj manzili: BUXORO VILOYATI BUXORO SHAHAR TADBIRKOR KO'CHASI 12-UY</v>
      </c>
      <c r="B23" s="236"/>
      <c r="C23" s="236"/>
      <c r="D23" s="236"/>
      <c r="E23" s="236"/>
    </row>
    <row r="24" spans="1:5" ht="35.25" customHeight="1" outlineLevel="1">
      <c r="A24" s="236" t="str">
        <f>'Акт согласования'!A25:E25</f>
        <v>-* davlat raqami: 80T312WA</v>
      </c>
      <c r="B24" s="236"/>
      <c r="C24" s="236"/>
      <c r="D24" s="236"/>
      <c r="E24" s="236"/>
    </row>
    <row r="25" spans="1:5">
      <c r="A25" s="236"/>
      <c r="B25" s="236"/>
      <c r="C25" s="236"/>
      <c r="D25" s="236"/>
      <c r="E25" s="236"/>
    </row>
    <row r="26" spans="1:5" s="37" customFormat="1" ht="41.25" hidden="1" customHeight="1" outlineLevel="1">
      <c r="A26" s="39" t="s">
        <v>206</v>
      </c>
      <c r="B26" s="39" t="s">
        <v>263</v>
      </c>
      <c r="C26" s="39" t="s">
        <v>280</v>
      </c>
      <c r="D26" s="39" t="s">
        <v>209</v>
      </c>
      <c r="E26" s="39" t="str">
        <f>'Акт согласования'!E29</f>
        <v>Kelishilgan garov qiymati, so'm</v>
      </c>
    </row>
    <row r="27" spans="1:5" hidden="1" outlineLevel="1">
      <c r="A27" s="17" t="e">
        <f>'Акт согласования'!A33</f>
        <v>#REF!</v>
      </c>
      <c r="B27" s="111" t="e">
        <f>'Акт согласования'!B33</f>
        <v>#REF!</v>
      </c>
      <c r="C27" s="111" t="e">
        <f>'Акт согласования'!C33</f>
        <v>#REF!</v>
      </c>
      <c r="D27" s="111" t="e">
        <f>'Акт согласования'!D33</f>
        <v>#REF!</v>
      </c>
      <c r="E27" s="269" t="str">
        <f>'Акт согласования'!E33</f>
        <v>40 500 000,00 (qirq million besh yuz ming so'm)</v>
      </c>
    </row>
    <row r="28" spans="1:5" hidden="1" outlineLevel="1">
      <c r="A28" s="17">
        <f>'Акт согласования'!A34</f>
        <v>0</v>
      </c>
      <c r="B28" s="111">
        <f>'Акт согласования'!B34</f>
        <v>0</v>
      </c>
      <c r="C28" s="111">
        <f>'Акт согласования'!C34</f>
        <v>0</v>
      </c>
      <c r="D28" s="111">
        <f>'Акт согласования'!D34</f>
        <v>0</v>
      </c>
      <c r="E28" s="269"/>
    </row>
    <row r="29" spans="1:5" hidden="1" outlineLevel="1">
      <c r="A29" s="17" t="e">
        <f>'Акт согласования'!A35</f>
        <v>#REF!</v>
      </c>
      <c r="B29" s="111" t="e">
        <f>'Акт согласования'!B35</f>
        <v>#REF!</v>
      </c>
      <c r="C29" s="111" t="e">
        <f>'Акт согласования'!C35</f>
        <v>#REF!</v>
      </c>
      <c r="D29" s="111" t="e">
        <f>'Акт согласования'!D35</f>
        <v>#REF!</v>
      </c>
      <c r="E29" s="269"/>
    </row>
    <row r="30" spans="1:5" hidden="1" outlineLevel="1">
      <c r="A30" s="17" t="e">
        <f>'Акт согласования'!A36</f>
        <v>#REF!</v>
      </c>
      <c r="B30" s="111" t="e">
        <f>'Акт согласования'!B36</f>
        <v>#REF!</v>
      </c>
      <c r="C30" s="111" t="e">
        <f>'Акт согласования'!C36</f>
        <v>#REF!</v>
      </c>
      <c r="D30" s="111" t="e">
        <f>'Акт согласования'!D36</f>
        <v>#REF!</v>
      </c>
      <c r="E30" s="269"/>
    </row>
    <row r="31" spans="1:5" hidden="1" outlineLevel="1">
      <c r="A31" s="17" t="e">
        <f>'Акт согласования'!A37</f>
        <v>#REF!</v>
      </c>
      <c r="B31" s="111" t="e">
        <f>'Акт согласования'!B37</f>
        <v>#REF!</v>
      </c>
      <c r="C31" s="111" t="e">
        <f>'Акт согласования'!C37</f>
        <v>#REF!</v>
      </c>
      <c r="D31" s="111" t="e">
        <f>'Акт согласования'!D37</f>
        <v>#REF!</v>
      </c>
      <c r="E31" s="269"/>
    </row>
    <row r="32" spans="1:5" hidden="1" outlineLevel="1">
      <c r="A32" s="17" t="e">
        <f>'Акт согласования'!A38</f>
        <v>#REF!</v>
      </c>
      <c r="B32" s="111" t="e">
        <f>'Акт согласования'!B38</f>
        <v>#REF!</v>
      </c>
      <c r="C32" s="111" t="e">
        <f>'Акт согласования'!C38</f>
        <v>#REF!</v>
      </c>
      <c r="D32" s="111" t="e">
        <f>'Акт согласования'!D38</f>
        <v>#REF!</v>
      </c>
      <c r="E32" s="269"/>
    </row>
    <row r="33" spans="1:5" hidden="1" outlineLevel="1">
      <c r="A33" s="17" t="e">
        <f>'Акт согласования'!A39</f>
        <v>#REF!</v>
      </c>
      <c r="B33" s="111" t="e">
        <f>'Акт согласования'!B39</f>
        <v>#REF!</v>
      </c>
      <c r="C33" s="111" t="e">
        <f>'Акт согласования'!C39</f>
        <v>#REF!</v>
      </c>
      <c r="D33" s="111" t="e">
        <f>'Акт согласования'!D39</f>
        <v>#REF!</v>
      </c>
      <c r="E33" s="269"/>
    </row>
    <row r="34" spans="1:5" hidden="1" outlineLevel="1">
      <c r="A34" s="17" t="e">
        <f>'Акт согласования'!A40</f>
        <v>#REF!</v>
      </c>
      <c r="B34" s="111" t="e">
        <f>'Акт согласования'!B40</f>
        <v>#REF!</v>
      </c>
      <c r="C34" s="111" t="e">
        <f>'Акт согласования'!C40</f>
        <v>#REF!</v>
      </c>
      <c r="D34" s="111" t="e">
        <f>'Акт согласования'!D40</f>
        <v>#REF!</v>
      </c>
      <c r="E34" s="269"/>
    </row>
    <row r="35" spans="1:5" hidden="1" outlineLevel="1">
      <c r="A35" s="17" t="e">
        <f>'Акт согласования'!A41</f>
        <v>#REF!</v>
      </c>
      <c r="B35" s="111" t="e">
        <f>'Акт согласования'!B41</f>
        <v>#REF!</v>
      </c>
      <c r="C35" s="111" t="e">
        <f>'Акт согласования'!C41</f>
        <v>#REF!</v>
      </c>
      <c r="D35" s="111" t="e">
        <f>'Акт согласования'!D41</f>
        <v>#REF!</v>
      </c>
      <c r="E35" s="269"/>
    </row>
    <row r="36" spans="1:5" hidden="1" outlineLevel="1">
      <c r="A36" s="17" t="e">
        <f>'Акт согласования'!A42</f>
        <v>#REF!</v>
      </c>
      <c r="B36" s="111" t="e">
        <f>'Акт согласования'!B42</f>
        <v>#REF!</v>
      </c>
      <c r="C36" s="111" t="e">
        <f>'Акт согласования'!C42</f>
        <v>#REF!</v>
      </c>
      <c r="D36" s="111" t="e">
        <f>'Акт согласования'!D42</f>
        <v>#REF!</v>
      </c>
      <c r="E36" s="269"/>
    </row>
    <row r="37" spans="1:5" hidden="1" outlineLevel="1">
      <c r="A37" s="17" t="e">
        <f>'Акт согласования'!A43</f>
        <v>#REF!</v>
      </c>
      <c r="B37" s="17" t="e">
        <f>'Акт согласования'!B43</f>
        <v>#REF!</v>
      </c>
      <c r="C37" s="17" t="e">
        <f>'Акт согласования'!C43</f>
        <v>#REF!</v>
      </c>
      <c r="D37" s="17" t="e">
        <f>'Акт согласования'!D43</f>
        <v>#REF!</v>
      </c>
      <c r="E37" s="269"/>
    </row>
    <row r="38" spans="1:5" s="37" customFormat="1" ht="14.25" hidden="1" outlineLevel="1">
      <c r="A38" s="39" t="e">
        <f>'Акт согласования'!A44</f>
        <v>#REF!</v>
      </c>
      <c r="B38" s="39" t="e">
        <f>'Акт согласования'!B44</f>
        <v>#REF!</v>
      </c>
      <c r="C38" s="39" t="e">
        <f>'Акт согласования'!C44</f>
        <v>#REF!</v>
      </c>
      <c r="D38" s="39" t="e">
        <f>'Акт согласования'!D44</f>
        <v>#REF!</v>
      </c>
      <c r="E38" s="39" t="str">
        <f>'Акт согласования'!E44</f>
        <v>40 500 000,00</v>
      </c>
    </row>
    <row r="39" spans="1:5" s="37" customFormat="1" ht="15" hidden="1" customHeight="1" outlineLevel="1">
      <c r="A39" s="236" t="e">
        <f>_xlfn.SINGLE('Акт согласования'!#REF!)</f>
        <v>#REF!</v>
      </c>
      <c r="B39" s="236"/>
      <c r="C39" s="236"/>
      <c r="D39" s="236"/>
      <c r="E39" s="236"/>
    </row>
    <row r="40" spans="1:5" s="37" customFormat="1" hidden="1" outlineLevel="1">
      <c r="A40" s="236" t="e">
        <f>_xlfn.SINGLE('Акт согласования'!#REF!)</f>
        <v>#REF!</v>
      </c>
      <c r="B40" s="236"/>
      <c r="C40" s="236"/>
      <c r="D40" s="236"/>
      <c r="E40" s="236"/>
    </row>
    <row r="41" spans="1:5" s="37" customFormat="1" hidden="1" outlineLevel="1">
      <c r="A41" s="236" t="e">
        <f>_xlfn.SINGLE('Акт согласования'!#REF!)</f>
        <v>#REF!</v>
      </c>
      <c r="B41" s="236"/>
      <c r="C41" s="236"/>
      <c r="D41" s="236"/>
      <c r="E41" s="236"/>
    </row>
    <row r="42" spans="1:5" s="37" customFormat="1" hidden="1" outlineLevel="1">
      <c r="A42" s="236" t="e">
        <f>_xlfn.SINGLE('Акт согласования'!#REF!)</f>
        <v>#REF!</v>
      </c>
      <c r="B42" s="236"/>
      <c r="C42" s="236"/>
      <c r="D42" s="236"/>
      <c r="E42" s="236"/>
    </row>
    <row r="43" spans="1:5" s="37" customFormat="1" collapsed="1">
      <c r="A43" s="236"/>
      <c r="B43" s="236"/>
      <c r="C43" s="236"/>
      <c r="D43" s="236"/>
      <c r="E43" s="236"/>
    </row>
    <row r="44" spans="1:5" s="37" customFormat="1">
      <c r="A44" s="236"/>
      <c r="B44" s="236"/>
      <c r="C44" s="236"/>
      <c r="D44" s="236"/>
      <c r="E44" s="236"/>
    </row>
    <row r="45" spans="1:5" s="37" customFormat="1" hidden="1">
      <c r="A45" s="236"/>
      <c r="B45" s="236"/>
      <c r="C45" s="236"/>
      <c r="D45" s="236"/>
      <c r="E45" s="236"/>
    </row>
    <row r="46" spans="1:5" s="37" customFormat="1" ht="14.25" hidden="1">
      <c r="A46" s="50"/>
      <c r="B46" s="50"/>
      <c r="C46" s="50"/>
      <c r="D46" s="50"/>
      <c r="E46" s="50"/>
    </row>
    <row r="47" spans="1:5" hidden="1">
      <c r="A47" s="236"/>
      <c r="B47" s="236"/>
      <c r="C47" s="236"/>
      <c r="D47" s="236"/>
      <c r="E47" s="236"/>
    </row>
    <row r="48" spans="1:5" ht="15" customHeight="1">
      <c r="A48" s="314" t="s">
        <v>381</v>
      </c>
      <c r="B48" s="314"/>
      <c r="C48" s="314"/>
      <c r="D48" s="323"/>
      <c r="E48" s="323"/>
    </row>
    <row r="49" spans="1:5" ht="15" customHeight="1">
      <c r="A49" s="314" t="s">
        <v>335</v>
      </c>
      <c r="B49" s="314"/>
      <c r="C49" s="314"/>
      <c r="D49" s="323" t="s">
        <v>382</v>
      </c>
      <c r="E49" s="323"/>
    </row>
    <row r="50" spans="1:5">
      <c r="A50" s="236"/>
      <c r="B50" s="236"/>
      <c r="C50" s="236"/>
      <c r="D50" s="236"/>
      <c r="E50" s="236"/>
    </row>
    <row r="51" spans="1:5">
      <c r="A51" s="236"/>
      <c r="B51" s="236"/>
      <c r="C51" s="236"/>
      <c r="D51" s="236"/>
      <c r="E51" s="236"/>
    </row>
    <row r="52" spans="1:5">
      <c r="A52" s="236"/>
      <c r="B52" s="236"/>
      <c r="C52" s="236"/>
      <c r="D52" s="236"/>
      <c r="E52" s="236"/>
    </row>
    <row r="53" spans="1:5">
      <c r="A53" s="236"/>
      <c r="B53" s="236"/>
      <c r="C53" s="236"/>
      <c r="D53" s="236"/>
      <c r="E53" s="236"/>
    </row>
    <row r="54" spans="1:5">
      <c r="A54" s="236"/>
      <c r="B54" s="236"/>
      <c r="C54" s="236"/>
      <c r="D54" s="236"/>
      <c r="E54" s="236"/>
    </row>
    <row r="55" spans="1:5">
      <c r="A55" s="236"/>
      <c r="B55" s="236"/>
      <c r="C55" s="236"/>
      <c r="D55" s="236"/>
      <c r="E55" s="236"/>
    </row>
  </sheetData>
  <mergeCells count="37">
    <mergeCell ref="A55:E55"/>
    <mergeCell ref="A23:E23"/>
    <mergeCell ref="A24:E24"/>
    <mergeCell ref="A25:E25"/>
    <mergeCell ref="A47:E47"/>
    <mergeCell ref="A48:C48"/>
    <mergeCell ref="D48:E48"/>
    <mergeCell ref="A49:C49"/>
    <mergeCell ref="D49:E49"/>
    <mergeCell ref="A50:E50"/>
    <mergeCell ref="A51:E51"/>
    <mergeCell ref="A52:E52"/>
    <mergeCell ref="A54:E54"/>
    <mergeCell ref="E27:E37"/>
    <mergeCell ref="A44:E44"/>
    <mergeCell ref="A4:E6"/>
    <mergeCell ref="A45:E45"/>
    <mergeCell ref="A39:E39"/>
    <mergeCell ref="A40:E40"/>
    <mergeCell ref="A41:E41"/>
    <mergeCell ref="A42:E42"/>
    <mergeCell ref="A43:E43"/>
    <mergeCell ref="A22:E22"/>
    <mergeCell ref="A14:E14"/>
    <mergeCell ref="A18:E18"/>
    <mergeCell ref="A7:E7"/>
    <mergeCell ref="A8:E8"/>
    <mergeCell ref="A13:E13"/>
    <mergeCell ref="A9:E9"/>
    <mergeCell ref="A10:E10"/>
    <mergeCell ref="A11:E11"/>
    <mergeCell ref="A12:E12"/>
    <mergeCell ref="A53:E53"/>
    <mergeCell ref="A21:E21"/>
    <mergeCell ref="A15:E15"/>
    <mergeCell ref="A17:E17"/>
    <mergeCell ref="A16:E16"/>
  </mergeCells>
  <pageMargins left="0.70866141732283472" right="0.70866141732283472" top="0.74803149606299213" bottom="0.74803149606299213" header="0.31496062992125984" footer="0.31496062992125984"/>
  <pageSetup paperSize="9" scale="8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7" zoomScaleSheetLayoutView="100" workbookViewId="0">
      <selection activeCell="E8" sqref="E8"/>
    </sheetView>
  </sheetViews>
  <sheetFormatPr defaultColWidth="9.140625" defaultRowHeight="15"/>
  <cols>
    <col min="1" max="1" width="3.42578125" style="15" customWidth="1"/>
    <col min="2" max="3" width="17.85546875" style="20" customWidth="1"/>
    <col min="4" max="4" width="15" style="20" customWidth="1"/>
    <col min="5" max="5" width="17.85546875" style="20" customWidth="1"/>
    <col min="6" max="6" width="9" style="20" customWidth="1"/>
    <col min="7" max="7" width="4.7109375" style="20" customWidth="1"/>
    <col min="8" max="16384" width="9.140625" style="15"/>
  </cols>
  <sheetData>
    <row r="1" spans="2:7" ht="15.75" thickBot="1"/>
    <row r="2" spans="2:7" ht="62.25" customHeight="1">
      <c r="B2" s="334" t="str">
        <f>'Общие данные'!B148</f>
        <v>«CLEVER MIKROMOLIYA TASHKILOTI» MChJ</v>
      </c>
      <c r="C2" s="335"/>
      <c r="D2" s="335"/>
      <c r="E2" s="335"/>
      <c r="F2" s="336"/>
      <c r="G2" s="41"/>
    </row>
    <row r="3" spans="2:7">
      <c r="B3" s="327"/>
      <c r="C3" s="262"/>
      <c r="D3" s="262"/>
      <c r="E3" s="262"/>
      <c r="F3" s="328"/>
      <c r="G3" s="42"/>
    </row>
    <row r="4" spans="2:7" ht="8.25" customHeight="1">
      <c r="B4" s="54"/>
      <c r="F4" s="55"/>
      <c r="G4" s="42"/>
    </row>
    <row r="5" spans="2:7" ht="12" customHeight="1">
      <c r="B5" s="44"/>
      <c r="C5" s="42"/>
      <c r="D5" s="42"/>
      <c r="E5" s="42"/>
      <c r="F5" s="45"/>
      <c r="G5" s="42"/>
    </row>
    <row r="6" spans="2:7" ht="6.75" customHeight="1">
      <c r="B6" s="44"/>
      <c r="C6" s="42"/>
      <c r="D6" s="42"/>
      <c r="E6" s="42"/>
      <c r="F6" s="45"/>
      <c r="G6" s="42"/>
    </row>
    <row r="7" spans="2:7" ht="6.75" customHeight="1">
      <c r="B7" s="44"/>
      <c r="C7" s="42"/>
      <c r="D7" s="42"/>
      <c r="E7" s="42"/>
      <c r="F7" s="45"/>
      <c r="G7" s="42"/>
    </row>
    <row r="8" spans="2:7">
      <c r="B8" s="44"/>
      <c r="C8" s="42"/>
      <c r="D8" s="42"/>
      <c r="E8" s="42"/>
      <c r="F8" s="45"/>
      <c r="G8" s="42"/>
    </row>
    <row r="9" spans="2:7">
      <c r="B9" s="44"/>
      <c r="C9" s="42"/>
      <c r="D9" s="42"/>
      <c r="E9" s="42"/>
      <c r="F9" s="45"/>
      <c r="G9" s="42"/>
    </row>
    <row r="10" spans="2:7">
      <c r="B10" s="327" t="s">
        <v>27</v>
      </c>
      <c r="C10" s="262"/>
      <c r="D10" s="262"/>
      <c r="E10" s="262"/>
      <c r="F10" s="328"/>
      <c r="G10" s="42"/>
    </row>
    <row r="11" spans="2:7">
      <c r="B11" s="327" t="s">
        <v>27</v>
      </c>
      <c r="C11" s="262"/>
      <c r="D11" s="262"/>
      <c r="E11" s="262"/>
      <c r="F11" s="328"/>
      <c r="G11" s="42"/>
    </row>
    <row r="12" spans="2:7" ht="135" customHeight="1">
      <c r="B12" s="337" t="str">
        <f>'Общие данные'!B5</f>
        <v>NUTFULLAYEV AKBARJON AXMEDOVICH</v>
      </c>
      <c r="C12" s="338"/>
      <c r="D12" s="338"/>
      <c r="E12" s="338"/>
      <c r="F12" s="339"/>
      <c r="G12" s="43"/>
    </row>
    <row r="13" spans="2:7">
      <c r="B13" s="327"/>
      <c r="C13" s="262"/>
      <c r="D13" s="262"/>
      <c r="E13" s="262"/>
      <c r="F13" s="328"/>
      <c r="G13" s="42"/>
    </row>
    <row r="14" spans="2:7">
      <c r="B14" s="44"/>
      <c r="C14" s="42"/>
      <c r="D14" s="42"/>
      <c r="E14" s="42"/>
      <c r="F14" s="45"/>
      <c r="G14" s="42"/>
    </row>
    <row r="15" spans="2:7">
      <c r="B15" s="44"/>
      <c r="C15" s="42"/>
      <c r="D15" s="42"/>
      <c r="E15" s="42"/>
      <c r="F15" s="45"/>
      <c r="G15" s="42"/>
    </row>
    <row r="16" spans="2:7">
      <c r="B16" s="44"/>
      <c r="C16" s="42"/>
      <c r="D16" s="42"/>
      <c r="E16" s="42"/>
      <c r="F16" s="45"/>
      <c r="G16" s="42"/>
    </row>
    <row r="17" spans="2:7">
      <c r="B17" s="44"/>
      <c r="C17" s="42"/>
      <c r="D17" s="42"/>
      <c r="E17" s="42"/>
      <c r="F17" s="45"/>
      <c r="G17" s="42"/>
    </row>
    <row r="18" spans="2:7">
      <c r="B18" s="327"/>
      <c r="C18" s="262"/>
      <c r="D18" s="262"/>
      <c r="E18" s="262"/>
      <c r="F18" s="328"/>
      <c r="G18" s="42"/>
    </row>
    <row r="19" spans="2:7" ht="20.25">
      <c r="B19" s="331" t="str">
        <f>""&amp;'Общие данные'!C64&amp;" shartnoma "&amp;'Общие данные'!B74&amp;""</f>
        <v>Mikroqarz shartnoma 11 mart 2025 y.dan № -AL</v>
      </c>
      <c r="C19" s="332"/>
      <c r="D19" s="332"/>
      <c r="E19" s="332"/>
      <c r="F19" s="333"/>
      <c r="G19" s="42"/>
    </row>
    <row r="20" spans="2:7">
      <c r="B20" s="327"/>
      <c r="C20" s="262"/>
      <c r="D20" s="262"/>
      <c r="E20" s="262"/>
      <c r="F20" s="328"/>
      <c r="G20" s="42"/>
    </row>
    <row r="21" spans="2:7">
      <c r="B21" s="327"/>
      <c r="C21" s="262"/>
      <c r="D21" s="262"/>
      <c r="E21" s="262"/>
      <c r="F21" s="328"/>
      <c r="G21" s="42"/>
    </row>
    <row r="22" spans="2:7">
      <c r="B22" s="327"/>
      <c r="C22" s="262"/>
      <c r="D22" s="262"/>
      <c r="E22" s="262"/>
      <c r="F22" s="328"/>
      <c r="G22" s="42"/>
    </row>
    <row r="23" spans="2:7">
      <c r="B23" s="327"/>
      <c r="C23" s="262"/>
      <c r="D23" s="262"/>
      <c r="E23" s="262"/>
      <c r="F23" s="328"/>
      <c r="G23" s="42"/>
    </row>
    <row r="24" spans="2:7">
      <c r="B24" s="329" t="str">
        <f>" Foiz stavkasi: "&amp;'Общие данные'!B85&amp;"%"</f>
        <v xml:space="preserve"> Foiz stavkasi: 60%</v>
      </c>
      <c r="C24" s="235"/>
      <c r="D24" s="235"/>
      <c r="E24" s="235"/>
      <c r="F24" s="330"/>
      <c r="G24" s="42"/>
    </row>
    <row r="25" spans="2:7" ht="15" customHeight="1">
      <c r="B25" s="329" t="str">
        <f>" "&amp;'Общие данные'!C64&amp;" muddati: "&amp;'Общие данные'!B81&amp;" oy"</f>
        <v xml:space="preserve"> Mikroqarz muddati: 36 oy</v>
      </c>
      <c r="C25" s="235"/>
      <c r="D25" s="235"/>
      <c r="E25" s="235"/>
      <c r="F25" s="330"/>
      <c r="G25" s="42"/>
    </row>
    <row r="26" spans="2:7">
      <c r="B26" s="329" t="str">
        <f>" "&amp;'Общие данные'!C64&amp;" miqdori: "&amp;FIXED('Общие данные'!B75,2)&amp;" so'm"</f>
        <v xml:space="preserve"> Mikroqarz miqdori: 27 000 000,00 so'm</v>
      </c>
      <c r="C26" s="235"/>
      <c r="D26" s="235"/>
      <c r="E26" s="235"/>
      <c r="F26" s="330"/>
      <c r="G26" s="42"/>
    </row>
    <row r="27" spans="2:7">
      <c r="B27" s="327"/>
      <c r="C27" s="262"/>
      <c r="D27" s="262"/>
      <c r="E27" s="262"/>
      <c r="F27" s="328"/>
      <c r="G27" s="42"/>
    </row>
    <row r="28" spans="2:7" hidden="1">
      <c r="G28" s="42"/>
    </row>
    <row r="29" spans="2:7">
      <c r="B29" s="327"/>
      <c r="C29" s="262"/>
      <c r="D29" s="262"/>
      <c r="E29" s="262"/>
      <c r="F29" s="328"/>
      <c r="G29" s="42"/>
    </row>
    <row r="30" spans="2:7" ht="12.75" customHeight="1">
      <c r="B30" s="44"/>
      <c r="C30" s="42"/>
      <c r="D30" s="42"/>
      <c r="E30" s="42"/>
      <c r="F30" s="45"/>
      <c r="G30" s="42"/>
    </row>
    <row r="31" spans="2:7">
      <c r="B31" s="44"/>
      <c r="C31" s="42"/>
      <c r="D31" s="42"/>
      <c r="E31" s="42"/>
      <c r="F31" s="45"/>
      <c r="G31" s="42"/>
    </row>
    <row r="32" spans="2:7" ht="2.25" customHeight="1">
      <c r="B32" s="44"/>
      <c r="C32" s="42"/>
      <c r="D32" s="42"/>
      <c r="E32" s="42"/>
      <c r="F32" s="45"/>
      <c r="G32" s="42"/>
    </row>
    <row r="33" spans="2:7">
      <c r="B33" s="44"/>
      <c r="C33" s="42"/>
      <c r="D33" s="42"/>
      <c r="E33" s="42"/>
      <c r="F33" s="45"/>
      <c r="G33" s="42"/>
    </row>
    <row r="34" spans="2:7">
      <c r="B34" s="44"/>
      <c r="C34" s="42"/>
      <c r="D34" s="42"/>
      <c r="E34" s="42"/>
      <c r="F34" s="45"/>
      <c r="G34" s="42"/>
    </row>
    <row r="35" spans="2:7">
      <c r="B35" s="44"/>
      <c r="C35" s="42"/>
      <c r="D35" s="42"/>
      <c r="E35" s="42"/>
      <c r="F35" s="45"/>
      <c r="G35" s="42"/>
    </row>
    <row r="36" spans="2:7">
      <c r="B36" s="44"/>
      <c r="C36" s="42"/>
      <c r="D36" s="42"/>
      <c r="E36" s="42"/>
      <c r="F36" s="45"/>
      <c r="G36" s="42"/>
    </row>
    <row r="37" spans="2:7">
      <c r="B37" s="44"/>
      <c r="C37" s="42"/>
      <c r="D37" s="42"/>
      <c r="E37" s="42"/>
      <c r="F37" s="45"/>
      <c r="G37" s="42"/>
    </row>
    <row r="38" spans="2:7">
      <c r="B38" s="44"/>
      <c r="C38" s="42"/>
      <c r="D38" s="42"/>
      <c r="E38" s="42"/>
      <c r="F38" s="45"/>
      <c r="G38" s="42"/>
    </row>
    <row r="39" spans="2:7">
      <c r="B39" s="44"/>
      <c r="C39" s="42"/>
      <c r="D39" s="42"/>
      <c r="E39" s="42"/>
      <c r="F39" s="45"/>
      <c r="G39" s="42"/>
    </row>
    <row r="40" spans="2:7" ht="15.75" thickBot="1">
      <c r="B40" s="324" t="str">
        <f>"Toshkent sh., "&amp;'Общие данные'!B70&amp;""</f>
        <v>Toshkent sh., 11 mart 2025 y.</v>
      </c>
      <c r="C40" s="325"/>
      <c r="D40" s="325"/>
      <c r="E40" s="325"/>
      <c r="F40" s="326"/>
      <c r="G40" s="42"/>
    </row>
    <row r="41" spans="2:7">
      <c r="B41" s="262"/>
      <c r="C41" s="262"/>
      <c r="D41" s="262"/>
      <c r="E41" s="262"/>
      <c r="F41" s="262"/>
      <c r="G41" s="42"/>
    </row>
    <row r="42" spans="2:7">
      <c r="B42" s="262"/>
      <c r="C42" s="262"/>
      <c r="D42" s="262"/>
      <c r="E42" s="262"/>
      <c r="F42" s="262"/>
      <c r="G42" s="42"/>
    </row>
  </sheetData>
  <mergeCells count="20">
    <mergeCell ref="B18:F18"/>
    <mergeCell ref="B19:F19"/>
    <mergeCell ref="B20:F20"/>
    <mergeCell ref="B2:F2"/>
    <mergeCell ref="B3:F3"/>
    <mergeCell ref="B10:F10"/>
    <mergeCell ref="B11:F11"/>
    <mergeCell ref="B12:F12"/>
    <mergeCell ref="B13:F13"/>
    <mergeCell ref="B40:F40"/>
    <mergeCell ref="B41:F41"/>
    <mergeCell ref="B42:F42"/>
    <mergeCell ref="B21:F21"/>
    <mergeCell ref="B22:F22"/>
    <mergeCell ref="B23:F23"/>
    <mergeCell ref="B27:F27"/>
    <mergeCell ref="B29:F29"/>
    <mergeCell ref="B24:F24"/>
    <mergeCell ref="B25:F25"/>
    <mergeCell ref="B26:F26"/>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5" customWidth="1"/>
    <col min="2" max="2" width="21.28515625" style="15" customWidth="1"/>
    <col min="3" max="3" width="19.140625" style="15" customWidth="1"/>
    <col min="4" max="5" width="21.28515625" style="15" customWidth="1"/>
    <col min="6" max="16384" width="9.140625" style="15"/>
  </cols>
  <sheetData>
    <row r="2" spans="1:5">
      <c r="A2" s="108" t="s">
        <v>49</v>
      </c>
    </row>
    <row r="3" spans="1:5">
      <c r="A3" s="108" t="s">
        <v>50</v>
      </c>
    </row>
    <row r="6" spans="1:5" ht="20.25" customHeight="1">
      <c r="E6" s="109" t="s">
        <v>36</v>
      </c>
    </row>
    <row r="7" spans="1:5">
      <c r="E7" s="109" t="s">
        <v>51</v>
      </c>
    </row>
    <row r="9" spans="1:5" ht="107.25" customHeight="1">
      <c r="A9" s="341" t="str">
        <f>"          Между ООО «Clever Mikrokredit Tashkiloti» и "&amp;'Общие данные'!B5&amp;"  (паспорт: "&amp;'Общие данные'!B16&amp;" "&amp;'Общие данные'!B20&amp;") заключен договор микрозайма "&amp;'Общие данные'!B74&amp;", на сумму "&amp;FIXED('Общие данные'!B75)&amp;" ("&amp;'Общие данные'!B76&amp;") сум, сроком на "&amp;'Общие данные'!B81&amp;" ("&amp;'Общие данные'!B82&amp;") месяцев. В качестве своевременного исполнения обязательств по договору Микрозайма "&amp;'Общие данные'!B74&amp;" планирует предоставить нижеследующее "&amp;IF('Общие данные'!B103='Общие данные'!C103,"автотранспортного средство марки "&amp;'Общие данные'!B125&amp;" принадлежащее на правах собственности "&amp;'Общие данные'!B117&amp;"","недвижимого имущества в виде "&amp;'Общие данные'!C126&amp;", общей площадью - "&amp;'Общие данные'!C130&amp;" и жилой площадью - "&amp;'Общие данные'!C133&amp;", расположенного по адресу: "&amp;'Общие данные'!C123&amp;", принадлежащее на правах собственности "&amp;'Общие данные'!C117&amp;".")</f>
        <v xml:space="preserve">          Между ООО «Clever Mikrokredit Tashkiloti» и NUTFULLAYEV AKBARJON AXMEDOVICH  (паспорт: AA 9481167 BUXORO VILOYATI BUXORO SHAHAR IIB tomonidan 24.04.2015 yilda berilgan) заключен договор микрозайма 11 mart 2025 y.dan № -AL, на сумму 27 000 000,00 (yigirma yetti million so'm) сум, сроком на 36 (o'ttiz olti) месяцев. В качестве своевременного исполнения обязательств по договору Микрозайма 11 mart 2025 y.dan № -AL планирует предоставить нижеследующее автотранспортного средство марки CHANGAN CHANGAN SC 1027SB принадлежащее на правах собственности NUTFULLAYEV AKBARJON AXMEDOVICH</v>
      </c>
      <c r="B9" s="341"/>
      <c r="C9" s="341"/>
      <c r="D9" s="341"/>
      <c r="E9" s="341"/>
    </row>
    <row r="11" spans="1:5" ht="28.5">
      <c r="A11" s="39" t="str">
        <f>'Приказ на сделку'!A19</f>
        <v>Nomi</v>
      </c>
      <c r="B11" s="39" t="str">
        <f>'Приказ на сделку'!B19</f>
        <v>Kuzov turi  va kuzov raqami*</v>
      </c>
      <c r="C11" s="39" t="str">
        <f>'Приказ на сделку'!C19</f>
        <v>Dvigatel va shassi raqami*</v>
      </c>
      <c r="D11" s="39" t="str">
        <f>'Приказ на сделку'!D19</f>
        <v>Ishlab chiqarilgan yili va rangi*</v>
      </c>
      <c r="E11" s="39" t="str">
        <f>'Приказ на сделку'!E19</f>
        <v>Kelishilgan garov qiymati, so'm</v>
      </c>
    </row>
    <row r="12" spans="1:5" ht="73.5" customHeight="1">
      <c r="A12" s="39" t="str">
        <f>'Приказ на сделку'!A20</f>
        <v>CHANGAN CHANGAN SC 1027SB</v>
      </c>
      <c r="B12" s="39" t="str">
        <f>'Приказ на сделку'!B20</f>
        <v>kuzov turi - YUK BORTLI TENT, kuzov raqami LSCAB23D8EG228387</v>
      </c>
      <c r="C12" s="39" t="str">
        <f>'Приказ на сделку'!C20</f>
        <v>dvigatel raqami JL466Q1%E61H022801, shassi raqami - URINDIKLAR SONI 5TA</v>
      </c>
      <c r="D12" s="39" t="str">
        <f>'Приказ на сделку'!D20</f>
        <v>rangi -  OQ BELIY, ishlab chiqarilgan yili - 2014</v>
      </c>
      <c r="E12" s="39" t="str">
        <f>'Приказ на сделку'!E20</f>
        <v>40 500 000,00 
(qirq million besh yuz ming so'm)</v>
      </c>
    </row>
    <row r="13" spans="1:5">
      <c r="A13" s="345" t="str">
        <f>'Приказ на сделку'!A21:E21</f>
        <v>-* avtotransport egasi: NUTFULLAYEV AKBARJON AXMEDOVICH</v>
      </c>
      <c r="B13" s="345"/>
      <c r="C13" s="345"/>
      <c r="D13" s="345"/>
      <c r="E13" s="345"/>
    </row>
    <row r="14" spans="1:5">
      <c r="A14" s="345" t="str">
        <f>'Приказ на сделку'!A22:E22</f>
        <v>-* texnik pasport: AAG   2346592  13.09.2023y</v>
      </c>
      <c r="B14" s="345"/>
      <c r="C14" s="345"/>
      <c r="D14" s="345"/>
      <c r="E14" s="345"/>
    </row>
    <row r="15" spans="1:5">
      <c r="A15" s="345" t="str">
        <f>'Приказ на сделку'!A23:E23</f>
        <v>-* roʻyxatdan oʻtgan manzili/garaj manzili: BUXORO VILOYATI BUXORO SHAHAR TADBIRKOR KO'CHASI 12-UY</v>
      </c>
      <c r="B15" s="345"/>
      <c r="C15" s="345"/>
      <c r="D15" s="345"/>
      <c r="E15" s="345"/>
    </row>
    <row r="16" spans="1:5">
      <c r="A16" s="345" t="str">
        <f>'Приказ на сделку'!A24:E24</f>
        <v>-* davlat raqami: 80T312WA</v>
      </c>
      <c r="B16" s="345"/>
      <c r="C16" s="345"/>
      <c r="D16" s="345"/>
      <c r="E16" s="345"/>
    </row>
    <row r="17" spans="1:5" ht="3" customHeight="1"/>
    <row r="19" spans="1:5" ht="59.25" hidden="1" customHeight="1">
      <c r="A19" s="39" t="str">
        <f>'Акт согласования'!A32</f>
        <v>Наименование</v>
      </c>
      <c r="B19" s="39" t="str">
        <f>'Акт согласования'!B32</f>
        <v>Полезная площадь</v>
      </c>
      <c r="C19" s="39" t="str">
        <f>'Акт согласования'!C32</f>
        <v>Жилая площадь</v>
      </c>
      <c r="D19" s="39" t="str">
        <f>'Акт согласования'!D32</f>
        <v>Общая площадь</v>
      </c>
      <c r="E19" s="39" t="str">
        <f>'Акт согласования'!E32</f>
        <v>Согласованная залоговая стоимость, сум</v>
      </c>
    </row>
    <row r="20" spans="1:5" ht="17.25" hidden="1" customHeight="1">
      <c r="A20" s="17" t="e">
        <f>'Акт согласования'!A33</f>
        <v>#REF!</v>
      </c>
      <c r="B20" s="17" t="e">
        <f>'Акт согласования'!B33</f>
        <v>#REF!</v>
      </c>
      <c r="C20" s="17" t="e">
        <f>'Акт согласования'!C33</f>
        <v>#REF!</v>
      </c>
      <c r="D20" s="17" t="e">
        <f>'Акт согласования'!D33</f>
        <v>#REF!</v>
      </c>
      <c r="E20" s="320" t="str">
        <f>""&amp;FIXED('Общие данные'!C136,2)&amp;" ("&amp;'Общие данные'!C137&amp;")"</f>
        <v>40 500 000,00 (qirq million besh yuz ming so'm)</v>
      </c>
    </row>
    <row r="21" spans="1:5" ht="17.25" hidden="1" customHeight="1">
      <c r="A21" s="17">
        <f>'Акт согласования'!A34</f>
        <v>0</v>
      </c>
      <c r="B21" s="17">
        <f>'Акт согласования'!B34</f>
        <v>0</v>
      </c>
      <c r="C21" s="17">
        <f>'Акт согласования'!C34</f>
        <v>0</v>
      </c>
      <c r="D21" s="17">
        <f>'Акт согласования'!D34</f>
        <v>0</v>
      </c>
      <c r="E21" s="321"/>
    </row>
    <row r="22" spans="1:5" ht="17.25" hidden="1" customHeight="1">
      <c r="A22" s="17" t="e">
        <f>'Акт согласования'!A35</f>
        <v>#REF!</v>
      </c>
      <c r="B22" s="17" t="e">
        <f>'Акт согласования'!B35</f>
        <v>#REF!</v>
      </c>
      <c r="C22" s="17" t="e">
        <f>'Акт согласования'!C35</f>
        <v>#REF!</v>
      </c>
      <c r="D22" s="17" t="e">
        <f>'Акт согласования'!D35</f>
        <v>#REF!</v>
      </c>
      <c r="E22" s="321"/>
    </row>
    <row r="23" spans="1:5" ht="17.25" hidden="1" customHeight="1">
      <c r="A23" s="17" t="e">
        <f>'Акт согласования'!A36</f>
        <v>#REF!</v>
      </c>
      <c r="B23" s="17" t="e">
        <f>'Акт согласования'!B36</f>
        <v>#REF!</v>
      </c>
      <c r="C23" s="17" t="e">
        <f>'Акт согласования'!C36</f>
        <v>#REF!</v>
      </c>
      <c r="D23" s="17" t="e">
        <f>'Акт согласования'!D36</f>
        <v>#REF!</v>
      </c>
      <c r="E23" s="321"/>
    </row>
    <row r="24" spans="1:5" ht="17.25" hidden="1" customHeight="1">
      <c r="A24" s="17" t="e">
        <f>'Акт согласования'!A37</f>
        <v>#REF!</v>
      </c>
      <c r="B24" s="17" t="e">
        <f>'Акт согласования'!B37</f>
        <v>#REF!</v>
      </c>
      <c r="C24" s="17" t="e">
        <f>'Акт согласования'!C37</f>
        <v>#REF!</v>
      </c>
      <c r="D24" s="17" t="e">
        <f>'Акт согласования'!D37</f>
        <v>#REF!</v>
      </c>
      <c r="E24" s="321"/>
    </row>
    <row r="25" spans="1:5" ht="15.75" hidden="1" customHeight="1">
      <c r="A25" s="17" t="e">
        <f>'Акт согласования'!A38</f>
        <v>#REF!</v>
      </c>
      <c r="B25" s="17" t="e">
        <f>'Акт согласования'!B38</f>
        <v>#REF!</v>
      </c>
      <c r="C25" s="17" t="e">
        <f>'Акт согласования'!C38</f>
        <v>#REF!</v>
      </c>
      <c r="D25" s="17" t="e">
        <f>'Акт согласования'!D38</f>
        <v>#REF!</v>
      </c>
      <c r="E25" s="321"/>
    </row>
    <row r="26" spans="1:5" ht="17.25" hidden="1" customHeight="1">
      <c r="A26" s="17" t="e">
        <f>'Акт согласования'!A39</f>
        <v>#REF!</v>
      </c>
      <c r="B26" s="17" t="e">
        <f>'Акт согласования'!B39</f>
        <v>#REF!</v>
      </c>
      <c r="C26" s="17" t="e">
        <f>'Акт согласования'!C39</f>
        <v>#REF!</v>
      </c>
      <c r="D26" s="17" t="e">
        <f>'Акт согласования'!D39</f>
        <v>#REF!</v>
      </c>
      <c r="E26" s="321"/>
    </row>
    <row r="27" spans="1:5" ht="17.25" hidden="1" customHeight="1">
      <c r="A27" s="17" t="e">
        <f>'Акт согласования'!A40</f>
        <v>#REF!</v>
      </c>
      <c r="B27" s="17" t="e">
        <f>'Акт согласования'!B40</f>
        <v>#REF!</v>
      </c>
      <c r="C27" s="17" t="e">
        <f>'Акт согласования'!C40</f>
        <v>#REF!</v>
      </c>
      <c r="D27" s="17" t="e">
        <f>'Акт согласования'!D40</f>
        <v>#REF!</v>
      </c>
      <c r="E27" s="321"/>
    </row>
    <row r="28" spans="1:5" ht="17.25" hidden="1" customHeight="1">
      <c r="A28" s="17" t="e">
        <f>'Акт согласования'!A41</f>
        <v>#REF!</v>
      </c>
      <c r="B28" s="17" t="e">
        <f>'Акт согласования'!B41</f>
        <v>#REF!</v>
      </c>
      <c r="C28" s="17" t="e">
        <f>'Акт согласования'!C41</f>
        <v>#REF!</v>
      </c>
      <c r="D28" s="17" t="e">
        <f>'Акт согласования'!D41</f>
        <v>#REF!</v>
      </c>
      <c r="E28" s="321"/>
    </row>
    <row r="29" spans="1:5" ht="17.25" hidden="1" customHeight="1">
      <c r="A29" s="17" t="e">
        <f>'Акт согласования'!A42</f>
        <v>#REF!</v>
      </c>
      <c r="B29" s="17" t="e">
        <f>'Акт согласования'!B42</f>
        <v>#REF!</v>
      </c>
      <c r="C29" s="17" t="e">
        <f>'Акт согласования'!C42</f>
        <v>#REF!</v>
      </c>
      <c r="D29" s="17" t="e">
        <f>'Акт согласования'!D42</f>
        <v>#REF!</v>
      </c>
      <c r="E29" s="321"/>
    </row>
    <row r="30" spans="1:5" ht="17.25" hidden="1" customHeight="1">
      <c r="A30" s="17" t="e">
        <f>'Акт согласования'!A43</f>
        <v>#REF!</v>
      </c>
      <c r="B30" s="17" t="e">
        <f>'Акт согласования'!B43</f>
        <v>#REF!</v>
      </c>
      <c r="C30" s="17" t="e">
        <f>'Акт согласования'!C43</f>
        <v>#REF!</v>
      </c>
      <c r="D30" s="17" t="e">
        <f>'Акт согласования'!D43</f>
        <v>#REF!</v>
      </c>
      <c r="E30" s="322"/>
    </row>
    <row r="31" spans="1:5" ht="17.25" hidden="1" customHeight="1">
      <c r="A31" s="17" t="e">
        <f>'Акт согласования'!A44</f>
        <v>#REF!</v>
      </c>
      <c r="B31" s="17" t="e">
        <f>'Акт согласования'!B44</f>
        <v>#REF!</v>
      </c>
      <c r="C31" s="17" t="e">
        <f>'Акт согласования'!C44</f>
        <v>#REF!</v>
      </c>
      <c r="D31" s="17" t="e">
        <f>'Акт согласования'!D44</f>
        <v>#REF!</v>
      </c>
      <c r="E31" s="17" t="str">
        <f>'Акт согласования'!E44</f>
        <v>40 500 000,00</v>
      </c>
    </row>
    <row r="32" spans="1:5" ht="18.75" hidden="1" customHeight="1">
      <c r="A32" s="341" t="e">
        <f>_xlfn.SINGLE('Акт согласования'!#REF!)</f>
        <v>#REF!</v>
      </c>
      <c r="B32" s="341"/>
      <c r="C32" s="341"/>
      <c r="D32" s="341"/>
      <c r="E32" s="341"/>
    </row>
    <row r="33" spans="1:5" ht="24.75" hidden="1" customHeight="1">
      <c r="A33" s="341" t="e">
        <f>_xlfn.SINGLE('Акт согласования'!#REF!)</f>
        <v>#REF!</v>
      </c>
      <c r="B33" s="341"/>
      <c r="C33" s="341"/>
      <c r="D33" s="341"/>
      <c r="E33" s="341"/>
    </row>
    <row r="34" spans="1:5" ht="30.75" hidden="1" customHeight="1">
      <c r="A34" s="341" t="e">
        <f>_xlfn.SINGLE('Акт согласования'!#REF!)</f>
        <v>#REF!</v>
      </c>
      <c r="B34" s="341"/>
      <c r="C34" s="341"/>
      <c r="D34" s="341"/>
      <c r="E34" s="341"/>
    </row>
    <row r="35" spans="1:5" ht="15" hidden="1" customHeight="1">
      <c r="A35" s="341" t="e">
        <f>_xlfn.SINGLE('Акт согласования'!#REF!)</f>
        <v>#REF!</v>
      </c>
      <c r="B35" s="341"/>
      <c r="C35" s="341"/>
      <c r="D35" s="341"/>
      <c r="E35" s="341"/>
    </row>
    <row r="36" spans="1:5">
      <c r="A36" s="22"/>
      <c r="B36" s="22"/>
      <c r="C36" s="22"/>
      <c r="D36" s="22"/>
      <c r="E36" s="22"/>
    </row>
    <row r="37" spans="1:5" s="130" customFormat="1" ht="51" customHeight="1">
      <c r="A37" s="344" t="str">
        <f>'Акт согласования'!A46:E46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44"/>
      <c r="C37" s="344"/>
      <c r="D37" s="344"/>
      <c r="E37" s="344"/>
    </row>
    <row r="38" spans="1:5" ht="40.5" customHeight="1">
      <c r="A38" s="341" t="str">
        <f>'Акт согласования'!A47:E47</f>
        <v>Shu bilan birga, garov predmetining kelishilgan garov qiymati deganda ushbu mulk garov sifatida taqdim etilgan/qabul qilingan qiymati tushuniladi.</v>
      </c>
      <c r="B38" s="341"/>
      <c r="C38" s="341"/>
      <c r="D38" s="341"/>
      <c r="E38" s="341"/>
    </row>
    <row r="39" spans="1:5" ht="39" customHeight="1">
      <c r="A39" s="341"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"&amp;'Общие данные'!B74&amp;",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11 mart 2025 y.dan № -AL, при сохранении запрета.</v>
      </c>
      <c r="B39" s="341"/>
      <c r="C39" s="341"/>
      <c r="D39" s="341"/>
      <c r="E39" s="341"/>
    </row>
    <row r="40" spans="1:5">
      <c r="A40" s="342"/>
      <c r="B40" s="342"/>
      <c r="C40" s="342"/>
      <c r="D40" s="342"/>
      <c r="E40" s="342"/>
    </row>
    <row r="41" spans="1:5">
      <c r="A41" s="343" t="s">
        <v>37</v>
      </c>
      <c r="B41" s="343"/>
      <c r="C41" s="343"/>
      <c r="D41" s="343"/>
      <c r="E41" s="343"/>
    </row>
    <row r="42" spans="1:5">
      <c r="A42" s="342"/>
      <c r="B42" s="342"/>
      <c r="C42" s="342"/>
      <c r="D42" s="342"/>
      <c r="E42" s="342"/>
    </row>
    <row r="43" spans="1:5">
      <c r="A43" s="343" t="s">
        <v>38</v>
      </c>
      <c r="B43" s="343"/>
      <c r="C43" s="343"/>
      <c r="D43" s="343"/>
      <c r="E43" s="343"/>
    </row>
    <row r="44" spans="1:5" ht="28.5" customHeight="1">
      <c r="A44" s="340" t="s">
        <v>39</v>
      </c>
      <c r="B44" s="340"/>
      <c r="C44" s="340"/>
      <c r="D44" s="340"/>
      <c r="E44" s="110" t="s">
        <v>2</v>
      </c>
    </row>
  </sheetData>
  <mergeCells count="18">
    <mergeCell ref="A37:E37"/>
    <mergeCell ref="E20:E30"/>
    <mergeCell ref="A9:E9"/>
    <mergeCell ref="A32:E32"/>
    <mergeCell ref="A33:E33"/>
    <mergeCell ref="A34:E34"/>
    <mergeCell ref="A35:E35"/>
    <mergeCell ref="A16:E16"/>
    <mergeCell ref="A15:E15"/>
    <mergeCell ref="A14:E14"/>
    <mergeCell ref="A13:E13"/>
    <mergeCell ref="A44:D44"/>
    <mergeCell ref="A38:E38"/>
    <mergeCell ref="A39:E39"/>
    <mergeCell ref="A40:E40"/>
    <mergeCell ref="A41:E41"/>
    <mergeCell ref="A42:E42"/>
    <mergeCell ref="A43:E4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view="pageBreakPreview" topLeftCell="A10" zoomScaleNormal="100" zoomScaleSheetLayoutView="100" workbookViewId="0">
      <selection activeCell="X37" sqref="X37"/>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9" width="9.140625" style="24" hidden="1" customWidth="1"/>
    <col min="10" max="10" width="9.140625" style="24" customWidth="1"/>
    <col min="11" max="11" width="0.5703125" style="24" customWidth="1"/>
    <col min="12" max="16384" width="9.140625" style="24"/>
  </cols>
  <sheetData>
    <row r="1" spans="1:9">
      <c r="A1" s="31"/>
      <c r="B1" s="31"/>
      <c r="C1" s="31"/>
      <c r="D1" s="31"/>
      <c r="E1" s="31"/>
      <c r="F1" s="31"/>
      <c r="G1" s="31"/>
      <c r="H1" s="31"/>
      <c r="I1" s="31"/>
    </row>
    <row r="2" spans="1:9">
      <c r="A2" s="353" t="str">
        <f>""&amp;" "&amp;'Общие данные'!B74&amp;"-sonli "&amp;" "&amp;'Общие данные'!C64&amp;" shartnomasi bo‘yicha
 garovga qo‘yilgan mol-mulkni tekshirish bo’yicha "&amp;'Общие данные'!B5&amp;" bilan tuzilgan dalolatnomasi"</f>
        <v xml:space="preserve"> 11 mart 2025 y.dan № -AL-sonli  Mikroqarz shartnomasi bo‘yicha
 garovga qo‘yilgan mol-mulkni tekshirish bo’yicha NUTFULLAYEV AKBARJON AXMEDOVICH bilan tuzilgan dalolatnomasi</v>
      </c>
      <c r="B2" s="353"/>
      <c r="C2" s="353"/>
      <c r="D2" s="353"/>
      <c r="E2" s="353"/>
      <c r="F2" s="353"/>
      <c r="G2" s="353"/>
      <c r="H2" s="353"/>
      <c r="I2" s="31"/>
    </row>
    <row r="3" spans="1:9">
      <c r="A3" s="353"/>
      <c r="B3" s="353"/>
      <c r="C3" s="353"/>
      <c r="D3" s="353"/>
      <c r="E3" s="353"/>
      <c r="F3" s="353"/>
      <c r="G3" s="353"/>
      <c r="H3" s="353"/>
      <c r="I3" s="31"/>
    </row>
    <row r="5" spans="1:9">
      <c r="A5" s="24" t="s">
        <v>203</v>
      </c>
      <c r="F5" s="156"/>
      <c r="H5" s="141" t="str">
        <f>TEXT('Общие данные'!D2,"ДД.ММ.ГГГГ")</f>
        <v>07.09.2025</v>
      </c>
    </row>
    <row r="7" spans="1:9" ht="45" customHeight="1">
      <c r="A7" s="352" t="str">
        <f>"      Men, “СLEVER MIKROMOLYA TASHKILOTI” "&amp;'Общие данные'!A150&amp;"i "&amp;'Общие данные'!B150&amp;", jismoniy shaxs "&amp;" "&amp;'Общие данные'!B5&amp;" "&amp;" "&amp;'Общие данные'!B74&amp;"-sonli "&amp;'Общие данные'!B65&amp;" shartnomasi bo‘yicha garovga qo‘yilgan mol-mulkni ko‘zdan kechirdim"</f>
        <v xml:space="preserve">      Men, “СLEVER MIKROMOLYA TASHKILOTI” Olmaliq filiali boshlig'ii V. Yerjanov, jismoniy shaxs  NUTFULLAYEV AKBARJON AXMEDOVICH  11 mart 2025 y.dan № -AL-sonli mikroqarz shartnomasi bo‘yicha garovga qo‘yilgan mol-mulkni ko‘zdan kechirdim</v>
      </c>
      <c r="B7" s="352"/>
      <c r="C7" s="352"/>
      <c r="D7" s="352"/>
      <c r="E7" s="352"/>
      <c r="F7" s="352"/>
      <c r="G7" s="352"/>
      <c r="H7" s="352"/>
    </row>
    <row r="8" spans="1:9" ht="19.5" customHeight="1">
      <c r="A8" s="347" t="s">
        <v>276</v>
      </c>
      <c r="B8" s="347"/>
      <c r="C8" s="347"/>
      <c r="D8" s="347"/>
      <c r="E8" s="347"/>
      <c r="F8" s="347"/>
      <c r="G8" s="347"/>
      <c r="H8" s="347"/>
    </row>
    <row r="9" spans="1:9" s="142" customFormat="1" ht="32.25" customHeight="1">
      <c r="A9" s="348" t="str">
        <f>'Акт согласования'!A20</f>
        <v>Nomi</v>
      </c>
      <c r="B9" s="349"/>
      <c r="C9" s="348" t="str">
        <f>'Акт согласования'!B20</f>
        <v>Kuzov turi  va kuzov raqami*</v>
      </c>
      <c r="D9" s="349"/>
      <c r="E9" s="348" t="str">
        <f>'Акт согласования'!D20</f>
        <v>Dvigatel va shassi raqami*</v>
      </c>
      <c r="F9" s="349"/>
      <c r="G9" s="348" t="str">
        <f>'Акт согласования'!E20</f>
        <v>Ishlab chiqarilgan yili va rangi**</v>
      </c>
      <c r="H9" s="349"/>
    </row>
    <row r="10" spans="1:9" s="140" customFormat="1" ht="58.5" customHeight="1">
      <c r="A10" s="350" t="str">
        <f>'Акт согласования'!A21</f>
        <v>CHANGAN CHANGAN SC 1027SB</v>
      </c>
      <c r="B10" s="350"/>
      <c r="C10" s="350" t="str">
        <f>'Акт согласования'!B21</f>
        <v>kuzov turi - YUK BORTLI TENT, kuzov raqami LSCAB23D8EG228387</v>
      </c>
      <c r="D10" s="350"/>
      <c r="E10" s="350" t="str">
        <f>'Акт согласования'!D21</f>
        <v>dvigatel raqami JL466Q1%E61H022801, shassi raqami - URINDIKLAR SONI 5TA</v>
      </c>
      <c r="F10" s="350"/>
      <c r="G10" s="350" t="str">
        <f>'Акт согласования'!E21</f>
        <v>rangi -  OQ BELIY, ishlab chiqarilgan yili - 2014</v>
      </c>
      <c r="H10" s="350"/>
    </row>
    <row r="11" spans="1:9" ht="19.5" customHeight="1">
      <c r="A11" s="351" t="str">
        <f>'Акт согласования'!A22:E22</f>
        <v>-* avtotransport egasi: NUTFULLAYEV AKBARJON AXMEDOVICH</v>
      </c>
      <c r="B11" s="351"/>
      <c r="C11" s="351"/>
      <c r="D11" s="351"/>
      <c r="E11" s="351"/>
      <c r="F11" s="351"/>
      <c r="G11" s="351"/>
      <c r="H11" s="351"/>
    </row>
    <row r="12" spans="1:9" ht="19.5" customHeight="1">
      <c r="A12" s="351" t="str">
        <f>'Акт согласования'!A23:E23</f>
        <v>-* texnik pasport: AAG   2346592  13.09.2023y</v>
      </c>
      <c r="B12" s="351"/>
      <c r="C12" s="351"/>
      <c r="D12" s="351"/>
      <c r="E12" s="351"/>
      <c r="F12" s="351"/>
      <c r="G12" s="351"/>
      <c r="H12" s="351"/>
    </row>
    <row r="13" spans="1:9" ht="19.5" customHeight="1">
      <c r="A13" s="351" t="str">
        <f>'Акт согласования'!A24:E24</f>
        <v>-* roʻyxatdan oʻtgan manzili/garaj manzili: BUXORO VILOYATI BUXORO SHAHAR TADBIRKOR KO'CHASI 12-UY</v>
      </c>
      <c r="B13" s="351"/>
      <c r="C13" s="351"/>
      <c r="D13" s="351"/>
      <c r="E13" s="351"/>
      <c r="F13" s="351"/>
      <c r="G13" s="351"/>
      <c r="H13" s="351"/>
    </row>
    <row r="14" spans="1:9" ht="19.5" customHeight="1">
      <c r="A14" s="351" t="str">
        <f>'Акт согласования'!A25:E25</f>
        <v>-* davlat raqami: 80T312WA</v>
      </c>
      <c r="B14" s="351"/>
      <c r="C14" s="351"/>
      <c r="D14" s="351"/>
      <c r="E14" s="351"/>
      <c r="F14" s="351"/>
      <c r="G14" s="351"/>
      <c r="H14" s="351"/>
    </row>
    <row r="15" spans="1:9" ht="33.75" customHeight="1">
      <c r="A15" s="354" t="str">
        <f>+"Shu bilan birga, yuqoridagi mulkning kelishilgan garov qiymati "&amp;'Акт согласования'!E30</f>
        <v>Shu bilan birga, yuqoridagi mulkning kelishilgan garov qiymati 40 500 000,00 
(qirq million besh yuz ming so'm)</v>
      </c>
      <c r="B15" s="354"/>
      <c r="C15" s="354"/>
      <c r="D15" s="354"/>
      <c r="E15" s="354"/>
      <c r="F15" s="354"/>
      <c r="G15" s="354"/>
      <c r="H15" s="354"/>
    </row>
    <row r="17" spans="1:8" ht="27" customHeight="1">
      <c r="A17" s="346" t="s">
        <v>277</v>
      </c>
      <c r="B17" s="346"/>
      <c r="C17" s="346"/>
      <c r="D17" s="346"/>
      <c r="E17" s="346"/>
      <c r="F17" s="346"/>
      <c r="G17" s="346"/>
      <c r="H17" s="346"/>
    </row>
    <row r="21" spans="1:8" s="31" customFormat="1"/>
    <row r="22" spans="1:8" s="31" customFormat="1">
      <c r="A22" s="31" t="str">
        <f>'Общие данные'!A150</f>
        <v>Olmaliq filiali boshlig'i</v>
      </c>
      <c r="H22" s="143" t="str">
        <f>'Общие данные'!B150</f>
        <v>V. Yerjanov</v>
      </c>
    </row>
    <row r="23" spans="1:8" s="31" customFormat="1" ht="32.25" customHeight="1">
      <c r="H23" s="143"/>
    </row>
    <row r="24" spans="1:8" s="31" customFormat="1" ht="16.5" customHeight="1">
      <c r="A24" s="31" t="s">
        <v>278</v>
      </c>
      <c r="H24" s="31" t="str">
        <f>'Общие данные'!B160</f>
        <v>B. Jumanazarov</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row r="30" spans="1:8" s="31" customFormat="1"/>
  </sheetData>
  <mergeCells count="17">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topLeftCell="A12" zoomScale="115" zoomScaleNormal="100" zoomScaleSheetLayoutView="115" workbookViewId="0">
      <selection activeCell="E23" sqref="E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53" t="str">
        <f>""&amp;" "&amp;'Общие данные'!B74&amp;"-sonli "&amp;" "&amp;'Общие данные'!C64&amp;" shartnomasi bo‘yicha
 garovga qo‘yilgan mol-mulkni tekshirish bo’yicha "&amp;'Общие данные'!B5&amp;" bilan tuzilgan dalolatnomasi"</f>
        <v xml:space="preserve"> 11 mart 2025 y.dan № -AL-sonli  Mikroqarz shartnomasi bo‘yicha
 garovga qo‘yilgan mol-mulkni tekshirish bo’yicha NUTFULLAYEV AKBARJON AXMEDOVICH bilan tuzilgan dalolatnomasi</v>
      </c>
      <c r="B2" s="353"/>
      <c r="C2" s="353"/>
      <c r="D2" s="353"/>
      <c r="E2" s="353"/>
      <c r="F2" s="353"/>
      <c r="G2" s="353"/>
      <c r="H2" s="353"/>
      <c r="I2" s="31"/>
    </row>
    <row r="3" spans="1:9">
      <c r="A3" s="353"/>
      <c r="B3" s="353"/>
      <c r="C3" s="353"/>
      <c r="D3" s="353"/>
      <c r="E3" s="353"/>
      <c r="F3" s="353"/>
      <c r="G3" s="353"/>
      <c r="H3" s="353"/>
      <c r="I3" s="31"/>
    </row>
    <row r="5" spans="1:9">
      <c r="A5" s="24" t="s">
        <v>203</v>
      </c>
      <c r="H5" s="141" t="str">
        <f>TEXT(+'Общие данные'!B2+360,"ДД.ММ.ГГГГ")</f>
        <v>06.03.2026</v>
      </c>
    </row>
    <row r="7" spans="1:9" ht="45" customHeight="1">
      <c r="A7" s="352"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Olmaliq filiali boshlig'ii V. Yerjanov, jismoniy shaxs  NUTFULLAYEV AKBARJON AXMEDOVICH  11 mart 2025 y.dan № -AL-sonli Mikroqarz shartnomasi bo‘yicha garovga qo‘yilgan mol-mulkni ko‘zdan kechirdim</v>
      </c>
      <c r="B7" s="352"/>
      <c r="C7" s="352"/>
      <c r="D7" s="352"/>
      <c r="E7" s="352"/>
      <c r="F7" s="352"/>
      <c r="G7" s="352"/>
      <c r="H7" s="352"/>
    </row>
    <row r="8" spans="1:9" ht="19.5" customHeight="1">
      <c r="A8" s="347" t="s">
        <v>276</v>
      </c>
      <c r="B8" s="347"/>
      <c r="C8" s="347"/>
      <c r="D8" s="347"/>
      <c r="E8" s="347"/>
      <c r="F8" s="347"/>
      <c r="G8" s="347"/>
      <c r="H8" s="347"/>
    </row>
    <row r="9" spans="1:9" s="142" customFormat="1" ht="32.25" customHeight="1">
      <c r="A9" s="348" t="str">
        <f>' Акт мониторинга 1'!A9</f>
        <v>Nomi</v>
      </c>
      <c r="B9" s="349"/>
      <c r="C9" s="348" t="str">
        <f>' Акт мониторинга 1'!C9</f>
        <v>Kuzov turi  va kuzov raqami*</v>
      </c>
      <c r="D9" s="349"/>
      <c r="E9" s="348" t="str">
        <f>' Акт мониторинга 1'!E9</f>
        <v>Dvigatel va shassi raqami*</v>
      </c>
      <c r="F9" s="349"/>
      <c r="G9" s="348" t="str">
        <f>' Акт мониторинга 1'!G9</f>
        <v>Ishlab chiqarilgan yili va rangi**</v>
      </c>
      <c r="H9" s="349"/>
    </row>
    <row r="10" spans="1:9" s="140" customFormat="1" ht="58.5" customHeight="1">
      <c r="A10" s="350" t="str">
        <f>' Акт мониторинга 1'!A10</f>
        <v>CHANGAN CHANGAN SC 1027SB</v>
      </c>
      <c r="B10" s="350"/>
      <c r="C10" s="350" t="str">
        <f>' Акт мониторинга 1'!C10</f>
        <v>kuzov turi - YUK BORTLI TENT, kuzov raqami LSCAB23D8EG228387</v>
      </c>
      <c r="D10" s="350"/>
      <c r="E10" s="350" t="str">
        <f>' Акт мониторинга 1'!E10</f>
        <v>dvigatel raqami JL466Q1%E61H022801, shassi raqami - URINDIKLAR SONI 5TA</v>
      </c>
      <c r="F10" s="350"/>
      <c r="G10" s="350" t="str">
        <f>' Акт мониторинга 1'!G10</f>
        <v>rangi -  OQ BELIY, ishlab chiqarilgan yili - 2014</v>
      </c>
      <c r="H10" s="350"/>
    </row>
    <row r="11" spans="1:9" ht="19.5" customHeight="1">
      <c r="A11" s="351" t="str">
        <f>'Акт согласования'!A22:E22</f>
        <v>-* avtotransport egasi: NUTFULLAYEV AKBARJON AXMEDOVICH</v>
      </c>
      <c r="B11" s="351"/>
      <c r="C11" s="351"/>
      <c r="D11" s="351"/>
      <c r="E11" s="351"/>
      <c r="F11" s="351"/>
      <c r="G11" s="351"/>
      <c r="H11" s="351"/>
    </row>
    <row r="12" spans="1:9" ht="19.5" customHeight="1">
      <c r="A12" s="351" t="str">
        <f>'Акт согласования'!A23:E23</f>
        <v>-* texnik pasport: AAG   2346592  13.09.2023y</v>
      </c>
      <c r="B12" s="351"/>
      <c r="C12" s="351"/>
      <c r="D12" s="351"/>
      <c r="E12" s="351"/>
      <c r="F12" s="351"/>
      <c r="G12" s="351"/>
      <c r="H12" s="351"/>
    </row>
    <row r="13" spans="1:9" ht="19.5" customHeight="1">
      <c r="A13" s="351" t="str">
        <f>'Акт согласования'!A24:E24</f>
        <v>-* roʻyxatdan oʻtgan manzili/garaj manzili: BUXORO VILOYATI BUXORO SHAHAR TADBIRKOR KO'CHASI 12-UY</v>
      </c>
      <c r="B13" s="351"/>
      <c r="C13" s="351"/>
      <c r="D13" s="351"/>
      <c r="E13" s="351"/>
      <c r="F13" s="351"/>
      <c r="G13" s="351"/>
      <c r="H13" s="351"/>
    </row>
    <row r="14" spans="1:9" ht="19.5" customHeight="1">
      <c r="A14" s="351" t="str">
        <f>'Акт согласования'!A25:E25</f>
        <v>-* davlat raqami: 80T312WA</v>
      </c>
      <c r="B14" s="351"/>
      <c r="C14" s="351"/>
      <c r="D14" s="351"/>
      <c r="E14" s="351"/>
      <c r="F14" s="351"/>
      <c r="G14" s="351"/>
      <c r="H14" s="351"/>
    </row>
    <row r="15" spans="1:9" ht="33.75" customHeight="1">
      <c r="A15" s="354" t="str">
        <f>+"Shu bilan birga, yuqoridagi mulkning kelishilgan garov qiymati "&amp;'Акт согласования'!E30</f>
        <v>Shu bilan birga, yuqoridagi mulkning kelishilgan garov qiymati 40 500 000,00 
(qirq million besh yuz ming so'm)</v>
      </c>
      <c r="B15" s="354"/>
      <c r="C15" s="354"/>
      <c r="D15" s="354"/>
      <c r="E15" s="354"/>
      <c r="F15" s="354"/>
      <c r="G15" s="354"/>
      <c r="H15" s="354"/>
    </row>
    <row r="17" spans="1:8" ht="35.25" customHeight="1">
      <c r="A17" s="346" t="s">
        <v>277</v>
      </c>
      <c r="B17" s="346"/>
      <c r="C17" s="346"/>
      <c r="D17" s="346"/>
      <c r="E17" s="346"/>
      <c r="F17" s="346"/>
      <c r="G17" s="346"/>
      <c r="H17" s="346"/>
    </row>
    <row r="21" spans="1:8" s="31" customFormat="1"/>
    <row r="22" spans="1:8" s="31" customFormat="1">
      <c r="A22" s="31" t="str">
        <f>'Общие данные'!A150</f>
        <v>Olmaliq filiali boshlig'i</v>
      </c>
      <c r="H22" s="143" t="str">
        <f>'Общие данные'!B150</f>
        <v>V. Yerjanov</v>
      </c>
    </row>
    <row r="23" spans="1:8" s="31" customFormat="1" ht="32.25" customHeight="1">
      <c r="H23" s="143"/>
    </row>
    <row r="24" spans="1:8" s="31" customFormat="1" ht="16.5" customHeight="1">
      <c r="A24" s="31" t="s">
        <v>278</v>
      </c>
      <c r="H24" s="31" t="str">
        <f>'Общие данные'!B160</f>
        <v>B. Jumanazarov</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topLeftCell="A6" zoomScaleNormal="100" zoomScaleSheetLayoutView="100" workbookViewId="0">
      <selection activeCell="C23" sqref="C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53" t="str">
        <f>""&amp;" "&amp;'Общие данные'!B74&amp;"-sonli "&amp;" "&amp;'Общие данные'!C64&amp;" shartnomasi bo‘yicha
 garovga qo‘yilgan mol-mulkni tekshirish bo’yicha "&amp;'Общие данные'!B5&amp;" bilan tuzilgan dalolatnomasi"</f>
        <v xml:space="preserve"> 11 mart 2025 y.dan № -AL-sonli  Mikroqarz shartnomasi bo‘yicha
 garovga qo‘yilgan mol-mulkni tekshirish bo’yicha NUTFULLAYEV AKBARJON AXMEDOVICH bilan tuzilgan dalolatnomasi</v>
      </c>
      <c r="B2" s="353"/>
      <c r="C2" s="353"/>
      <c r="D2" s="353"/>
      <c r="E2" s="353"/>
      <c r="F2" s="353"/>
      <c r="G2" s="353"/>
      <c r="H2" s="353"/>
      <c r="I2" s="31"/>
    </row>
    <row r="3" spans="1:9">
      <c r="A3" s="353"/>
      <c r="B3" s="353"/>
      <c r="C3" s="353"/>
      <c r="D3" s="353"/>
      <c r="E3" s="353"/>
      <c r="F3" s="353"/>
      <c r="G3" s="353"/>
      <c r="H3" s="353"/>
      <c r="I3" s="31"/>
    </row>
    <row r="5" spans="1:9">
      <c r="A5" s="24" t="s">
        <v>203</v>
      </c>
      <c r="H5" s="141" t="str">
        <f>TEXT(+'Общие данные'!B2+540,"ДД.ММ.ГГГГ")</f>
        <v>02.09.2026</v>
      </c>
    </row>
    <row r="7" spans="1:9" ht="45" customHeight="1">
      <c r="A7" s="352"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Olmaliq filiali boshlig'ii V. Yerjanov, jismoniy shaxs  NUTFULLAYEV AKBARJON AXMEDOVICH  11 mart 2025 y.dan № -AL-sonli Mikroqarz shartnomasi bo‘yicha garovga qo‘yilgan mol-mulkni ko‘zdan kechirdim</v>
      </c>
      <c r="B7" s="352"/>
      <c r="C7" s="352"/>
      <c r="D7" s="352"/>
      <c r="E7" s="352"/>
      <c r="F7" s="352"/>
      <c r="G7" s="352"/>
      <c r="H7" s="352"/>
    </row>
    <row r="8" spans="1:9" ht="19.5" customHeight="1">
      <c r="A8" s="347" t="s">
        <v>276</v>
      </c>
      <c r="B8" s="347"/>
      <c r="C8" s="347"/>
      <c r="D8" s="347"/>
      <c r="E8" s="347"/>
      <c r="F8" s="347"/>
      <c r="G8" s="347"/>
      <c r="H8" s="347"/>
    </row>
    <row r="9" spans="1:9" s="142" customFormat="1" ht="32.25" customHeight="1">
      <c r="A9" s="348" t="str">
        <f>' Акт мониторинга 1'!A9</f>
        <v>Nomi</v>
      </c>
      <c r="B9" s="349"/>
      <c r="C9" s="348" t="str">
        <f>' Акт мониторинга 1'!C9</f>
        <v>Kuzov turi  va kuzov raqami*</v>
      </c>
      <c r="D9" s="349"/>
      <c r="E9" s="348" t="str">
        <f>' Акт мониторинга 1'!E9</f>
        <v>Dvigatel va shassi raqami*</v>
      </c>
      <c r="F9" s="349"/>
      <c r="G9" s="348" t="str">
        <f>' Акт мониторинга 1'!G9</f>
        <v>Ishlab chiqarilgan yili va rangi**</v>
      </c>
      <c r="H9" s="349"/>
    </row>
    <row r="10" spans="1:9" s="140" customFormat="1" ht="58.5" customHeight="1">
      <c r="A10" s="355" t="str">
        <f>' Акт мониторинга 1'!A10</f>
        <v>CHANGAN CHANGAN SC 1027SB</v>
      </c>
      <c r="B10" s="356"/>
      <c r="C10" s="355" t="str">
        <f>' Акт мониторинга 1'!C10</f>
        <v>kuzov turi - YUK BORTLI TENT, kuzov raqami LSCAB23D8EG228387</v>
      </c>
      <c r="D10" s="356"/>
      <c r="E10" s="355" t="str">
        <f>' Акт мониторинга 1'!E10</f>
        <v>dvigatel raqami JL466Q1%E61H022801, shassi raqami - URINDIKLAR SONI 5TA</v>
      </c>
      <c r="F10" s="356"/>
      <c r="G10" s="355" t="str">
        <f>' Акт мониторинга 1'!G10</f>
        <v>rangi -  OQ BELIY, ishlab chiqarilgan yili - 2014</v>
      </c>
      <c r="H10" s="356"/>
    </row>
    <row r="11" spans="1:9" ht="19.5" customHeight="1">
      <c r="A11" s="351" t="str">
        <f>'Акт согласования'!A22:E22</f>
        <v>-* avtotransport egasi: NUTFULLAYEV AKBARJON AXMEDOVICH</v>
      </c>
      <c r="B11" s="351"/>
      <c r="C11" s="351"/>
      <c r="D11" s="351"/>
      <c r="E11" s="351"/>
      <c r="F11" s="351"/>
      <c r="G11" s="351"/>
      <c r="H11" s="351"/>
    </row>
    <row r="12" spans="1:9" ht="19.5" customHeight="1">
      <c r="A12" s="351" t="str">
        <f>'Акт согласования'!A23:E23</f>
        <v>-* texnik pasport: AAG   2346592  13.09.2023y</v>
      </c>
      <c r="B12" s="351"/>
      <c r="C12" s="351"/>
      <c r="D12" s="351"/>
      <c r="E12" s="351"/>
      <c r="F12" s="351"/>
      <c r="G12" s="351"/>
      <c r="H12" s="351"/>
    </row>
    <row r="13" spans="1:9" ht="19.5" customHeight="1">
      <c r="A13" s="351" t="str">
        <f>'Акт согласования'!A24:E24</f>
        <v>-* roʻyxatdan oʻtgan manzili/garaj manzili: BUXORO VILOYATI BUXORO SHAHAR TADBIRKOR KO'CHASI 12-UY</v>
      </c>
      <c r="B13" s="351"/>
      <c r="C13" s="351"/>
      <c r="D13" s="351"/>
      <c r="E13" s="351"/>
      <c r="F13" s="351"/>
      <c r="G13" s="351"/>
      <c r="H13" s="351"/>
    </row>
    <row r="14" spans="1:9" ht="19.5" customHeight="1">
      <c r="A14" s="351" t="str">
        <f>'Акт согласования'!A25:E25</f>
        <v>-* davlat raqami: 80T312WA</v>
      </c>
      <c r="B14" s="351"/>
      <c r="C14" s="351"/>
      <c r="D14" s="351"/>
      <c r="E14" s="351"/>
      <c r="F14" s="351"/>
      <c r="G14" s="351"/>
      <c r="H14" s="351"/>
    </row>
    <row r="15" spans="1:9" ht="33.75" customHeight="1">
      <c r="A15" s="354" t="str">
        <f>+"Shu bilan birga, yuqoridagi mulkning kelishilgan garov qiymati "&amp;'Акт согласования'!E30</f>
        <v>Shu bilan birga, yuqoridagi mulkning kelishilgan garov qiymati 40 500 000,00 
(qirq million besh yuz ming so'm)</v>
      </c>
      <c r="B15" s="354"/>
      <c r="C15" s="354"/>
      <c r="D15" s="354"/>
      <c r="E15" s="354"/>
      <c r="F15" s="354"/>
      <c r="G15" s="354"/>
      <c r="H15" s="354"/>
    </row>
    <row r="17" spans="1:8" s="140" customFormat="1" ht="32.25" customHeight="1">
      <c r="A17" s="346" t="s">
        <v>277</v>
      </c>
      <c r="B17" s="346"/>
      <c r="C17" s="346"/>
      <c r="D17" s="346"/>
      <c r="E17" s="346"/>
      <c r="F17" s="346"/>
      <c r="G17" s="346"/>
      <c r="H17" s="346"/>
    </row>
    <row r="21" spans="1:8" s="31" customFormat="1"/>
    <row r="22" spans="1:8" s="31" customFormat="1">
      <c r="A22" s="31" t="str">
        <f>'Общие данные'!A150</f>
        <v>Olmaliq filiali boshlig'i</v>
      </c>
      <c r="H22" s="143" t="str">
        <f>'Общие данные'!B150</f>
        <v>V. Yerjanov</v>
      </c>
    </row>
    <row r="23" spans="1:8" s="31" customFormat="1" ht="32.25" customHeight="1">
      <c r="H23" s="143"/>
    </row>
    <row r="24" spans="1:8" s="31" customFormat="1" ht="16.5" customHeight="1">
      <c r="A24" s="31" t="s">
        <v>278</v>
      </c>
      <c r="H24" s="31" t="str">
        <f>'Общие данные'!B160</f>
        <v>B. Jumanazarov</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topLeftCell="A16" zoomScaleNormal="100" zoomScaleSheetLayoutView="100" workbookViewId="0">
      <selection activeCell="G1" sqref="G1"/>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53" t="str">
        <f>""&amp;" "&amp;'Общие данные'!B74&amp;"-sonli "&amp;" "&amp;'Общие данные'!C64&amp;" shartnomasi bo‘yicha
 garovga qo‘yilgan mol-mulkni tekshirish bo’yicha "&amp;'Общие данные'!B5&amp;" bilan tuzilgan dalolatnomasi"</f>
        <v xml:space="preserve"> 11 mart 2025 y.dan № -AL-sonli  Mikroqarz shartnomasi bo‘yicha
 garovga qo‘yilgan mol-mulkni tekshirish bo’yicha NUTFULLAYEV AKBARJON AXMEDOVICH bilan tuzilgan dalolatnomasi</v>
      </c>
      <c r="B2" s="353"/>
      <c r="C2" s="353"/>
      <c r="D2" s="353"/>
      <c r="E2" s="353"/>
      <c r="F2" s="353"/>
      <c r="G2" s="353"/>
      <c r="H2" s="353"/>
      <c r="I2" s="31"/>
    </row>
    <row r="3" spans="1:9">
      <c r="A3" s="353"/>
      <c r="B3" s="353"/>
      <c r="C3" s="353"/>
      <c r="D3" s="353"/>
      <c r="E3" s="353"/>
      <c r="F3" s="353"/>
      <c r="G3" s="353"/>
      <c r="H3" s="353"/>
      <c r="I3" s="31"/>
    </row>
    <row r="5" spans="1:9">
      <c r="A5" s="24" t="s">
        <v>203</v>
      </c>
      <c r="H5" s="141" t="str">
        <f>TEXT(+'Общие данные'!B2+720,"ДД.ММ.ГГГГ")</f>
        <v>01.03.2027</v>
      </c>
    </row>
    <row r="7" spans="1:9" ht="45" customHeight="1">
      <c r="A7" s="352"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Olmaliq filiali boshlig'ii V. Yerjanov, jismoniy shaxs  NUTFULLAYEV AKBARJON AXMEDOVICH  11 mart 2025 y.dan № -AL-sonli Mikroqarz shartnomasi bo‘yicha garovga qo‘yilgan mol-mulkni ko‘zdan kechirdim</v>
      </c>
      <c r="B7" s="352"/>
      <c r="C7" s="352"/>
      <c r="D7" s="352"/>
      <c r="E7" s="352"/>
      <c r="F7" s="352"/>
      <c r="G7" s="352"/>
      <c r="H7" s="352"/>
    </row>
    <row r="8" spans="1:9" ht="19.5" customHeight="1">
      <c r="A8" s="347" t="s">
        <v>276</v>
      </c>
      <c r="B8" s="347"/>
      <c r="C8" s="347"/>
      <c r="D8" s="347"/>
      <c r="E8" s="347"/>
      <c r="F8" s="347"/>
      <c r="G8" s="347"/>
      <c r="H8" s="347"/>
    </row>
    <row r="9" spans="1:9" s="142" customFormat="1" ht="32.25" customHeight="1">
      <c r="A9" s="348" t="str">
        <f>' Акт мониторинга 1'!A9</f>
        <v>Nomi</v>
      </c>
      <c r="B9" s="349"/>
      <c r="C9" s="348" t="str">
        <f>' Акт мониторинга 1'!C9</f>
        <v>Kuzov turi  va kuzov raqami*</v>
      </c>
      <c r="D9" s="349"/>
      <c r="E9" s="348" t="str">
        <f>' Акт мониторинга 1'!E9</f>
        <v>Dvigatel va shassi raqami*</v>
      </c>
      <c r="F9" s="349"/>
      <c r="G9" s="348" t="str">
        <f>' Акт мониторинга 1'!G9</f>
        <v>Ishlab chiqarilgan yili va rangi**</v>
      </c>
      <c r="H9" s="349"/>
    </row>
    <row r="10" spans="1:9" s="140" customFormat="1" ht="58.5" customHeight="1">
      <c r="A10" s="350" t="str">
        <f>' Акт мониторинга 1'!A10</f>
        <v>CHANGAN CHANGAN SC 1027SB</v>
      </c>
      <c r="B10" s="350"/>
      <c r="C10" s="350" t="str">
        <f>' Акт мониторинга 1'!C10</f>
        <v>kuzov turi - YUK BORTLI TENT, kuzov raqami LSCAB23D8EG228387</v>
      </c>
      <c r="D10" s="350"/>
      <c r="E10" s="350" t="str">
        <f>' Акт мониторинга 1'!E10</f>
        <v>dvigatel raqami JL466Q1%E61H022801, shassi raqami - URINDIKLAR SONI 5TA</v>
      </c>
      <c r="F10" s="350"/>
      <c r="G10" s="350" t="str">
        <f>' Акт мониторинга 1'!G10</f>
        <v>rangi -  OQ BELIY, ishlab chiqarilgan yili - 2014</v>
      </c>
      <c r="H10" s="350"/>
    </row>
    <row r="11" spans="1:9" ht="19.5" customHeight="1">
      <c r="A11" s="351" t="str">
        <f>'Акт согласования'!A22:E22</f>
        <v>-* avtotransport egasi: NUTFULLAYEV AKBARJON AXMEDOVICH</v>
      </c>
      <c r="B11" s="351"/>
      <c r="C11" s="351"/>
      <c r="D11" s="351"/>
      <c r="E11" s="351"/>
      <c r="F11" s="351"/>
      <c r="G11" s="351"/>
      <c r="H11" s="351"/>
    </row>
    <row r="12" spans="1:9" ht="19.5" customHeight="1">
      <c r="A12" s="351" t="str">
        <f>'Акт согласования'!A23:E23</f>
        <v>-* texnik pasport: AAG   2346592  13.09.2023y</v>
      </c>
      <c r="B12" s="351"/>
      <c r="C12" s="351"/>
      <c r="D12" s="351"/>
      <c r="E12" s="351"/>
      <c r="F12" s="351"/>
      <c r="G12" s="351"/>
      <c r="H12" s="351"/>
    </row>
    <row r="13" spans="1:9" ht="19.5" customHeight="1">
      <c r="A13" s="351" t="str">
        <f>'Акт согласования'!A24:E24</f>
        <v>-* roʻyxatdan oʻtgan manzili/garaj manzili: BUXORO VILOYATI BUXORO SHAHAR TADBIRKOR KO'CHASI 12-UY</v>
      </c>
      <c r="B13" s="351"/>
      <c r="C13" s="351"/>
      <c r="D13" s="351"/>
      <c r="E13" s="351"/>
      <c r="F13" s="351"/>
      <c r="G13" s="351"/>
      <c r="H13" s="351"/>
    </row>
    <row r="14" spans="1:9" ht="19.5" customHeight="1">
      <c r="A14" s="351" t="str">
        <f>'Акт согласования'!A25:E25</f>
        <v>-* davlat raqami: 80T312WA</v>
      </c>
      <c r="B14" s="351"/>
      <c r="C14" s="351"/>
      <c r="D14" s="351"/>
      <c r="E14" s="351"/>
      <c r="F14" s="351"/>
      <c r="G14" s="351"/>
      <c r="H14" s="351"/>
    </row>
    <row r="15" spans="1:9" ht="33.75" customHeight="1">
      <c r="A15" s="354" t="str">
        <f>+"Shu bilan birga, yuqoridagi mulkning kelishilgan garov qiymati "&amp;'Акт согласования'!E30</f>
        <v>Shu bilan birga, yuqoridagi mulkning kelishilgan garov qiymati 40 500 000,00 
(qirq million besh yuz ming so'm)</v>
      </c>
      <c r="B15" s="354"/>
      <c r="C15" s="354"/>
      <c r="D15" s="354"/>
      <c r="E15" s="354"/>
      <c r="F15" s="354"/>
      <c r="G15" s="354"/>
      <c r="H15" s="354"/>
    </row>
    <row r="17" spans="1:8" ht="28.5" customHeight="1">
      <c r="A17" s="346" t="s">
        <v>277</v>
      </c>
      <c r="B17" s="346"/>
      <c r="C17" s="346"/>
      <c r="D17" s="346"/>
      <c r="E17" s="346"/>
      <c r="F17" s="346"/>
      <c r="G17" s="346"/>
      <c r="H17" s="346"/>
    </row>
    <row r="21" spans="1:8" s="31" customFormat="1"/>
    <row r="22" spans="1:8" s="31" customFormat="1">
      <c r="A22" s="31" t="str">
        <f>'Общие данные'!A150</f>
        <v>Olmaliq filiali boshlig'i</v>
      </c>
      <c r="H22" s="143" t="str">
        <f>'Общие данные'!B150</f>
        <v>V. Yerjanov</v>
      </c>
    </row>
    <row r="23" spans="1:8" s="31" customFormat="1" ht="32.25" customHeight="1">
      <c r="H23" s="143"/>
    </row>
    <row r="24" spans="1:8" s="31" customFormat="1" ht="16.5" customHeight="1">
      <c r="A24" s="31" t="s">
        <v>278</v>
      </c>
      <c r="H24" s="31" t="str">
        <f>'Общие данные'!B160</f>
        <v>B. Jumanazarov</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10</vt:i4>
      </vt:variant>
    </vt:vector>
  </HeadingPairs>
  <TitlesOfParts>
    <vt:vector size="31" baseType="lpstr">
      <vt:lpstr>Протокол  (2)</vt:lpstr>
      <vt:lpstr>График дифференц</vt:lpstr>
      <vt:lpstr>Данные для послед. Залога</vt:lpstr>
      <vt:lpstr>Общие данные</vt:lpstr>
      <vt:lpstr>График аннуитет.</vt:lpstr>
      <vt:lpstr>Анкета Клиента</vt:lpstr>
      <vt:lpstr>Анкета 2</vt:lpstr>
      <vt:lpstr>Кредитная заявка</vt:lpstr>
      <vt:lpstr>Мажбуриятнома </vt:lpstr>
      <vt:lpstr>Заключение КК</vt:lpstr>
      <vt:lpstr>договор</vt:lpstr>
      <vt:lpstr>График</vt:lpstr>
      <vt:lpstr>заявление залогодателя</vt:lpstr>
      <vt:lpstr>Акт согласования</vt:lpstr>
      <vt:lpstr>Приказ на сделку</vt:lpstr>
      <vt:lpstr>обложка</vt:lpstr>
      <vt:lpstr>Письмо</vt:lpstr>
      <vt:lpstr> Акт мониторинга 1</vt:lpstr>
      <vt:lpstr> Акт мониторинга 2</vt:lpstr>
      <vt:lpstr> Акт мониторинга 3</vt:lpstr>
      <vt:lpstr> Акт мониторинга 4</vt:lpstr>
      <vt:lpstr>'Акт согласования'!Область_печати</vt:lpstr>
      <vt:lpstr>'Анкета Клиента'!Область_печати</vt:lpstr>
      <vt:lpstr>График!Область_печати</vt:lpstr>
      <vt:lpstr>'График аннуитет.'!Область_печати</vt:lpstr>
      <vt:lpstr>договор!Область_печати</vt:lpstr>
      <vt:lpstr>'Заключение КК'!Область_печати</vt:lpstr>
      <vt:lpstr>'заявление залогодателя'!Область_печати</vt:lpstr>
      <vt:lpstr>'Кредитная заявка'!Область_печати</vt:lpstr>
      <vt:lpstr>обложка!Область_печати</vt:lpstr>
      <vt:lpstr>'Протокол  (2)'!Область_печати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Admin</cp:lastModifiedBy>
  <cp:lastPrinted>2025-01-06T10:54:18Z</cp:lastPrinted>
  <dcterms:created xsi:type="dcterms:W3CDTF">2015-06-05T18:19:34Z</dcterms:created>
  <dcterms:modified xsi:type="dcterms:W3CDTF">2025-03-13T09:03:40Z</dcterms:modified>
</cp:coreProperties>
</file>