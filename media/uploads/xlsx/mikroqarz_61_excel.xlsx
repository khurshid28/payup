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C:\Users\Admin\PycharmProjects\payup\templates\material\example\"/>
    </mc:Choice>
  </mc:AlternateContent>
  <xr:revisionPtr revIDLastSave="0" documentId="8_{CF7A2E49-9AF4-4296-8A37-9D650BB6DCAB}" xr6:coauthVersionLast="47" xr6:coauthVersionMax="47" xr10:uidLastSave="{00000000-0000-0000-0000-000000000000}"/>
  <bookViews>
    <workbookView xWindow="-120" yWindow="-120" windowWidth="29040" windowHeight="15840" tabRatio="915" activeTab="11"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2" sheetId="27" r:id="rId18"/>
    <sheet name=" Акт мониторинга 1" sheetId="26" r:id="rId19"/>
    <sheet name=" Акт мониторинга 3" sheetId="28" r:id="rId20"/>
    <sheet name=" Акт мониторинга 4" sheetId="29" r:id="rId21"/>
  </sheets>
  <externalReferences>
    <externalReference r:id="rId22"/>
  </externalReferences>
  <definedNames>
    <definedName name="mos">'[1]Общие данные'!$C$23:$D$23</definedName>
    <definedName name="mulk">'[1]Общие данные'!$C$24:$W$24</definedName>
    <definedName name="_xlnm.Print_Area" localSheetId="13">'Акт согласования'!$A$1:$E$63</definedName>
    <definedName name="_xlnm.Print_Area" localSheetId="5">'Анкета Клиента'!$A$1:$F$36</definedName>
    <definedName name="_xlnm.Print_Area" localSheetId="11">График!$A$1:$F$63</definedName>
    <definedName name="_xlnm.Print_Area" localSheetId="4">'График аннуитет.'!$A$1:$F$63</definedName>
    <definedName name="_xlnm.Print_Area" localSheetId="10">договор!$A$1:$B$132</definedName>
    <definedName name="_xlnm.Print_Area" localSheetId="12">'заявление залогодателя'!$A$3:$B$20</definedName>
    <definedName name="_xlnm.Print_Area" localSheetId="7">'Кредитная заявка'!$A$1:$D$41</definedName>
    <definedName name="_xlnm.Print_Area" localSheetId="15">обложка!$A$1:$G$42</definedName>
    <definedName name="_xlnm.Print_Area" localSheetId="0">'Протокол  (2)'!$A$1:$E$42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1" i="19" l="1"/>
  <c r="A31" i="19" s="1"/>
  <c r="A23" i="19"/>
  <c r="A21" i="2"/>
  <c r="A14" i="23"/>
  <c r="A28" i="23"/>
  <c r="A17" i="23"/>
  <c r="A36" i="23"/>
  <c r="A37" i="23"/>
  <c r="B76" i="1" l="1"/>
  <c r="B149" i="1"/>
  <c r="A25" i="8" s="1"/>
  <c r="A29" i="2" l="1"/>
  <c r="B65" i="1" l="1"/>
  <c r="A75" i="1" s="1"/>
  <c r="A59" i="16"/>
  <c r="A128" i="19"/>
  <c r="A131" i="19"/>
  <c r="A61" i="16" s="1"/>
  <c r="B129"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17" i="1"/>
  <c r="C123" i="1" s="1"/>
  <c r="C115" i="1"/>
  <c r="C121" i="1" s="1"/>
  <c r="C114" i="1"/>
  <c r="C120" i="1" s="1"/>
  <c r="C113" i="1"/>
  <c r="C119" i="1" s="1"/>
  <c r="C112" i="1"/>
  <c r="C118" i="1" s="1"/>
  <c r="D59" i="7"/>
  <c r="A62" i="7"/>
  <c r="A61" i="7"/>
  <c r="F61" i="7"/>
  <c r="A25" i="7"/>
  <c r="A23" i="7"/>
  <c r="H24" i="27" l="1"/>
  <c r="A9" i="26"/>
  <c r="A9" i="29" s="1"/>
  <c r="A9" i="27" l="1"/>
  <c r="A9" i="28"/>
  <c r="I127" i="1"/>
  <c r="A48" i="3"/>
  <c r="A35" i="3"/>
  <c r="E30" i="3"/>
  <c r="A30" i="3"/>
  <c r="A33" i="3"/>
  <c r="D29" i="7" l="1"/>
  <c r="D30" i="3" s="1"/>
  <c r="F131" i="1"/>
  <c r="E134" i="1"/>
  <c r="E131" i="1"/>
  <c r="D20" i="7"/>
  <c r="E20" i="7"/>
  <c r="G9" i="26" s="1"/>
  <c r="B20" i="7"/>
  <c r="G9" i="28" l="1"/>
  <c r="G9" i="27"/>
  <c r="G9" i="29"/>
  <c r="B29" i="7"/>
  <c r="B30" i="3" s="1"/>
  <c r="C9" i="26"/>
  <c r="C29" i="7"/>
  <c r="C30" i="3" s="1"/>
  <c r="E9" i="26"/>
  <c r="E9" i="29" l="1"/>
  <c r="E9" i="28"/>
  <c r="E9" i="27"/>
  <c r="C9" i="29"/>
  <c r="C9" i="28"/>
  <c r="C9" i="27"/>
  <c r="B77" i="1"/>
  <c r="H24" i="29" l="1"/>
  <c r="H24" i="28"/>
  <c r="A22" i="26"/>
  <c r="H24" i="26"/>
  <c r="E51" i="3"/>
  <c r="A51" i="3"/>
  <c r="A59" i="3"/>
  <c r="A57" i="3"/>
  <c r="A53" i="3"/>
  <c r="A37" i="3"/>
  <c r="A1" i="3"/>
  <c r="D18" i="23"/>
  <c r="E18" i="23" s="1"/>
  <c r="A1" i="23"/>
  <c r="A42" i="23"/>
  <c r="A41" i="23"/>
  <c r="D58" i="16"/>
  <c r="A111" i="1" l="1"/>
  <c r="A110" i="1"/>
  <c r="A109" i="1"/>
  <c r="A108" i="1"/>
  <c r="B19" i="1"/>
  <c r="C22" i="1" s="1"/>
  <c r="H9" i="23"/>
  <c r="A19" i="23" s="1"/>
  <c r="A57" i="16"/>
  <c r="B49" i="1" l="1"/>
  <c r="B59" i="1" s="1"/>
  <c r="A16" i="4" l="1"/>
  <c r="A17" i="4"/>
  <c r="A7" i="24"/>
  <c r="B47" i="1"/>
  <c r="B27" i="1"/>
  <c r="B121" i="19" s="1"/>
  <c r="B34" i="1"/>
  <c r="B117" i="1"/>
  <c r="B123" i="1" s="1"/>
  <c r="A24" i="7" s="1"/>
  <c r="A34" i="3" s="1"/>
  <c r="B115" i="1"/>
  <c r="B114" i="1"/>
  <c r="B113" i="1"/>
  <c r="B112" i="1"/>
  <c r="B8" i="13" s="1"/>
  <c r="B45" i="1" l="1"/>
  <c r="B58" i="1"/>
  <c r="A63" i="7"/>
  <c r="D62" i="7" s="1"/>
  <c r="A19" i="13"/>
  <c r="A51" i="7"/>
  <c r="B6" i="13"/>
  <c r="D2" i="2"/>
  <c r="C77" i="1"/>
  <c r="A7" i="23"/>
  <c r="A31" i="2" l="1"/>
  <c r="A31" i="4"/>
  <c r="H79" i="19"/>
  <c r="A79" i="19" s="1"/>
  <c r="H21" i="19"/>
  <c r="A74" i="19"/>
  <c r="H70" i="19"/>
  <c r="A70" i="19" s="1"/>
  <c r="A57" i="19"/>
  <c r="A5" i="23"/>
  <c r="A15" i="19"/>
  <c r="A12" i="19"/>
  <c r="A34" i="19"/>
  <c r="B33" i="19" s="1"/>
  <c r="A32" i="19" s="1"/>
  <c r="A88" i="1"/>
  <c r="A10" i="3"/>
  <c r="A17" i="2"/>
  <c r="A18" i="2"/>
  <c r="A9" i="19"/>
  <c r="A19" i="19"/>
  <c r="A48" i="19"/>
  <c r="A72" i="19"/>
  <c r="A97" i="19"/>
  <c r="C64" i="1"/>
  <c r="C21" i="19"/>
  <c r="A53" i="19"/>
  <c r="A64" i="19"/>
  <c r="A75" i="19"/>
  <c r="C41" i="19"/>
  <c r="A41" i="19" s="1"/>
  <c r="A67" i="19"/>
  <c r="C76" i="19"/>
  <c r="A76" i="19" s="1"/>
  <c r="H17" i="19"/>
  <c r="A17" i="19" s="1"/>
  <c r="I21" i="19"/>
  <c r="A44" i="19"/>
  <c r="A61" i="19"/>
  <c r="A93" i="19"/>
  <c r="A20" i="19"/>
  <c r="C56" i="19"/>
  <c r="A56" i="19" s="1"/>
  <c r="A62" i="19"/>
  <c r="A69" i="19"/>
  <c r="A21" i="23"/>
  <c r="D64" i="1"/>
  <c r="A22" i="19" s="1"/>
  <c r="A1" i="1"/>
  <c r="A80" i="1"/>
  <c r="A86" i="1"/>
  <c r="A2" i="1"/>
  <c r="A82" i="1"/>
  <c r="A87" i="1"/>
  <c r="A76" i="1"/>
  <c r="A83" i="1"/>
  <c r="A90" i="1"/>
  <c r="A79" i="1"/>
  <c r="A85" i="1"/>
  <c r="E31" i="19" l="1"/>
  <c r="D31" i="19" s="1"/>
  <c r="A47" i="16"/>
  <c r="A13" i="2"/>
  <c r="A16" i="2"/>
  <c r="A4" i="2"/>
  <c r="B26" i="9"/>
  <c r="A23" i="23"/>
  <c r="A14" i="19"/>
  <c r="A15" i="2"/>
  <c r="A25" i="23"/>
  <c r="A22" i="23"/>
  <c r="A42" i="19"/>
  <c r="A24" i="23"/>
  <c r="B25" i="9"/>
  <c r="A21" i="19"/>
  <c r="A13" i="19"/>
  <c r="A14" i="2"/>
  <c r="A26" i="3"/>
  <c r="A63" i="19"/>
  <c r="A11" i="19"/>
  <c r="B118" i="1"/>
  <c r="A22" i="7" s="1"/>
  <c r="B119" i="1"/>
  <c r="A18" i="8" l="1"/>
  <c r="A32" i="3"/>
  <c r="H7" i="23"/>
  <c r="A2" i="23" s="1"/>
  <c r="B121" i="1" l="1"/>
  <c r="B120" i="1"/>
  <c r="A122" i="19" l="1"/>
  <c r="A53" i="16" s="1"/>
  <c r="A30" i="4"/>
  <c r="B124" i="19"/>
  <c r="D55" i="16" s="1"/>
  <c r="A15" i="4"/>
  <c r="A14" i="4"/>
  <c r="A13" i="4"/>
  <c r="A7" i="3"/>
  <c r="C8" i="15"/>
  <c r="J12" i="15"/>
  <c r="A10" i="4" l="1"/>
  <c r="A9" i="4" s="1"/>
  <c r="D59" i="16"/>
  <c r="B126" i="19"/>
  <c r="D57" i="16" s="1"/>
  <c r="B125" i="19"/>
  <c r="D56" i="16" s="1"/>
  <c r="D52" i="16"/>
  <c r="B119" i="19"/>
  <c r="D51" i="16" s="1"/>
  <c r="A125" i="19" l="1"/>
  <c r="A56" i="16" s="1"/>
  <c r="A124" i="19"/>
  <c r="A55" i="16" s="1"/>
  <c r="A123" i="19"/>
  <c r="A54" i="16" s="1"/>
  <c r="A121" i="19"/>
  <c r="A52" i="16" s="1"/>
  <c r="E26" i="8" l="1"/>
  <c r="B24" i="9"/>
  <c r="B2" i="9"/>
  <c r="A22" i="29"/>
  <c r="A22" i="28"/>
  <c r="H5" i="29"/>
  <c r="H5" i="28"/>
  <c r="H5" i="27"/>
  <c r="A22" i="27"/>
  <c r="H22" i="26"/>
  <c r="D2" i="1"/>
  <c r="H5" i="26" s="1"/>
  <c r="A24" i="13"/>
  <c r="A22" i="13"/>
  <c r="A35" i="2"/>
  <c r="A29" i="4"/>
  <c r="A28" i="4"/>
  <c r="A20" i="4"/>
  <c r="A7" i="4"/>
  <c r="A11" i="24"/>
  <c r="A14" i="7"/>
  <c r="A13" i="7"/>
  <c r="A2" i="7"/>
  <c r="A8" i="3"/>
  <c r="A5" i="3"/>
  <c r="A4" i="3"/>
  <c r="A11" i="8"/>
  <c r="A10" i="8"/>
  <c r="A9" i="8"/>
  <c r="A12" i="2"/>
  <c r="A11" i="2"/>
  <c r="A7" i="2"/>
  <c r="B168" i="1"/>
  <c r="H127" i="1"/>
  <c r="I126" i="1"/>
  <c r="F126" i="1" s="1"/>
  <c r="H126" i="1"/>
  <c r="C126" i="1"/>
  <c r="B9" i="1"/>
  <c r="B11" i="1" s="1"/>
  <c r="B13" i="1" s="1"/>
  <c r="B8" i="1"/>
  <c r="B137" i="1"/>
  <c r="B138" i="1" s="1"/>
  <c r="B134" i="1"/>
  <c r="E21" i="7" s="1"/>
  <c r="B131" i="1"/>
  <c r="D21" i="7" s="1"/>
  <c r="E10" i="26" s="1"/>
  <c r="B128" i="1"/>
  <c r="B21" i="7" s="1"/>
  <c r="C10" i="26" s="1"/>
  <c r="G10" i="26" l="1"/>
  <c r="D30" i="7"/>
  <c r="D31" i="3" s="1"/>
  <c r="E10" i="28"/>
  <c r="E10" i="27"/>
  <c r="E10" i="29"/>
  <c r="C10" i="28"/>
  <c r="C10" i="27"/>
  <c r="C10" i="29"/>
  <c r="C127" i="1"/>
  <c r="A17" i="7" s="1"/>
  <c r="A21" i="7"/>
  <c r="C138" i="1"/>
  <c r="B139" i="1"/>
  <c r="A6" i="2"/>
  <c r="E30" i="7"/>
  <c r="E31" i="3" s="1"/>
  <c r="A48" i="7"/>
  <c r="A15" i="7"/>
  <c r="E126" i="1"/>
  <c r="A27" i="3"/>
  <c r="B9" i="13"/>
  <c r="A20" i="3"/>
  <c r="A27" i="2"/>
  <c r="A28" i="2"/>
  <c r="F127" i="1"/>
  <c r="E127" i="1"/>
  <c r="B10" i="1"/>
  <c r="A8" i="8" s="1"/>
  <c r="A24" i="2" l="1"/>
  <c r="A28" i="3"/>
  <c r="A17" i="8"/>
  <c r="G10" i="28"/>
  <c r="G10" i="29"/>
  <c r="G10" i="27"/>
  <c r="A16" i="8"/>
  <c r="A25" i="2"/>
  <c r="A16" i="7"/>
  <c r="A18" i="7" s="1"/>
  <c r="A19" i="7" s="1"/>
  <c r="A10" i="27"/>
  <c r="A10" i="28"/>
  <c r="A10" i="29"/>
  <c r="A29" i="3"/>
  <c r="A38" i="3"/>
  <c r="B12" i="1"/>
  <c r="A15" i="13" l="1"/>
  <c r="A14" i="13"/>
  <c r="A21" i="4"/>
  <c r="A10" i="2"/>
  <c r="A9" i="2"/>
  <c r="A19" i="4"/>
  <c r="A13" i="13" l="1"/>
  <c r="B66" i="1"/>
  <c r="A1" i="19" s="1"/>
  <c r="H26" i="29"/>
  <c r="H26" i="28"/>
  <c r="H26" i="27"/>
  <c r="H22" i="29"/>
  <c r="H22" i="28"/>
  <c r="H22" i="27"/>
  <c r="H26" i="26"/>
  <c r="D56" i="7" l="1"/>
  <c r="A56" i="7"/>
  <c r="A134" i="19"/>
  <c r="B103" i="1"/>
  <c r="R125" i="1" l="1"/>
  <c r="R126" i="1" s="1"/>
  <c r="N127" i="1" s="1"/>
  <c r="A25" i="13"/>
  <c r="A26" i="13" s="1"/>
  <c r="A28" i="13" s="1"/>
  <c r="A20" i="13" s="1"/>
  <c r="C63" i="7" s="1"/>
  <c r="Q125" i="1"/>
  <c r="Q126" i="1" s="1"/>
  <c r="N126" i="1" s="1"/>
  <c r="B24" i="4" l="1"/>
  <c r="B67" i="1" l="1"/>
  <c r="C79" i="1" s="1"/>
  <c r="C80" i="1" s="1"/>
  <c r="C81" i="1" s="1"/>
  <c r="B80" i="1" s="1"/>
  <c r="B81" i="1" s="1"/>
  <c r="B146" i="1" l="1"/>
  <c r="B144" i="1"/>
  <c r="C18" i="1" l="1"/>
  <c r="B20" i="1" l="1"/>
  <c r="C116" i="1" s="1"/>
  <c r="C20" i="1"/>
  <c r="A5" i="19" s="1"/>
  <c r="B116" i="1" l="1"/>
  <c r="B122" i="1" s="1"/>
  <c r="C122" i="1"/>
  <c r="B123" i="19"/>
  <c r="D53" i="16" s="1"/>
  <c r="A8" i="2"/>
  <c r="B29" i="23"/>
  <c r="C29" i="23"/>
  <c r="D29" i="23"/>
  <c r="E29" i="23"/>
  <c r="A29"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F27" i="4" l="1"/>
  <c r="A21" i="3" s="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7" i="1"/>
  <c r="D49" i="7" l="1"/>
  <c r="E33" i="7"/>
  <c r="A38" i="20"/>
  <c r="A37" i="20"/>
  <c r="B19" i="20"/>
  <c r="C19" i="20"/>
  <c r="D19" i="20"/>
  <c r="E19" i="20"/>
  <c r="A19" i="20"/>
  <c r="L5" i="15" l="1"/>
  <c r="I8" i="15" l="1"/>
  <c r="E20" i="20"/>
  <c r="B26" i="4"/>
  <c r="B27" i="4" s="1"/>
  <c r="C19" i="1" l="1"/>
  <c r="A33" i="20"/>
  <c r="B21" i="1" l="1"/>
  <c r="A6" i="3" s="1"/>
  <c r="C21" i="1"/>
  <c r="B8" i="15"/>
  <c r="R43" i="15" s="1"/>
  <c r="C5" i="22"/>
  <c r="A33" i="22" s="1"/>
  <c r="O43" i="15" l="1"/>
  <c r="P43" i="15" s="1"/>
  <c r="Q43" i="15" s="1"/>
  <c r="B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B32" i="16"/>
  <c r="H41" i="12"/>
  <c r="G41" i="12"/>
  <c r="G42" i="12"/>
  <c r="G10" i="15"/>
  <c r="H10" i="15"/>
  <c r="H9" i="15"/>
  <c r="G13" i="15"/>
  <c r="G12" i="15"/>
  <c r="H12" i="15"/>
  <c r="H11" i="15"/>
  <c r="G11" i="15"/>
  <c r="I67" i="1"/>
  <c r="G67" i="1"/>
  <c r="A119" i="19" l="1"/>
  <c r="A51" i="16" s="1"/>
  <c r="F67" i="1" l="1"/>
  <c r="E67" i="1"/>
  <c r="A20" i="2" s="1"/>
  <c r="C67" i="1"/>
  <c r="C65" i="1"/>
  <c r="C66" i="1" l="1"/>
  <c r="I66" i="1"/>
  <c r="G66" i="1"/>
  <c r="D67" i="1"/>
  <c r="B145"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69" i="1"/>
  <c r="A4" i="8" s="1"/>
  <c r="B143" i="1"/>
  <c r="E4" i="7" s="1"/>
  <c r="A39" i="20"/>
  <c r="B40" i="9"/>
  <c r="A19" i="2"/>
  <c r="D60" i="15"/>
  <c r="A58" i="15"/>
  <c r="A56" i="15"/>
  <c r="D52" i="15"/>
  <c r="D48" i="15"/>
  <c r="A48" i="15"/>
  <c r="A26"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D44" i="7"/>
  <c r="C44" i="7"/>
  <c r="B44" i="7"/>
  <c r="A40" i="8"/>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3" i="1"/>
  <c r="A35" i="20"/>
  <c r="A34" i="20"/>
  <c r="A42" i="8"/>
  <c r="A41" i="8"/>
  <c r="A9" i="20" l="1"/>
  <c r="N124" i="1"/>
  <c r="E44" i="7"/>
  <c r="E31" i="20" s="1"/>
  <c r="E27" i="8" l="1"/>
  <c r="A23" i="2"/>
  <c r="E38" i="8"/>
  <c r="D60" i="12"/>
  <c r="A58" i="12"/>
  <c r="A56" i="12"/>
  <c r="D52" i="12"/>
  <c r="D48" i="12"/>
  <c r="A48" i="12"/>
  <c r="C8" i="12"/>
  <c r="C9" i="16" s="1"/>
  <c r="A32" i="20"/>
  <c r="A39" i="8"/>
  <c r="A25" i="19" l="1"/>
  <c r="A24" i="19" l="1"/>
  <c r="B12" i="9"/>
  <c r="A12" i="8"/>
  <c r="E19" i="8"/>
  <c r="E11" i="20" s="1"/>
  <c r="D19" i="8"/>
  <c r="D11" i="20" s="1"/>
  <c r="C19" i="8"/>
  <c r="C11" i="20" s="1"/>
  <c r="B19" i="8"/>
  <c r="B11" i="20" s="1"/>
  <c r="A19" i="8"/>
  <c r="A11" i="20" s="1"/>
  <c r="D60" i="7"/>
  <c r="D30" i="23"/>
  <c r="C30" i="7"/>
  <c r="B30" i="7"/>
  <c r="A30" i="7"/>
  <c r="C30" i="23" l="1"/>
  <c r="C31" i="3"/>
  <c r="A30" i="23"/>
  <c r="A31" i="3"/>
  <c r="B30" i="23"/>
  <c r="B31" i="3"/>
  <c r="A34" i="23"/>
  <c r="A14" i="26"/>
  <c r="A14" i="29"/>
  <c r="A14" i="28"/>
  <c r="A14" i="27"/>
  <c r="A32"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40"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3" i="23"/>
  <c r="A13" i="27"/>
  <c r="A13" i="28"/>
  <c r="A13" i="29"/>
  <c r="A13" i="26"/>
  <c r="A31" i="23"/>
  <c r="A11" i="29"/>
  <c r="A11" i="28"/>
  <c r="A11" i="27"/>
  <c r="A11" i="26"/>
  <c r="E30"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D9" i="15" s="1"/>
  <c r="C10" i="15" s="1"/>
  <c r="M8" i="15"/>
  <c r="F8" i="15" s="1"/>
  <c r="I10" i="15"/>
  <c r="I11" i="15" s="1"/>
  <c r="I12" i="15" s="1"/>
  <c r="I13" i="15" s="1"/>
  <c r="I14" i="15" s="1"/>
  <c r="I15" i="15" s="1"/>
  <c r="I16" i="15" s="1"/>
  <c r="I17" i="15" s="1"/>
  <c r="I18" i="15" s="1"/>
  <c r="L9" i="15" l="1"/>
  <c r="E9" i="15" s="1"/>
  <c r="M9" i="15" s="1"/>
  <c r="F9" i="15" s="1"/>
  <c r="D10" i="15"/>
  <c r="J14" i="15"/>
  <c r="K14" i="15" s="1"/>
  <c r="J13" i="15"/>
  <c r="K13" i="15" s="1"/>
  <c r="J17" i="15"/>
  <c r="K17" i="15" s="1"/>
  <c r="J16" i="15"/>
  <c r="K16" i="15" s="1"/>
  <c r="L10" i="15"/>
  <c r="E10" i="15" s="1"/>
  <c r="J15" i="15"/>
  <c r="K15" i="15" s="1"/>
  <c r="J18" i="15"/>
  <c r="K18" i="15" s="1"/>
  <c r="J19" i="15"/>
  <c r="K19" i="15" s="1"/>
  <c r="I19" i="15" s="1"/>
  <c r="C11" i="15" l="1"/>
  <c r="D11" i="15" s="1"/>
  <c r="I20" i="15"/>
  <c r="I21" i="15" s="1"/>
  <c r="J20" i="15"/>
  <c r="K20" i="15" s="1"/>
  <c r="M10" i="15"/>
  <c r="F10" i="15" s="1"/>
  <c r="C12" i="15" l="1"/>
  <c r="D12" i="15" s="1"/>
  <c r="C13" i="15" s="1"/>
  <c r="D13" i="15" s="1"/>
  <c r="C14" i="15" s="1"/>
  <c r="L11" i="15"/>
  <c r="E11" i="15" s="1"/>
  <c r="J21" i="15"/>
  <c r="K21" i="15" s="1"/>
  <c r="J22" i="15"/>
  <c r="K22" i="15" s="1"/>
  <c r="I22" i="15" s="1"/>
  <c r="I23" i="15" l="1"/>
  <c r="I24" i="15" s="1"/>
  <c r="J25" i="15" s="1"/>
  <c r="K25" i="15" s="1"/>
  <c r="I25" i="15" s="1"/>
  <c r="I26" i="15" s="1"/>
  <c r="J23" i="15"/>
  <c r="K23" i="15" s="1"/>
  <c r="L12" i="15"/>
  <c r="E12" i="15" s="1"/>
  <c r="M11" i="15"/>
  <c r="F11" i="15" s="1"/>
  <c r="J24" i="15" l="1"/>
  <c r="K24" i="15" s="1"/>
  <c r="J26" i="15"/>
  <c r="K26" i="15" s="1"/>
  <c r="J27" i="15"/>
  <c r="K27" i="15" s="1"/>
  <c r="I27" i="15" s="1"/>
  <c r="M12" i="15"/>
  <c r="F12" i="15" s="1"/>
  <c r="L13" i="15"/>
  <c r="E13" i="15" s="1"/>
  <c r="I28" i="15" l="1"/>
  <c r="J29" i="15" s="1"/>
  <c r="K29" i="15" s="1"/>
  <c r="I29" i="15" s="1"/>
  <c r="J30" i="15" s="1"/>
  <c r="K30" i="15" s="1"/>
  <c r="I30" i="15" s="1"/>
  <c r="J31" i="15" s="1"/>
  <c r="K31" i="15" s="1"/>
  <c r="I31" i="15" s="1"/>
  <c r="J32" i="15" s="1"/>
  <c r="K32" i="15" s="1"/>
  <c r="J28" i="15"/>
  <c r="K28" i="15" s="1"/>
  <c r="L14" i="15"/>
  <c r="I32" i="15" l="1"/>
  <c r="I33" i="15" s="1"/>
  <c r="E14" i="15"/>
  <c r="D14" i="15"/>
  <c r="C15" i="15" s="1"/>
  <c r="L15" i="15" s="1"/>
  <c r="E15" i="15" s="1"/>
  <c r="I34" i="15"/>
  <c r="M13" i="15"/>
  <c r="F13" i="15" s="1"/>
  <c r="J34" i="15" l="1"/>
  <c r="K34" i="15" s="1"/>
  <c r="J33" i="15"/>
  <c r="K33" i="15" s="1"/>
  <c r="M14" i="15"/>
  <c r="F14" i="15" s="1"/>
  <c r="D15" i="15"/>
  <c r="C16" i="15" s="1"/>
  <c r="L16" i="15" s="1"/>
  <c r="E16" i="15" s="1"/>
  <c r="I35" i="15"/>
  <c r="J35" i="15"/>
  <c r="K35" i="15" s="1"/>
  <c r="M15" i="15" l="1"/>
  <c r="F15" i="15" s="1"/>
  <c r="D16" i="15"/>
  <c r="C17" i="15" s="1"/>
  <c r="L17" i="15" s="1"/>
  <c r="E17" i="15" s="1"/>
  <c r="I36" i="15"/>
  <c r="J36" i="15"/>
  <c r="K36" i="15" s="1"/>
  <c r="M16" i="15" l="1"/>
  <c r="F16" i="15" s="1"/>
  <c r="D17" i="15"/>
  <c r="C18" i="15" s="1"/>
  <c r="L18" i="15" s="1"/>
  <c r="E18" i="15" s="1"/>
  <c r="I37" i="15"/>
  <c r="J37" i="15"/>
  <c r="K37" i="15" s="1"/>
  <c r="M17" i="15" l="1"/>
  <c r="F17" i="15" s="1"/>
  <c r="D18" i="15"/>
  <c r="C19" i="15" s="1"/>
  <c r="L19" i="15" s="1"/>
  <c r="E19" i="15" s="1"/>
  <c r="I38" i="15"/>
  <c r="J38" i="15"/>
  <c r="K38" i="15" s="1"/>
  <c r="M18" i="15" l="1"/>
  <c r="F18" i="15" s="1"/>
  <c r="D19" i="15"/>
  <c r="C20" i="15" s="1"/>
  <c r="L20" i="15" s="1"/>
  <c r="I39" i="15"/>
  <c r="J39" i="15"/>
  <c r="K39" i="15" s="1"/>
  <c r="M19" i="15" l="1"/>
  <c r="F19" i="15" s="1"/>
  <c r="I40" i="15"/>
  <c r="J40" i="15"/>
  <c r="K40" i="15" s="1"/>
  <c r="E20" i="15"/>
  <c r="D20" i="15"/>
  <c r="C21" i="15" l="1"/>
  <c r="L21" i="15" s="1"/>
  <c r="E21" i="15" s="1"/>
  <c r="I41" i="15"/>
  <c r="J41" i="15"/>
  <c r="K41" i="15" s="1"/>
  <c r="M20" i="15"/>
  <c r="F20" i="15" s="1"/>
  <c r="D21" i="15" l="1"/>
  <c r="C22" i="15" s="1"/>
  <c r="L22" i="15" s="1"/>
  <c r="E22" i="15" s="1"/>
  <c r="I42" i="15"/>
  <c r="J43" i="15" s="1"/>
  <c r="K43" i="15" s="1"/>
  <c r="I43" i="15" s="1"/>
  <c r="J42" i="15"/>
  <c r="K42" i="15" s="1"/>
  <c r="D22" i="15" l="1"/>
  <c r="C23" i="15" s="1"/>
  <c r="L23" i="15" s="1"/>
  <c r="E23" i="15" s="1"/>
  <c r="M21" i="15"/>
  <c r="F21" i="15" s="1"/>
  <c r="M22" i="15" l="1"/>
  <c r="F22" i="15" s="1"/>
  <c r="D23" i="15"/>
  <c r="C24" i="15" s="1"/>
  <c r="L24" i="15" s="1"/>
  <c r="E24" i="15" s="1"/>
  <c r="M23" i="15" l="1"/>
  <c r="F23" i="15" s="1"/>
  <c r="D24" i="15"/>
  <c r="C25" i="15" l="1"/>
  <c r="M24" i="15"/>
  <c r="F24" i="15" s="1"/>
  <c r="L25" i="15" l="1"/>
  <c r="E25" i="15" s="1"/>
  <c r="D25" i="15" l="1"/>
  <c r="C26" i="15" l="1"/>
  <c r="M25" i="15"/>
  <c r="F25" i="15" s="1"/>
  <c r="L26" i="15" l="1"/>
  <c r="D26" i="15" s="1"/>
  <c r="E26" i="15" l="1"/>
  <c r="M26" i="15" s="1"/>
  <c r="F26" i="15" s="1"/>
  <c r="C27" i="15"/>
  <c r="L27" i="15" l="1"/>
  <c r="D27" i="15" s="1"/>
  <c r="E27" i="15" l="1"/>
  <c r="M27" i="15" s="1"/>
  <c r="F27" i="15" s="1"/>
  <c r="C28" i="15"/>
  <c r="L28" i="15" l="1"/>
  <c r="D28" i="15" s="1"/>
  <c r="E28" i="15" l="1"/>
  <c r="M28" i="15" s="1"/>
  <c r="F28" i="15" s="1"/>
  <c r="C29" i="15"/>
  <c r="L29" i="15" l="1"/>
  <c r="D29" i="15" s="1"/>
  <c r="E29" i="15" l="1"/>
  <c r="M29" i="15" s="1"/>
  <c r="F29" i="15" s="1"/>
  <c r="C30" i="15"/>
  <c r="L30" i="15" l="1"/>
  <c r="D30" i="15" s="1"/>
  <c r="E30" i="15" l="1"/>
  <c r="M30" i="15" s="1"/>
  <c r="F30" i="15" s="1"/>
  <c r="C31" i="15"/>
  <c r="L31" i="15" l="1"/>
  <c r="D31" i="15" s="1"/>
  <c r="C32" i="15" s="1"/>
  <c r="E31" i="15" l="1"/>
  <c r="M31" i="15" s="1"/>
  <c r="F31" i="15" s="1"/>
  <c r="L32" i="15"/>
  <c r="E32" i="15" s="1"/>
  <c r="D32" i="15" l="1"/>
  <c r="C33" i="15" s="1"/>
  <c r="L33" i="15" s="1"/>
  <c r="E33" i="15" s="1"/>
  <c r="M32" i="15" l="1"/>
  <c r="F32" i="15" s="1"/>
  <c r="D33" i="15"/>
  <c r="C34" i="15" s="1"/>
  <c r="L34" i="15" s="1"/>
  <c r="E34" i="15" s="1"/>
  <c r="M33" i="15" l="1"/>
  <c r="F33" i="15" s="1"/>
  <c r="D34" i="15"/>
  <c r="C35" i="15" s="1"/>
  <c r="L35" i="15" s="1"/>
  <c r="E35" i="15" s="1"/>
  <c r="M34" i="15" l="1"/>
  <c r="F34" i="15" s="1"/>
  <c r="D35" i="15"/>
  <c r="C36" i="15" s="1"/>
  <c r="L36" i="15" s="1"/>
  <c r="E36" i="15" s="1"/>
  <c r="M35" i="15" l="1"/>
  <c r="F35" i="15" s="1"/>
  <c r="D36" i="15"/>
  <c r="C37" i="15" s="1"/>
  <c r="L37" i="15" s="1"/>
  <c r="E37" i="15" s="1"/>
  <c r="M36" i="15" l="1"/>
  <c r="F36" i="15" s="1"/>
  <c r="D37" i="15"/>
  <c r="M37" i="15" s="1"/>
  <c r="F37" i="15" s="1"/>
  <c r="C38" i="15" l="1"/>
  <c r="L38" i="15" l="1"/>
  <c r="E38" i="15" s="1"/>
  <c r="D38" i="15" l="1"/>
  <c r="C39" i="15" s="1"/>
  <c r="L39" i="15" l="1"/>
  <c r="E39" i="15" s="1"/>
  <c r="M38" i="15"/>
  <c r="F38" i="15" s="1"/>
  <c r="D39" i="15" l="1"/>
  <c r="C40" i="15" l="1"/>
  <c r="M39" i="15"/>
  <c r="F39" i="15" s="1"/>
  <c r="L40" i="15" l="1"/>
  <c r="E40" i="15" s="1"/>
  <c r="D40" i="15" l="1"/>
  <c r="M40" i="15" s="1"/>
  <c r="F40" i="15" s="1"/>
  <c r="C41" i="15" l="1"/>
  <c r="L41" i="15" s="1"/>
  <c r="E41" i="15" s="1"/>
  <c r="D41" i="15" l="1"/>
  <c r="M41" i="15" s="1"/>
  <c r="F41" i="15" s="1"/>
  <c r="C42" i="15" l="1"/>
  <c r="L42" i="15" s="1"/>
  <c r="E42" i="15" s="1"/>
  <c r="D42" i="15" l="1"/>
  <c r="C43" i="15" s="1"/>
  <c r="L43" i="15" s="1"/>
  <c r="E43" i="15" s="1"/>
  <c r="E44" i="15" s="1"/>
  <c r="M42" i="15" l="1"/>
  <c r="F42" i="15" s="1"/>
  <c r="D43" i="15"/>
  <c r="M43" i="15" s="1"/>
  <c r="F43" i="15" s="1"/>
  <c r="D44" i="15" l="1"/>
  <c r="F44" i="15"/>
  <c r="B91" i="1" l="1"/>
  <c r="A24" i="3" s="1"/>
  <c r="A22" i="3" s="1"/>
  <c r="A23" i="3" l="1"/>
  <c r="F8" i="12"/>
  <c r="F9" i="16" l="1"/>
  <c r="F9" i="12"/>
  <c r="D8" i="12"/>
  <c r="D9" i="16" l="1"/>
  <c r="C9" i="12"/>
  <c r="F10" i="16"/>
  <c r="F10" i="12"/>
  <c r="C10" i="16" l="1"/>
  <c r="E9" i="12"/>
  <c r="F11" i="16"/>
  <c r="F11" i="12"/>
  <c r="E10" i="16" l="1"/>
  <c r="D9" i="12"/>
  <c r="F12" i="16"/>
  <c r="F12" i="12"/>
  <c r="D10" i="16" l="1"/>
  <c r="C10" i="12"/>
  <c r="F13" i="16"/>
  <c r="C11" i="16" l="1"/>
  <c r="E10" i="12"/>
  <c r="E11" i="16" l="1"/>
  <c r="D10" i="12"/>
  <c r="D11" i="16" l="1"/>
  <c r="C11" i="12"/>
  <c r="C12" i="16" l="1"/>
  <c r="E11" i="12"/>
  <c r="E12" i="16" l="1"/>
  <c r="D11" i="12"/>
  <c r="D12" i="16" l="1"/>
  <c r="C12" i="12"/>
  <c r="C13" i="16" l="1"/>
  <c r="E12" i="12"/>
  <c r="E13" i="16" l="1"/>
  <c r="D12" i="12"/>
  <c r="D13" i="16" l="1"/>
  <c r="C13" i="12"/>
  <c r="C14" i="16" l="1"/>
  <c r="E13" i="12"/>
  <c r="E14" i="16" l="1"/>
  <c r="F13" i="12"/>
  <c r="F14" i="12" s="1"/>
  <c r="F14" i="16" l="1"/>
  <c r="F15" i="12"/>
  <c r="F15" i="16"/>
  <c r="D13" i="12"/>
  <c r="C14" i="12" l="1"/>
  <c r="D14" i="16"/>
  <c r="F16" i="12"/>
  <c r="F16" i="16"/>
  <c r="E14" i="12" l="1"/>
  <c r="C15" i="16"/>
  <c r="F17" i="12"/>
  <c r="F17" i="16"/>
  <c r="E15" i="16" l="1"/>
  <c r="D14" i="12"/>
  <c r="F18" i="12"/>
  <c r="F18" i="16"/>
  <c r="F19" i="16" l="1"/>
  <c r="D15" i="16"/>
  <c r="C15" i="12"/>
  <c r="C16" i="16" l="1"/>
  <c r="E15" i="12"/>
  <c r="E16" i="16" l="1"/>
  <c r="D15" i="12"/>
  <c r="D16" i="16" l="1"/>
  <c r="C16" i="12"/>
  <c r="E16" i="12" l="1"/>
  <c r="C17" i="16"/>
  <c r="E17" i="16" l="1"/>
  <c r="D16" i="12"/>
  <c r="D17" i="16" l="1"/>
  <c r="C17" i="12"/>
  <c r="E17" i="12" l="1"/>
  <c r="C18" i="16"/>
  <c r="E18" i="16" l="1"/>
  <c r="D17" i="12"/>
  <c r="D18" i="16" l="1"/>
  <c r="C18" i="12"/>
  <c r="E18" i="12" l="1"/>
  <c r="C19" i="16"/>
  <c r="E19" i="16" l="1"/>
  <c r="D18" i="12"/>
  <c r="D19" i="16" l="1"/>
  <c r="C19" i="12"/>
  <c r="C20" i="16" l="1"/>
  <c r="E19" i="12"/>
  <c r="E20" i="16" s="1"/>
  <c r="C63" i="1" s="1"/>
  <c r="C60" i="1" s="1"/>
  <c r="F19" i="12" l="1"/>
  <c r="D19" i="12" s="1"/>
  <c r="C20" i="12" s="1"/>
  <c r="C21" i="16" s="1"/>
  <c r="E20" i="12" l="1"/>
  <c r="E21" i="16" s="1"/>
  <c r="D20" i="16"/>
  <c r="F20" i="12"/>
  <c r="F20" i="16"/>
  <c r="F21" i="16" l="1"/>
  <c r="D20" i="12"/>
  <c r="F21" i="12"/>
  <c r="F22" i="16" l="1"/>
  <c r="C21" i="12"/>
  <c r="D21" i="16"/>
  <c r="F22" i="12"/>
  <c r="E21" i="12" l="1"/>
  <c r="C22" i="16"/>
  <c r="F23" i="16"/>
  <c r="F23" i="12"/>
  <c r="F24" i="16" l="1"/>
  <c r="E22" i="16"/>
  <c r="D21" i="12"/>
  <c r="F24" i="12"/>
  <c r="D22" i="16" l="1"/>
  <c r="C22" i="12"/>
  <c r="F25" i="16"/>
  <c r="C23" i="16" l="1"/>
  <c r="E22" i="12"/>
  <c r="F25" i="12"/>
  <c r="F26" i="16" l="1"/>
  <c r="E23" i="16"/>
  <c r="D22" i="12"/>
  <c r="C23" i="12" l="1"/>
  <c r="D23" i="16"/>
  <c r="F26" i="12"/>
  <c r="F27" i="16" l="1"/>
  <c r="C24" i="16"/>
  <c r="E23" i="12"/>
  <c r="F27" i="12"/>
  <c r="F28" i="16" l="1"/>
  <c r="E24" i="16"/>
  <c r="D23" i="12"/>
  <c r="F28" i="12"/>
  <c r="D24" i="16" l="1"/>
  <c r="C24" i="12"/>
  <c r="F29" i="16"/>
  <c r="E24" i="12" l="1"/>
  <c r="C25" i="16"/>
  <c r="F29" i="12"/>
  <c r="F30" i="16" l="1"/>
  <c r="E25" i="16"/>
  <c r="D24" i="12"/>
  <c r="D25" i="16" l="1"/>
  <c r="C25" i="12"/>
  <c r="F30" i="12"/>
  <c r="F31" i="16" l="1"/>
  <c r="E25" i="12"/>
  <c r="C26" i="16"/>
  <c r="E26" i="16" l="1"/>
  <c r="D25" i="12"/>
  <c r="D26" i="16" l="1"/>
  <c r="C26" i="12"/>
  <c r="E26" i="12" l="1"/>
  <c r="C27" i="16"/>
  <c r="E27" i="16" l="1"/>
  <c r="D26" i="12"/>
  <c r="C27" i="12" l="1"/>
  <c r="D27" i="16"/>
  <c r="E27" i="12" l="1"/>
  <c r="C28" i="16"/>
  <c r="E28" i="16" l="1"/>
  <c r="D27" i="12"/>
  <c r="C28" i="12" l="1"/>
  <c r="D28" i="16"/>
  <c r="E28" i="12" l="1"/>
  <c r="C29" i="16"/>
  <c r="E29" i="16" l="1"/>
  <c r="D28" i="12"/>
  <c r="D29" i="16" l="1"/>
  <c r="C29" i="12"/>
  <c r="E29" i="12" l="1"/>
  <c r="C30" i="16"/>
  <c r="E30" i="16" l="1"/>
  <c r="D29" i="12"/>
  <c r="D30" i="16" l="1"/>
  <c r="C30" i="12"/>
  <c r="E30" i="12" l="1"/>
  <c r="C31" i="16"/>
  <c r="E31" i="16" l="1"/>
  <c r="D30" i="12"/>
  <c r="D31" i="16" l="1"/>
  <c r="C31" i="12"/>
  <c r="E31" i="12" l="1"/>
  <c r="C32" i="16"/>
  <c r="D31" i="12"/>
  <c r="C32" i="12" l="1"/>
  <c r="D32" i="16"/>
  <c r="F31" i="12"/>
  <c r="E32" i="16"/>
  <c r="F32" i="16" l="1"/>
  <c r="E32" i="12"/>
  <c r="C33" i="16"/>
  <c r="D32" i="12"/>
  <c r="C33" i="12" s="1"/>
  <c r="C34" i="16" l="1"/>
  <c r="E33" i="12"/>
  <c r="E34" i="16" s="1"/>
  <c r="D33" i="12"/>
  <c r="C34" i="12" s="1"/>
  <c r="D33" i="16"/>
  <c r="F32" i="12"/>
  <c r="E33" i="16"/>
  <c r="F33" i="16" l="1"/>
  <c r="C35" i="16"/>
  <c r="D34" i="12"/>
  <c r="E34" i="12"/>
  <c r="F33" i="12"/>
  <c r="F34" i="16" s="1"/>
  <c r="D34" i="16"/>
  <c r="E35" i="16" l="1"/>
  <c r="C35" i="12"/>
  <c r="F34" i="12"/>
  <c r="F35" i="16" s="1"/>
  <c r="D35" i="16"/>
  <c r="C36" i="16" l="1"/>
  <c r="D35" i="12"/>
  <c r="E35" i="12"/>
  <c r="E36" i="16" l="1"/>
  <c r="C36" i="12"/>
  <c r="D36" i="16"/>
  <c r="F35" i="12"/>
  <c r="D36" i="12" l="1"/>
  <c r="C37" i="12" s="1"/>
  <c r="C37" i="16"/>
  <c r="E36" i="12"/>
  <c r="F36" i="16"/>
  <c r="C38" i="16" l="1"/>
  <c r="D37" i="12"/>
  <c r="E37" i="12"/>
  <c r="E38" i="16" s="1"/>
  <c r="E37" i="16"/>
  <c r="D37" i="16"/>
  <c r="F36" i="12"/>
  <c r="F37" i="16" s="1"/>
  <c r="C38" i="12" l="1"/>
  <c r="F37" i="12"/>
  <c r="F38" i="16" s="1"/>
  <c r="D38" i="16"/>
  <c r="C39" i="16" l="1"/>
  <c r="D38" i="12"/>
  <c r="E38" i="12"/>
  <c r="E39" i="16" s="1"/>
  <c r="D39" i="16" l="1"/>
  <c r="F38" i="12"/>
  <c r="F39" i="16" s="1"/>
  <c r="C39" i="12"/>
  <c r="D39" i="12" l="1"/>
  <c r="C40" i="16"/>
  <c r="E39" i="12"/>
  <c r="E40" i="16" s="1"/>
  <c r="D40" i="16" l="1"/>
  <c r="F39" i="12"/>
  <c r="F40" i="16" s="1"/>
  <c r="C40" i="12"/>
  <c r="D40" i="12" l="1"/>
  <c r="C41" i="12" s="1"/>
  <c r="E40" i="12"/>
  <c r="E41" i="16" s="1"/>
  <c r="C41" i="16"/>
  <c r="E41" i="12" l="1"/>
  <c r="E42" i="16" s="1"/>
  <c r="D41" i="12"/>
  <c r="C42" i="12" s="1"/>
  <c r="C42" i="16"/>
  <c r="D41" i="16"/>
  <c r="F40" i="12"/>
  <c r="F41" i="16" s="1"/>
  <c r="C43" i="16" l="1"/>
  <c r="E42" i="12"/>
  <c r="E43" i="16" s="1"/>
  <c r="D42" i="12"/>
  <c r="F41" i="12"/>
  <c r="F42" i="16" s="1"/>
  <c r="D42" i="16"/>
  <c r="D43" i="16" l="1"/>
  <c r="F42" i="12"/>
  <c r="F43" i="16" s="1"/>
  <c r="C43" i="12"/>
  <c r="E43" i="12" l="1"/>
  <c r="C44" i="16"/>
  <c r="D43" i="12"/>
  <c r="F43" i="12" l="1"/>
  <c r="D44" i="16"/>
  <c r="D45" i="16" s="1"/>
  <c r="D44" i="12"/>
  <c r="E44" i="16"/>
  <c r="E45" i="16" s="1"/>
  <c r="E44" i="12"/>
  <c r="F44" i="16" l="1"/>
  <c r="F45" i="16" s="1"/>
  <c r="F44" i="12"/>
</calcChain>
</file>

<file path=xl/sharedStrings.xml><?xml version="1.0" encoding="utf-8"?>
<sst xmlns="http://schemas.openxmlformats.org/spreadsheetml/2006/main" count="605" uniqueCount="443">
  <si>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</si>
  <si>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</si>
  <si>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</si>
  <si>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</si>
  <si>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</si>
  <si>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</si>
  <si>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</si>
  <si>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</si>
  <si>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</si>
  <si>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</si>
  <si>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</si>
  <si>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</si>
  <si>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</si>
  <si>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</si>
  <si>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</si>
  <si>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</si>
  <si>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</si>
  <si>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</si>
  <si>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</si>
  <si>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</si>
  <si>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</si>
  <si>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</si>
  <si>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</si>
  <si>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</si>
  <si>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</si>
  <si>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</si>
  <si>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</si>
  <si>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</si>
  <si>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</si>
  <si>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</si>
  <si>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</si>
  <si>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</si>
  <si>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</si>
  <si>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</si>
  <si>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</si>
  <si>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</si>
  <si>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</si>
  <si>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</si>
  <si>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</si>
  <si>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</si>
  <si>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</si>
  <si>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</si>
  <si>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</si>
  <si>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</si>
  <si>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</si>
  <si>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</si>
  <si>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</si>
  <si>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</si>
  <si>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</si>
  <si>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</si>
  <si>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</si>
  <si>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</si>
  <si>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</si>
  <si>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</si>
  <si>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</si>
  <si>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</si>
  <si>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</si>
  <si>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</si>
  <si>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</si>
  <si>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</si>
  <si>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</si>
  <si>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</si>
  <si>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</si>
  <si>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</si>
  <si>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</si>
  <si>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</si>
  <si>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</si>
  <si>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</si>
  <si>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</si>
  <si>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</si>
  <si>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</si>
  <si>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</si>
  <si>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</si>
  <si>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</si>
  <si>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</si>
  <si>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</si>
  <si>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</si>
  <si>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</si>
  <si>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</si>
  <si>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</si>
  <si>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</si>
  <si>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</si>
  <si>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</si>
  <si>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</si>
  <si>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</si>
  <si>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</si>
  <si>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</si>
  <si>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</si>
  <si>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</si>
  <si>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</si>
  <si>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</si>
  <si>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</si>
  <si>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</si>
  <si>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</si>
  <si>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</si>
  <si>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</si>
  <si>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</si>
  <si>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</si>
  <si>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</si>
  <si>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</si>
  <si>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</si>
  <si>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</si>
  <si>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</si>
  <si>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</si>
  <si>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</si>
  <si>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</si>
  <si>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</si>
  <si>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</si>
  <si>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</si>
  <si>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</si>
  <si>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</si>
  <si>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</si>
  <si>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</si>
  <si>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</si>
  <si>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</si>
  <si>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</si>
  <si>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</si>
  <si>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</si>
  <si>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</si>
  <si>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</si>
  <si>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</si>
  <si>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</si>
  <si>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</si>
  <si>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</si>
  <si>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</si>
  <si>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</si>
  <si>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</si>
  <si>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</si>
  <si>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</si>
  <si>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</si>
  <si>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</si>
  <si>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</si>
  <si>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</si>
  <si>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</si>
  <si>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</si>
  <si>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</si>
  <si>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</si>
  <si>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</si>
  <si>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</si>
  <si>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</si>
  <si>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</si>
  <si>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ISHONCHNOMA BO’YICHA MA’LUMOTLAR</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</si>
  <si>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</si>
  <si>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</si>
  <si>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</si>
  <si>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</si>
  <si>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</si>
  <si>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</si>
  <si>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</si>
  <si>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</si>
  <si>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</si>
  <si>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</si>
  <si>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</si>
  <si>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</si>
  <si>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</si>
  <si>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</si>
  <si>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</si>
  <si>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</si>
  <si>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</si>
  <si>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</si>
  <si>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</si>
  <si>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</si>
  <si>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</si>
  <si>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</si>
  <si>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</si>
  <si>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</si>
  <si>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</si>
  <si>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</si>
  <si>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</si>
  <si>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</si>
  <si>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</si>
  <si>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</si>
  <si>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</si>
  <si>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</si>
  <si>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</si>
  <si>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</si>
  <si>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</si>
  <si>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</si>
  <si>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</si>
  <si>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</si>
  <si>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</si>
  <si>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</si>
  <si>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</si>
  <si>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</si>
  <si>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</si>
  <si>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</si>
  <si>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</si>
  <si>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</si>
  <si>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</si>
  <si>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</si>
  <si>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</si>
  <si>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</si>
  <si>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</si>
  <si>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</si>
  <si>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</si>
  <si>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</si>
  <si>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</si>
  <si>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</si>
  <si>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</si>
  <si>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</si>
  <si>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</si>
  <si>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</si>
  <si>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</si>
  <si>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</si>
  <si>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</si>
  <si>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</si>
  <si>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</si>
  <si>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</si>
  <si>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</si>
  <si>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</si>
  <si>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</si>
  <si>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</si>
  <si>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</si>
  <si>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</si>
  <si>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</si>
  <si>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</si>
  <si>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</si>
  <si>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</si>
  <si>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</si>
  <si>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</si>
  <si>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</si>
  <si>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</si>
  <si>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</si>
  <si>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</si>
  <si>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</si>
  <si>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</si>
  <si>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</si>
  <si>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</si>
  <si>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</si>
  <si>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</si>
  <si>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</si>
  <si>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</si>
  <si>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</si>
  <si>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</si>
  <si>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</si>
  <si>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</si>
  <si>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</si>
  <si>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</si>
  <si>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</si>
  <si>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</si>
  <si>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</si>
  <si>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</si>
  <si>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</si>
  <si>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</si>
  <si>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</si>
  <si>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</si>
  <si>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</si>
  <si>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</si>
  <si>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</si>
  <si>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</si>
  <si>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</si>
  <si>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</si>
  <si>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</si>
  <si>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</si>
  <si>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</si>
  <si>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</si>
  <si>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</si>
  <si>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</si>
  <si>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</si>
  <si>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</si>
  <si>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</si>
  <si>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</si>
  <si>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</si>
  <si>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</si>
  <si>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</si>
  <si>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</si>
  <si>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</si>
  <si>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</si>
  <si>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</si>
  <si>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</si>
  <si>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</si>
  <si>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</si>
  <si>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</si>
  <si>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</si>
  <si>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</si>
  <si>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</si>
  <si>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</si>
  <si>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</si>
  <si>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</si>
  <si>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</si>
  <si>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</si>
  <si>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</si>
  <si>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</si>
  <si>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</si>
  <si>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</si>
  <si>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</si>
  <si>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</si>
  <si>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</si>
  <si>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</si>
  <si>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</si>
  <si>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</si>
  <si>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</si>
  <si>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</si>
  <si>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</si>
  <si>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</si>
  <si>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</si>
  <si>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</si>
  <si>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</si>
  <si>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</si>
  <si>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</si>
  <si>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</si>
  <si>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</si>
  <si>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</si>
  <si>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</si>
  <si>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</si>
  <si>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</si>
  <si>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</si>
  <si>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</si>
  <si>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</si>
  <si>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</si>
  <si>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</si>
  <si>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</si>
  <si>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</si>
  <si>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</si>
  <si>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</si>
  <si>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</si>
  <si>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</si>
  <si>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</si>
  <si>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</si>
  <si>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</si>
  <si>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</si>
  <si>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</si>
  <si>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</si>
  <si>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</si>
  <si>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</si>
  <si>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</si>
  <si>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</si>
  <si>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</si>
  <si>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</si>
  <si>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</si>
  <si>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</si>
  <si>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</si>
  <si>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</si>
  <si>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</si>
  <si>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</si>
  <si>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</si>
  <si>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</si>
  <si>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</si>
  <si>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</si>
  <si>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</si>
  <si>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</si>
  <si>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</si>
  <si>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</si>
  <si>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</si>
  <si>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</si>
  <si>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</si>
  <si>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</si>
  <si>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</si>
  <si>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</si>
  <si>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</si>
  <si>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</si>
  <si>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</si>
  <si>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</si>
  <si>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</si>
  <si>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</si>
  <si>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</si>
  <si>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</si>
  <si>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</si>
  <si>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</si>
  <si>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</si>
  <si>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</si>
  <si>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</si>
  <si>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</si>
  <si>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</si>
  <si>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</si>
  <si>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</si>
  <si>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</si>
  <si>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</si>
  <si>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</si>
  <si>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</si>
  <si>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</si>
  <si>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</si>
  <si>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</si>
  <si>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</si>
  <si>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</si>
  <si>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</si>
  <si>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</si>
  <si>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</si>
  <si>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</si>
  <si>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</si>
  <si>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</si>
  <si>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37,39</t>
  </si>
  <si>
    <t>16.12.2020 yildan №14:13:02:01:03:1179:0006:058</t>
  </si>
  <si>
    <t>13.12.2020 yildan 1718238/R-A1419303</t>
  </si>
  <si>
    <t>№ kadastr raqami</t>
  </si>
  <si>
    <t>Foydalanishga topshirilgan yili</t>
  </si>
  <si>
    <t xml:space="preserve"> sanasidan</t>
  </si>
  <si>
    <t>USMANOV X. I.</t>
  </si>
  <si>
    <t>USMANOV XAYDAR IZZAT OGLI</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</si>
  <si>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</si>
  <si>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Ijrochi direktori</t>
  </si>
  <si>
    <t>Процент годовой</t>
  </si>
  <si>
    <t>60</t>
  </si>
  <si>
    <t>Oltmish</t>
  </si>
  <si>
    <t>RAKAMSIZ</t>
  </si>
  <si>
    <t>To'rtko'l filial boshlig'i</t>
  </si>
  <si>
    <t>bir yuz</t>
  </si>
  <si>
    <t>100</t>
  </si>
  <si>
    <t>Jumanazarov B.T.</t>
  </si>
  <si>
    <t>1. Abduraximov Nаdirbek Kamilevich</t>
  </si>
  <si>
    <t>Abduraximov N.K.</t>
  </si>
  <si>
    <t>Kreditlash bo’limi boshlig’I v.v.b.</t>
  </si>
  <si>
    <t>Usmanova Z.Sh. v.v.b.</t>
  </si>
  <si>
    <t>QORAQALPOG'ISTON RESPUBLIKASI TO'RTKO'L TUMANI IIB</t>
  </si>
  <si>
    <t>TORTKOL SHAHRI</t>
  </si>
  <si>
    <t>QORAQALPOG'ISTON RESPUBLIKASI TO'RTKO'L TUMANI TO'RTKO'L KO'CHASI 45-UY</t>
  </si>
  <si>
    <t>KAMALOVA Z.S.</t>
  </si>
  <si>
    <t>QORAQALPOG'ISTON 1-TRIB</t>
  </si>
  <si>
    <t>DJUMANIYAZOV SHERIPBAY AYITBAYEVICH</t>
  </si>
  <si>
    <t>DJUMANIYAZOV SH A</t>
  </si>
  <si>
    <t>14.11.1971 y</t>
  </si>
  <si>
    <t>KA 1247502</t>
  </si>
  <si>
    <t xml:space="preserve">QORAQALPOG'ISTON RESPUBLIKASI TO'RTKO'L TUMANI ULLUBOG' OFY </t>
  </si>
  <si>
    <t>93-370-14-71</t>
  </si>
  <si>
    <t>90-708-07-27 UKASI</t>
  </si>
  <si>
    <t>91-269-79-00 UKASI</t>
  </si>
  <si>
    <t>MADRAXIMOV XOLMUROD RAMONBERDI O'GLI</t>
  </si>
  <si>
    <t>MADRAXIMOV X R</t>
  </si>
  <si>
    <t>27.12.2024 y</t>
  </si>
  <si>
    <t>202401526011103</t>
  </si>
  <si>
    <t>07.01.1996 y.</t>
  </si>
  <si>
    <t>AG1240999</t>
  </si>
  <si>
    <t>QORAQALPOG'ISTON RESPUBLIKASI TO'RTKO'L TUMANI TOZABOG'YOP OFY</t>
  </si>
  <si>
    <t>AAE 0278091 13.04.2018 y.</t>
  </si>
  <si>
    <t>GM UZ / MATIZ DLX</t>
  </si>
  <si>
    <t>95P232GA</t>
  </si>
  <si>
    <t>YENGIL SEDAN</t>
  </si>
  <si>
    <t>XWB4A11AD8A152643</t>
  </si>
  <si>
    <t>62-SONLI YORDAMCHI MAKTABNI YONI</t>
  </si>
  <si>
    <t>2007</t>
  </si>
  <si>
    <t>OQ-BELAYA KASABLANKA</t>
  </si>
  <si>
    <t>F8CV521561KB1</t>
  </si>
  <si>
    <t>yigira to'rt</t>
  </si>
  <si>
    <t>QORAQALPOG'ISTON RESPUBLIKASI TO'RTKO'L TUMANI IIB tomonidan 19.07.2023 yilda berilgan</t>
  </si>
  <si>
    <t>Mijoz quyidagi majburiyatlarga ega:ТОШКЕНТ Ш., "TBC BANK" АКЦИЯДОРЛИК ТИЖОРАТ БАНКИ  7 414 892.98   so'm. Ayni paytda muddati o'tgan qarzdorligi mavjud emas. O‘rtacha oylik to‘lov 407 214 so‘mni tashkil qiladi</t>
  </si>
  <si>
    <t>06.01.2025</t>
  </si>
  <si>
    <t>№-TR</t>
  </si>
  <si>
    <t>Sug'urta kompaniyasi nomi</t>
  </si>
  <si>
    <t>Summa</t>
  </si>
  <si>
    <t>KAPITAL SUG'URTA</t>
  </si>
  <si>
    <t>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t>
  </si>
  <si>
    <t>3.5. Undiruvni Garov narsasiga (predmetlariga) va/yoki uning (ularning) bir qismiga (qismlariga) qaratishda va/yoki Qarz oluvchining Kafildan qarzini undirishda Mikromoliya tashkiloti undiruvning birinchi navbatdagi obyektini o‘z xohishiga ko‘ra bir tomonlama tanlash yoki bir vaqtning o‘zida undiruvni Garov narsasiga (predmetlariga) qaratish va Kafilga talab qo‘yish huquqini o‘zida saqlab qoladi. Undiruvni garov narsasining bir obyektiga va/yoki uning (ularning) bir qismiga qaratish va/yoki Mikroqarzni Kafildan undirish Mikromoliya tashkilotini undiruvni garov narsasining boshqa obyektiga (obyektlariga) va/yoki uning (ularning) bir qismiga qaratish va/yoki Mikroqarzni Kafildan undirishda cheklamaydi. Qarz oluvchining Mikroqarzni Sug‘urtalovchidan undirish tartibi tegishli sug‘urta shartnomasida belgilanadi.</t>
  </si>
  <si>
    <t>5. Mikroqarz bo‘yicha ta'minot Mikroqarz summasiga nisbatan 125% dan kam bo'lmagan holda: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</si>
</sst>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s>
  <fonts count="55"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s>
  <fills count="13">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
      <patternFill patternType="solid">
        <fgColor rgb="FF00B050"/>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88">
    <xf numFmtId="0" fontId="0"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53" fillId="0" borderId="0">
      <alignment vertical="center"/>
    </xf>
    <xf numFmtId="0" fontId="53" fillId="0" borderId="0">
      <alignment vertical="center"/>
    </xf>
    <xf numFmtId="43" fontId="4"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9" fontId="4" fillId="0" borderId="0" applyFont="0" applyFill="0" applyBorder="0" applyAlignment="0" applyProtection="0"/>
  </cellStyleXfs>
  <cellXfs count="355">
    <xf numFmtId="0" fontId="0" fillId="0" borderId="0" xfId="0"/>
    <xf numFmtId="0" fontId="5" fillId="0" borderId="1" xfId="0" applyFont="1" applyBorder="1" applyAlignment="1">
      <alignment vertical="center" wrapText="1"/>
    </xf>
    <xf numFmtId="49" fontId="5" fillId="0" borderId="1" xfId="0" applyNumberFormat="1" applyFont="1" applyBorder="1" applyAlignment="1">
      <alignment vertical="center" wrapText="1"/>
    </xf>
    <xf numFmtId="0" fontId="6" fillId="2" borderId="1" xfId="0" applyFont="1" applyFill="1" applyBorder="1" applyAlignment="1">
      <alignment vertical="center" wrapText="1"/>
    </xf>
    <xf numFmtId="0" fontId="5" fillId="0" borderId="0" xfId="0" applyFont="1"/>
    <xf numFmtId="165" fontId="5" fillId="0" borderId="1" xfId="0" applyNumberFormat="1" applyFont="1" applyBorder="1" applyAlignment="1">
      <alignment vertical="center" wrapText="1"/>
    </xf>
    <xf numFmtId="43" fontId="5" fillId="0" borderId="1" xfId="1" applyFont="1" applyBorder="1" applyAlignment="1">
      <alignment vertical="center" wrapText="1"/>
    </xf>
    <xf numFmtId="0" fontId="7" fillId="0" borderId="0" xfId="0" applyFont="1"/>
    <xf numFmtId="0" fontId="7" fillId="0" borderId="0" xfId="0" applyFont="1" applyAlignment="1">
      <alignment horizontal="right"/>
    </xf>
    <xf numFmtId="0" fontId="9" fillId="2" borderId="1" xfId="0" applyFont="1" applyFill="1" applyBorder="1" applyAlignment="1">
      <alignment horizontal="left" vertical="center" wrapText="1"/>
    </xf>
    <xf numFmtId="0" fontId="9" fillId="2" borderId="1" xfId="0" applyFont="1" applyFill="1" applyBorder="1" applyAlignment="1">
      <alignment horizontal="center" vertical="center" wrapText="1"/>
    </xf>
    <xf numFmtId="0" fontId="12" fillId="0" borderId="0" xfId="0" applyFont="1" applyAlignment="1" applyProtection="1">
      <alignment horizontal="center" vertical="top"/>
      <protection hidden="1"/>
    </xf>
    <xf numFmtId="0" fontId="10" fillId="0" borderId="0" xfId="0" applyFont="1" applyAlignment="1" applyProtection="1">
      <alignment horizontal="center" vertical="center"/>
      <protection hidden="1"/>
    </xf>
    <xf numFmtId="0" fontId="12" fillId="0" borderId="0" xfId="0" applyFont="1" applyAlignment="1" applyProtection="1">
      <alignment horizontal="center" vertical="center"/>
      <protection hidden="1"/>
    </xf>
    <xf numFmtId="0" fontId="8" fillId="0" borderId="0" xfId="0" applyFont="1"/>
    <xf numFmtId="0" fontId="8" fillId="0" borderId="0" xfId="0" applyFont="1" applyAlignment="1">
      <alignment horizontal="right"/>
    </xf>
    <xf numFmtId="0" fontId="13" fillId="0" borderId="0" xfId="0" applyFont="1"/>
    <xf numFmtId="0" fontId="13" fillId="0" borderId="0" xfId="0" applyFont="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xf numFmtId="0" fontId="13" fillId="0" borderId="0" xfId="0" applyFont="1" applyAlignment="1">
      <alignment horizontal="justify" vertical="top" wrapText="1"/>
    </xf>
    <xf numFmtId="0" fontId="13" fillId="0" borderId="0" xfId="0" applyFont="1" applyAlignment="1">
      <alignment wrapText="1"/>
    </xf>
    <xf numFmtId="164" fontId="5" fillId="0" borderId="1" xfId="0" applyNumberFormat="1" applyFont="1" applyBorder="1" applyAlignment="1">
      <alignment vertical="center" wrapText="1"/>
    </xf>
    <xf numFmtId="0" fontId="13" fillId="0" borderId="0" xfId="0" applyFont="1" applyAlignment="1">
      <alignment vertical="top" wrapText="1"/>
    </xf>
    <xf numFmtId="0" fontId="13" fillId="0" borderId="0" xfId="0" applyFont="1" applyAlignment="1">
      <alignment vertical="center" wrapText="1"/>
    </xf>
    <xf numFmtId="0" fontId="16" fillId="0" borderId="0" xfId="0" applyFont="1"/>
    <xf numFmtId="0" fontId="15" fillId="0" borderId="1" xfId="0" applyFont="1" applyBorder="1" applyAlignment="1">
      <alignment horizontal="center" vertical="center" wrapText="1"/>
    </xf>
    <xf numFmtId="0" fontId="15" fillId="0" borderId="0" xfId="0" applyFont="1" applyAlignment="1">
      <alignment horizontal="center" vertical="center" wrapText="1"/>
    </xf>
    <xf numFmtId="0" fontId="16" fillId="0" borderId="1" xfId="0" applyFont="1" applyBorder="1" applyAlignment="1">
      <alignment horizontal="center" vertical="top" wrapText="1"/>
    </xf>
    <xf numFmtId="43" fontId="16" fillId="0" borderId="1" xfId="1" applyFont="1" applyBorder="1" applyAlignment="1">
      <alignment horizontal="center" vertical="top" wrapText="1"/>
    </xf>
    <xf numFmtId="0" fontId="15" fillId="0" borderId="1" xfId="0" applyFont="1" applyBorder="1" applyAlignment="1">
      <alignment horizontal="center" vertical="top" wrapText="1"/>
    </xf>
    <xf numFmtId="43" fontId="15" fillId="0" borderId="1" xfId="0" applyNumberFormat="1" applyFont="1" applyBorder="1" applyAlignment="1">
      <alignment horizontal="center" vertical="top" wrapText="1"/>
    </xf>
    <xf numFmtId="0" fontId="15" fillId="0" borderId="0" xfId="0" applyFont="1"/>
    <xf numFmtId="0" fontId="7" fillId="0" borderId="0" xfId="0" applyFont="1" applyAlignment="1">
      <alignment horizontal="left"/>
    </xf>
    <xf numFmtId="14" fontId="13" fillId="0" borderId="1" xfId="0" applyNumberFormat="1" applyFont="1" applyBorder="1"/>
    <xf numFmtId="43" fontId="13" fillId="0" borderId="1" xfId="1" applyFont="1" applyBorder="1"/>
    <xf numFmtId="14" fontId="13" fillId="0" borderId="0" xfId="0" applyNumberFormat="1" applyFont="1"/>
    <xf numFmtId="43" fontId="13" fillId="0" borderId="0" xfId="1" applyFont="1" applyBorder="1"/>
    <xf numFmtId="0" fontId="14" fillId="0" borderId="0" xfId="0" applyFont="1"/>
    <xf numFmtId="0" fontId="14" fillId="0" borderId="0" xfId="0" applyFont="1" applyAlignment="1">
      <alignment horizontal="right"/>
    </xf>
    <xf numFmtId="0" fontId="14" fillId="0" borderId="1" xfId="0" applyFont="1" applyBorder="1" applyAlignment="1">
      <alignment horizontal="center" vertical="center" wrapText="1"/>
    </xf>
    <xf numFmtId="0" fontId="14" fillId="0" borderId="0" xfId="0" applyFont="1" applyAlignment="1">
      <alignment horizontal="center"/>
    </xf>
    <xf numFmtId="0" fontId="21" fillId="0" borderId="0" xfId="0" applyFont="1" applyAlignment="1">
      <alignment horizontal="center" wrapText="1"/>
    </xf>
    <xf numFmtId="0" fontId="13" fillId="0" borderId="0" xfId="0" applyFont="1" applyAlignment="1">
      <alignment horizontal="center" wrapText="1"/>
    </xf>
    <xf numFmtId="0" fontId="20" fillId="0" borderId="0" xfId="0" applyFont="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1" xfId="0" applyFont="1" applyBorder="1"/>
    <xf numFmtId="14" fontId="14" fillId="0" borderId="1" xfId="0" applyNumberFormat="1" applyFont="1" applyBorder="1"/>
    <xf numFmtId="43" fontId="14" fillId="0" borderId="1" xfId="1" applyFont="1" applyBorder="1"/>
    <xf numFmtId="0" fontId="5" fillId="4" borderId="1" xfId="0" applyFont="1" applyFill="1" applyBorder="1" applyAlignment="1">
      <alignment vertical="center" wrapText="1"/>
    </xf>
    <xf numFmtId="0" fontId="5" fillId="0" borderId="1" xfId="0" applyFont="1" applyBorder="1"/>
    <xf numFmtId="0" fontId="5" fillId="0" borderId="1" xfId="0" applyFont="1" applyBorder="1" applyAlignment="1">
      <alignment horizontal="left" vertical="center"/>
    </xf>
    <xf numFmtId="0" fontId="6" fillId="0" borderId="0" xfId="0" applyFont="1" applyAlignment="1">
      <alignment vertical="center"/>
    </xf>
    <xf numFmtId="0" fontId="14" fillId="0" borderId="0" xfId="0" applyFont="1" applyAlignment="1">
      <alignment horizontal="center" vertical="center" wrapText="1"/>
    </xf>
    <xf numFmtId="43" fontId="26" fillId="0" borderId="1" xfId="1" applyFont="1" applyBorder="1"/>
    <xf numFmtId="43" fontId="5" fillId="4" borderId="1" xfId="1" applyFont="1" applyFill="1" applyBorder="1" applyAlignment="1">
      <alignment vertical="center" wrapText="1"/>
    </xf>
    <xf numFmtId="0" fontId="13" fillId="0" borderId="0" xfId="0" applyFont="1" applyAlignment="1">
      <alignment horizontal="left" vertical="top" wrapText="1"/>
    </xf>
    <xf numFmtId="0" fontId="13" fillId="0" borderId="8" xfId="0" applyFont="1" applyBorder="1" applyAlignment="1">
      <alignment wrapText="1"/>
    </xf>
    <xf numFmtId="0" fontId="13" fillId="0" borderId="9" xfId="0" applyFont="1" applyBorder="1" applyAlignment="1">
      <alignment wrapText="1"/>
    </xf>
    <xf numFmtId="49" fontId="7" fillId="0" borderId="0" xfId="0" applyNumberFormat="1" applyFont="1" applyAlignment="1">
      <alignment horizontal="right"/>
    </xf>
    <xf numFmtId="49" fontId="5" fillId="4" borderId="1" xfId="0" applyNumberFormat="1" applyFont="1" applyFill="1" applyBorder="1" applyAlignment="1">
      <alignment vertical="center" wrapText="1"/>
    </xf>
    <xf numFmtId="165" fontId="25" fillId="2" borderId="1" xfId="0" applyNumberFormat="1" applyFont="1" applyFill="1" applyBorder="1" applyAlignment="1">
      <alignment vertical="center" wrapText="1"/>
    </xf>
    <xf numFmtId="165" fontId="5" fillId="2" borderId="1" xfId="0" applyNumberFormat="1" applyFont="1" applyFill="1" applyBorder="1" applyAlignment="1">
      <alignment vertical="center" wrapText="1"/>
    </xf>
    <xf numFmtId="0" fontId="5"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0" fillId="4" borderId="1" xfId="0" applyFont="1" applyFill="1" applyBorder="1"/>
    <xf numFmtId="0" fontId="8" fillId="0" borderId="0" xfId="0" applyFont="1" applyAlignment="1">
      <alignment horizontal="center" vertical="center" wrapText="1"/>
    </xf>
    <xf numFmtId="0" fontId="8" fillId="0" borderId="0" xfId="0" applyFont="1" applyAlignment="1">
      <alignment horizontal="center"/>
    </xf>
    <xf numFmtId="0" fontId="7" fillId="0" borderId="0" xfId="0" applyFont="1" applyAlignment="1">
      <alignment horizontal="center" vertical="center"/>
    </xf>
    <xf numFmtId="0" fontId="8" fillId="0" borderId="0" xfId="0" applyFont="1" applyAlignment="1">
      <alignment horizontal="center" vertical="center"/>
    </xf>
    <xf numFmtId="43" fontId="5" fillId="4" borderId="3" xfId="1" applyFont="1" applyFill="1" applyBorder="1" applyAlignment="1">
      <alignment vertical="center" wrapText="1"/>
    </xf>
    <xf numFmtId="0" fontId="6" fillId="2" borderId="1" xfId="0" applyFont="1" applyFill="1" applyBorder="1" applyAlignment="1">
      <alignment horizontal="right" vertical="center" wrapText="1"/>
    </xf>
    <xf numFmtId="164" fontId="5" fillId="0" borderId="0" xfId="0" applyNumberFormat="1" applyFont="1" applyAlignment="1">
      <alignment vertical="center" wrapText="1"/>
    </xf>
    <xf numFmtId="0" fontId="7" fillId="0" borderId="0" xfId="0" applyFont="1" applyAlignment="1">
      <alignment horizontal="center" vertical="center" wrapText="1"/>
    </xf>
    <xf numFmtId="0" fontId="7" fillId="0" borderId="0" xfId="0" applyFont="1" applyAlignment="1">
      <alignment vertical="top" wrapText="1"/>
    </xf>
    <xf numFmtId="0" fontId="7" fillId="0" borderId="0" xfId="0" applyFont="1" applyAlignment="1">
      <alignment horizontal="center" wrapText="1"/>
    </xf>
    <xf numFmtId="0" fontId="8" fillId="0" borderId="0" xfId="0" applyFont="1" applyAlignment="1">
      <alignment horizontal="center" wrapText="1"/>
    </xf>
    <xf numFmtId="0" fontId="17" fillId="0" borderId="0" xfId="0" applyFont="1" applyAlignment="1">
      <alignment horizontal="center"/>
    </xf>
    <xf numFmtId="0" fontId="7" fillId="0" borderId="0" xfId="0" applyFont="1" applyAlignment="1">
      <alignment vertical="top"/>
    </xf>
    <xf numFmtId="0" fontId="5" fillId="6" borderId="1" xfId="0" applyFont="1" applyFill="1" applyBorder="1" applyAlignment="1">
      <alignment vertical="center" wrapText="1"/>
    </xf>
    <xf numFmtId="0" fontId="5" fillId="4" borderId="15" xfId="0" applyFont="1" applyFill="1" applyBorder="1" applyAlignment="1">
      <alignment vertical="center"/>
    </xf>
    <xf numFmtId="0" fontId="5" fillId="6" borderId="13" xfId="0" applyFont="1" applyFill="1" applyBorder="1" applyAlignment="1">
      <alignment vertical="center"/>
    </xf>
    <xf numFmtId="0" fontId="5" fillId="2" borderId="1" xfId="0" applyFont="1" applyFill="1" applyBorder="1"/>
    <xf numFmtId="0" fontId="5" fillId="2" borderId="1" xfId="0" applyFont="1" applyFill="1" applyBorder="1" applyAlignment="1">
      <alignment wrapText="1"/>
    </xf>
    <xf numFmtId="165" fontId="5" fillId="2" borderId="1" xfId="0" applyNumberFormat="1" applyFont="1" applyFill="1" applyBorder="1" applyAlignment="1">
      <alignment horizontal="left" vertical="center" wrapText="1"/>
    </xf>
    <xf numFmtId="14" fontId="5" fillId="6" borderId="1" xfId="0" applyNumberFormat="1" applyFont="1" applyFill="1" applyBorder="1" applyAlignment="1">
      <alignment vertical="center" wrapText="1"/>
    </xf>
    <xf numFmtId="165" fontId="5" fillId="6" borderId="1" xfId="0" applyNumberFormat="1" applyFont="1" applyFill="1" applyBorder="1" applyAlignment="1">
      <alignment vertical="center" wrapText="1"/>
    </xf>
    <xf numFmtId="0" fontId="5" fillId="7" borderId="1" xfId="0" applyFont="1" applyFill="1" applyBorder="1" applyAlignment="1">
      <alignment vertical="center" wrapText="1"/>
    </xf>
    <xf numFmtId="9" fontId="5" fillId="7" borderId="1" xfId="0" applyNumberFormat="1" applyFont="1" applyFill="1" applyBorder="1" applyAlignment="1">
      <alignment vertical="center" wrapText="1"/>
    </xf>
    <xf numFmtId="49" fontId="5" fillId="7" borderId="1" xfId="1" applyNumberFormat="1" applyFont="1" applyFill="1" applyBorder="1" applyAlignment="1">
      <alignment vertical="center" wrapText="1"/>
    </xf>
    <xf numFmtId="40" fontId="5" fillId="7" borderId="1" xfId="1" applyNumberFormat="1" applyFont="1" applyFill="1" applyBorder="1" applyAlignment="1">
      <alignment vertical="center" wrapText="1"/>
    </xf>
    <xf numFmtId="0" fontId="5" fillId="6" borderId="1" xfId="0" applyFont="1" applyFill="1" applyBorder="1" applyAlignment="1">
      <alignment horizontal="left" vertical="center"/>
    </xf>
    <xf numFmtId="0" fontId="5" fillId="6"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49" fontId="5" fillId="4" borderId="1" xfId="0" applyNumberFormat="1" applyFont="1" applyFill="1" applyBorder="1" applyAlignment="1">
      <alignment horizontal="left" vertical="center" wrapText="1"/>
    </xf>
    <xf numFmtId="0" fontId="33" fillId="0" borderId="0" xfId="0" applyFont="1"/>
    <xf numFmtId="0" fontId="26" fillId="0" borderId="0" xfId="0" applyFont="1"/>
    <xf numFmtId="0" fontId="33" fillId="0" borderId="0" xfId="0" applyFont="1" applyAlignment="1">
      <alignment horizontal="right"/>
    </xf>
    <xf numFmtId="164" fontId="26" fillId="0" borderId="0" xfId="0" applyNumberFormat="1" applyFont="1"/>
    <xf numFmtId="166" fontId="26" fillId="0" borderId="0" xfId="0" applyNumberFormat="1" applyFont="1"/>
    <xf numFmtId="0" fontId="26" fillId="0" borderId="1" xfId="0" applyFont="1" applyBorder="1" applyAlignment="1">
      <alignment horizontal="center" vertical="center" wrapText="1"/>
    </xf>
    <xf numFmtId="0" fontId="26" fillId="0" borderId="0" xfId="0" applyFont="1" applyAlignment="1">
      <alignment horizontal="center" vertical="center" wrapText="1"/>
    </xf>
    <xf numFmtId="0" fontId="26" fillId="0" borderId="1" xfId="0" applyFont="1" applyBorder="1"/>
    <xf numFmtId="14" fontId="26" fillId="0" borderId="1" xfId="0" applyNumberFormat="1" applyFont="1" applyBorder="1"/>
    <xf numFmtId="167" fontId="26" fillId="0" borderId="0" xfId="0" applyNumberFormat="1" applyFont="1"/>
    <xf numFmtId="0" fontId="33" fillId="0" borderId="1" xfId="0" applyFont="1" applyBorder="1"/>
    <xf numFmtId="14" fontId="33" fillId="0" borderId="1" xfId="0" applyNumberFormat="1" applyFont="1" applyBorder="1"/>
    <xf numFmtId="43" fontId="33" fillId="0" borderId="1" xfId="1" applyFont="1" applyBorder="1"/>
    <xf numFmtId="14" fontId="26" fillId="0" borderId="0" xfId="0" applyNumberFormat="1" applyFont="1"/>
    <xf numFmtId="43" fontId="26" fillId="0" borderId="0" xfId="1" applyFont="1" applyBorder="1"/>
    <xf numFmtId="14" fontId="25" fillId="5" borderId="0" xfId="0" applyNumberFormat="1" applyFont="1" applyFill="1"/>
    <xf numFmtId="0" fontId="25" fillId="5" borderId="0" xfId="0" applyFont="1" applyFill="1"/>
    <xf numFmtId="0" fontId="25" fillId="0" borderId="0" xfId="0" applyFont="1"/>
    <xf numFmtId="168" fontId="36" fillId="5" borderId="0" xfId="0" applyNumberFormat="1" applyFont="1" applyFill="1"/>
    <xf numFmtId="0" fontId="25" fillId="4" borderId="0" xfId="0" applyFont="1" applyFill="1"/>
    <xf numFmtId="1" fontId="25" fillId="5" borderId="0" xfId="0" applyNumberFormat="1" applyFont="1" applyFill="1"/>
    <xf numFmtId="49" fontId="26" fillId="0" borderId="0" xfId="0" applyNumberFormat="1" applyFont="1" applyAlignment="1">
      <alignment horizontal="right"/>
    </xf>
    <xf numFmtId="0" fontId="37" fillId="0" borderId="0" xfId="0" applyFont="1" applyAlignment="1">
      <alignment vertical="center"/>
    </xf>
    <xf numFmtId="0" fontId="38" fillId="0" borderId="0" xfId="0" applyFont="1" applyAlignment="1">
      <alignment horizontal="right" vertical="center"/>
    </xf>
    <xf numFmtId="0" fontId="38" fillId="0" borderId="0" xfId="0" applyFont="1" applyAlignment="1">
      <alignment horizontal="right" vertical="center" wrapText="1"/>
    </xf>
    <xf numFmtId="43" fontId="13" fillId="0" borderId="1" xfId="1" applyFont="1" applyBorder="1" applyAlignment="1">
      <alignment horizontal="center" vertical="top" wrapText="1"/>
    </xf>
    <xf numFmtId="0" fontId="39" fillId="7" borderId="1" xfId="0" applyFont="1" applyFill="1" applyBorder="1"/>
    <xf numFmtId="0" fontId="39"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5" fillId="4" borderId="1" xfId="0" applyFont="1" applyFill="1" applyBorder="1"/>
    <xf numFmtId="0" fontId="39"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7" fillId="0" borderId="0" xfId="0" applyFont="1" applyAlignment="1">
      <alignment horizontal="right"/>
    </xf>
    <xf numFmtId="0" fontId="27" fillId="0" borderId="0" xfId="0" applyFont="1" applyAlignment="1">
      <alignment horizontal="justify"/>
    </xf>
    <xf numFmtId="0" fontId="27" fillId="0" borderId="0" xfId="0" applyFont="1" applyAlignment="1">
      <alignment horizontal="justify" vertical="center"/>
    </xf>
    <xf numFmtId="0" fontId="27" fillId="0" borderId="1" xfId="0" applyFont="1" applyBorder="1" applyAlignment="1">
      <alignment horizontal="justify"/>
    </xf>
    <xf numFmtId="0" fontId="27" fillId="0" borderId="0" xfId="0" applyFont="1" applyAlignment="1">
      <alignment horizontal="justify" vertical="center" wrapText="1"/>
    </xf>
    <xf numFmtId="0" fontId="27" fillId="0" borderId="0" xfId="0" applyFont="1" applyAlignment="1">
      <alignment horizontal="left"/>
    </xf>
    <xf numFmtId="0" fontId="27" fillId="0" borderId="11" xfId="0" applyFont="1" applyBorder="1" applyAlignment="1">
      <alignment horizontal="center"/>
    </xf>
    <xf numFmtId="0" fontId="27" fillId="0" borderId="0" xfId="0" applyFont="1" applyAlignment="1">
      <alignment horizontal="center"/>
    </xf>
    <xf numFmtId="0" fontId="5" fillId="3" borderId="1" xfId="0" applyFont="1" applyFill="1" applyBorder="1" applyAlignment="1">
      <alignment horizontal="center" vertical="center" wrapText="1"/>
    </xf>
    <xf numFmtId="0" fontId="13" fillId="0" borderId="0" xfId="0" applyFont="1" applyAlignment="1">
      <alignment vertical="top"/>
    </xf>
    <xf numFmtId="14" fontId="5" fillId="0" borderId="1" xfId="0" applyNumberFormat="1" applyFont="1" applyBorder="1"/>
    <xf numFmtId="0" fontId="29" fillId="0" borderId="0" xfId="0" applyFont="1" applyAlignment="1">
      <alignment horizontal="justify" vertical="top" wrapText="1"/>
    </xf>
    <xf numFmtId="0" fontId="14" fillId="0" borderId="0" xfId="0" applyFont="1" applyAlignment="1">
      <alignment horizontal="left" vertical="center" wrapText="1"/>
    </xf>
    <xf numFmtId="0" fontId="14" fillId="0" borderId="0" xfId="0" applyFont="1" applyAlignment="1">
      <alignment horizontal="right" vertical="center" wrapText="1"/>
    </xf>
    <xf numFmtId="0" fontId="0" fillId="0" borderId="0" xfId="0" applyAlignment="1">
      <alignment horizontal="left" vertical="center"/>
    </xf>
    <xf numFmtId="0" fontId="13" fillId="0" borderId="0" xfId="0" applyFont="1" applyAlignment="1">
      <alignment horizontal="left" vertical="center" wrapText="1"/>
    </xf>
    <xf numFmtId="14" fontId="5" fillId="4" borderId="1" xfId="0" applyNumberFormat="1" applyFont="1" applyFill="1" applyBorder="1" applyAlignment="1">
      <alignment vertical="center" wrapText="1"/>
    </xf>
    <xf numFmtId="0" fontId="13" fillId="0" borderId="0" xfId="0" applyFont="1" applyAlignment="1">
      <alignment horizontal="right"/>
    </xf>
    <xf numFmtId="0" fontId="6" fillId="6" borderId="1" xfId="0" applyFont="1" applyFill="1" applyBorder="1" applyAlignment="1">
      <alignment horizontal="left" vertical="center" wrapText="1"/>
    </xf>
    <xf numFmtId="0" fontId="6" fillId="6" borderId="1" xfId="0" applyFont="1" applyFill="1" applyBorder="1" applyAlignment="1">
      <alignment vertical="center" wrapText="1"/>
    </xf>
    <xf numFmtId="0" fontId="9" fillId="4" borderId="1" xfId="0" applyFont="1" applyFill="1" applyBorder="1" applyAlignment="1">
      <alignment horizontal="center" vertical="center" wrapText="1"/>
    </xf>
    <xf numFmtId="0" fontId="16" fillId="0" borderId="0" xfId="0" applyFont="1" applyAlignment="1">
      <alignment wrapText="1"/>
    </xf>
    <xf numFmtId="165" fontId="16" fillId="0" borderId="0" xfId="0" applyNumberFormat="1" applyFont="1"/>
    <xf numFmtId="0" fontId="15" fillId="0" borderId="0" xfId="0" applyFont="1" applyAlignment="1">
      <alignment vertical="center" wrapText="1"/>
    </xf>
    <xf numFmtId="0" fontId="15" fillId="0" borderId="0" xfId="0" applyFont="1" applyAlignment="1">
      <alignment horizontal="left"/>
    </xf>
    <xf numFmtId="0" fontId="8" fillId="0" borderId="0" xfId="0" applyFont="1" applyAlignment="1">
      <alignment horizontal="left"/>
    </xf>
    <xf numFmtId="14" fontId="9" fillId="4" borderId="1" xfId="0" applyNumberFormat="1" applyFont="1" applyFill="1" applyBorder="1" applyAlignment="1">
      <alignment horizontal="center" vertical="center" wrapText="1"/>
    </xf>
    <xf numFmtId="0" fontId="5" fillId="4" borderId="3" xfId="0" applyFont="1" applyFill="1" applyBorder="1" applyAlignment="1">
      <alignment vertical="center" wrapText="1"/>
    </xf>
    <xf numFmtId="49" fontId="9" fillId="4" borderId="1" xfId="0" applyNumberFormat="1" applyFont="1" applyFill="1" applyBorder="1" applyAlignment="1">
      <alignment horizontal="center" vertical="center" wrapText="1"/>
    </xf>
    <xf numFmtId="164" fontId="5" fillId="4" borderId="1" xfId="0" applyNumberFormat="1" applyFont="1" applyFill="1" applyBorder="1" applyAlignment="1">
      <alignment vertical="center" wrapText="1"/>
    </xf>
    <xf numFmtId="0" fontId="16" fillId="0" borderId="0" xfId="0" applyFont="1" applyAlignment="1">
      <alignment horizontal="center" vertical="top" wrapText="1"/>
    </xf>
    <xf numFmtId="0" fontId="41" fillId="2" borderId="1" xfId="0" applyFont="1" applyFill="1" applyBorder="1" applyAlignment="1">
      <alignment vertical="center" wrapText="1"/>
    </xf>
    <xf numFmtId="0" fontId="5" fillId="9" borderId="1" xfId="0" applyFont="1" applyFill="1" applyBorder="1" applyAlignment="1">
      <alignment vertical="center" wrapText="1"/>
    </xf>
    <xf numFmtId="0" fontId="5" fillId="3" borderId="1" xfId="0" applyFont="1" applyFill="1" applyBorder="1" applyAlignment="1">
      <alignment horizontal="center" vertical="center"/>
    </xf>
    <xf numFmtId="0" fontId="3" fillId="0" borderId="0" xfId="0" applyFont="1"/>
    <xf numFmtId="0" fontId="42" fillId="0" borderId="0" xfId="0" applyFont="1" applyAlignment="1">
      <alignment vertical="center"/>
    </xf>
    <xf numFmtId="0" fontId="43" fillId="0" borderId="0" xfId="0" applyFont="1" applyAlignment="1">
      <alignment wrapText="1"/>
    </xf>
    <xf numFmtId="0" fontId="7" fillId="0" borderId="0" xfId="0" applyFont="1" applyAlignment="1">
      <alignment wrapText="1"/>
    </xf>
    <xf numFmtId="0" fontId="45" fillId="0" borderId="0" xfId="0" applyFont="1"/>
    <xf numFmtId="0" fontId="46" fillId="0" borderId="0" xfId="0" applyFont="1"/>
    <xf numFmtId="0" fontId="8" fillId="0" borderId="0" xfId="0" applyFont="1" applyAlignment="1">
      <alignment horizontal="left" vertical="center" wrapText="1"/>
    </xf>
    <xf numFmtId="0" fontId="7" fillId="0" borderId="0" xfId="0" applyFont="1" applyAlignment="1">
      <alignment horizontal="left" vertical="top" wrapText="1"/>
    </xf>
    <xf numFmtId="0" fontId="31" fillId="0" borderId="0" xfId="0" applyFont="1" applyAlignment="1">
      <alignment horizontal="left"/>
    </xf>
    <xf numFmtId="0" fontId="8" fillId="0" borderId="0" xfId="0" applyFont="1" applyAlignment="1">
      <alignment horizontal="left" vertical="top" wrapText="1"/>
    </xf>
    <xf numFmtId="49" fontId="7" fillId="0" borderId="0" xfId="0" applyNumberFormat="1" applyFont="1" applyAlignment="1">
      <alignment horizontal="left" vertical="top" wrapText="1"/>
    </xf>
    <xf numFmtId="0" fontId="44" fillId="0" borderId="0" xfId="0" applyFont="1" applyAlignment="1">
      <alignment vertical="top" wrapText="1"/>
    </xf>
    <xf numFmtId="0" fontId="44" fillId="0" borderId="4" xfId="0" applyFont="1" applyBorder="1" applyAlignment="1">
      <alignment vertical="top" wrapText="1"/>
    </xf>
    <xf numFmtId="0" fontId="44" fillId="0" borderId="18" xfId="0" applyFont="1" applyBorder="1" applyAlignment="1">
      <alignment vertical="top" wrapText="1"/>
    </xf>
    <xf numFmtId="0" fontId="29" fillId="0" borderId="18" xfId="0" applyFont="1" applyBorder="1" applyAlignment="1">
      <alignment horizontal="justify" vertical="top" wrapText="1"/>
    </xf>
    <xf numFmtId="0" fontId="5" fillId="5" borderId="1" xfId="0" applyFont="1" applyFill="1" applyBorder="1" applyAlignment="1">
      <alignment vertical="center" wrapText="1"/>
    </xf>
    <xf numFmtId="0" fontId="13" fillId="0" borderId="0" xfId="0" applyFont="1" applyAlignment="1">
      <alignment horizontal="left"/>
    </xf>
    <xf numFmtId="0" fontId="8" fillId="0" borderId="0" xfId="0" applyFont="1" applyAlignment="1">
      <alignment horizontal="right" wrapText="1"/>
    </xf>
    <xf numFmtId="14" fontId="5" fillId="3" borderId="1" xfId="0" applyNumberFormat="1" applyFont="1" applyFill="1" applyBorder="1" applyAlignment="1">
      <alignment horizontal="center" vertical="center" wrapText="1"/>
    </xf>
    <xf numFmtId="0" fontId="48" fillId="2" borderId="1" xfId="0" applyFont="1" applyFill="1" applyBorder="1" applyAlignment="1">
      <alignment horizontal="left" vertical="center" wrapText="1"/>
    </xf>
    <xf numFmtId="0" fontId="48" fillId="2" borderId="1" xfId="0" applyFont="1" applyFill="1" applyBorder="1" applyAlignment="1">
      <alignment vertical="center" wrapText="1"/>
    </xf>
    <xf numFmtId="0" fontId="7" fillId="0" borderId="0" xfId="0" applyFont="1" applyAlignment="1">
      <alignment horizontal="center"/>
    </xf>
    <xf numFmtId="0" fontId="28" fillId="4" borderId="1" xfId="0" applyFont="1" applyFill="1" applyBorder="1" applyAlignment="1">
      <alignment vertical="center" wrapText="1"/>
    </xf>
    <xf numFmtId="0" fontId="49" fillId="4" borderId="1" xfId="0" applyFont="1" applyFill="1" applyBorder="1" applyAlignment="1">
      <alignment vertical="center" wrapText="1"/>
    </xf>
    <xf numFmtId="0" fontId="51" fillId="4" borderId="1" xfId="0" applyFont="1" applyFill="1" applyBorder="1" applyAlignment="1">
      <alignment vertical="center" wrapText="1"/>
    </xf>
    <xf numFmtId="0" fontId="50" fillId="2" borderId="1" xfId="0" applyFont="1" applyFill="1" applyBorder="1" applyAlignment="1">
      <alignment vertical="center" wrapText="1"/>
    </xf>
    <xf numFmtId="0" fontId="8" fillId="0" borderId="0" xfId="0" applyFont="1" applyAlignment="1">
      <alignment wrapText="1"/>
    </xf>
    <xf numFmtId="0" fontId="48" fillId="10" borderId="2" xfId="0" applyFont="1" applyFill="1" applyBorder="1" applyAlignment="1">
      <alignment horizontal="left" vertical="center" wrapText="1"/>
    </xf>
    <xf numFmtId="0" fontId="48" fillId="10" borderId="24" xfId="0" applyFont="1" applyFill="1" applyBorder="1" applyAlignment="1">
      <alignment horizontal="left" vertical="center" wrapText="1"/>
    </xf>
    <xf numFmtId="43" fontId="51" fillId="4" borderId="1" xfId="1" applyFont="1" applyFill="1" applyBorder="1" applyAlignment="1">
      <alignment vertical="center" wrapText="1"/>
    </xf>
    <xf numFmtId="0" fontId="7" fillId="5" borderId="0" xfId="0" applyFont="1" applyFill="1" applyAlignment="1">
      <alignment horizontal="center" wrapText="1"/>
    </xf>
    <xf numFmtId="49" fontId="5" fillId="0" borderId="1" xfId="0" applyNumberFormat="1" applyFont="1" applyBorder="1"/>
    <xf numFmtId="0" fontId="13" fillId="11" borderId="0" xfId="0" applyFont="1" applyFill="1"/>
    <xf numFmtId="0" fontId="6" fillId="0" borderId="0" xfId="0" applyFont="1"/>
    <xf numFmtId="0" fontId="5" fillId="10" borderId="0" xfId="0" applyFont="1" applyFill="1"/>
    <xf numFmtId="164" fontId="5" fillId="10" borderId="3" xfId="0" applyNumberFormat="1" applyFont="1" applyFill="1" applyBorder="1" applyAlignment="1">
      <alignment horizontal="left" vertical="top" wrapText="1"/>
    </xf>
    <xf numFmtId="14" fontId="5" fillId="10" borderId="0" xfId="0" applyNumberFormat="1" applyFont="1" applyFill="1"/>
    <xf numFmtId="0" fontId="54" fillId="10" borderId="16" xfId="0" applyFont="1" applyFill="1" applyBorder="1"/>
    <xf numFmtId="168" fontId="6" fillId="10" borderId="0" xfId="0" applyNumberFormat="1" applyFont="1" applyFill="1"/>
    <xf numFmtId="0" fontId="5" fillId="10" borderId="19" xfId="0" applyFont="1" applyFill="1" applyBorder="1"/>
    <xf numFmtId="0" fontId="5" fillId="10" borderId="20" xfId="0" applyFont="1" applyFill="1" applyBorder="1"/>
    <xf numFmtId="0" fontId="24" fillId="0" borderId="0" xfId="0" applyFont="1" applyAlignment="1">
      <alignment horizontal="left" vertical="top" wrapText="1"/>
    </xf>
    <xf numFmtId="0" fontId="6" fillId="0" borderId="0" xfId="0" applyFont="1" applyAlignment="1">
      <alignment wrapText="1"/>
    </xf>
    <xf numFmtId="0" fontId="6" fillId="10" borderId="0" xfId="0" applyFont="1" applyFill="1" applyAlignment="1">
      <alignment vertical="center" wrapText="1"/>
    </xf>
    <xf numFmtId="49" fontId="5" fillId="10" borderId="0" xfId="0" applyNumberFormat="1" applyFont="1" applyFill="1"/>
    <xf numFmtId="0" fontId="5" fillId="10" borderId="0" xfId="0" applyFont="1" applyFill="1" applyAlignment="1">
      <alignment vertical="center" wrapText="1"/>
    </xf>
    <xf numFmtId="49" fontId="28" fillId="4" borderId="1" xfId="0" applyNumberFormat="1" applyFont="1" applyFill="1" applyBorder="1" applyAlignment="1">
      <alignment vertical="center" wrapText="1"/>
    </xf>
    <xf numFmtId="11" fontId="5" fillId="4" borderId="1" xfId="0" applyNumberFormat="1" applyFont="1" applyFill="1" applyBorder="1" applyAlignment="1">
      <alignment vertical="center" wrapText="1"/>
    </xf>
    <xf numFmtId="0" fontId="5" fillId="4" borderId="1" xfId="0" applyFont="1" applyFill="1" applyBorder="1" applyAlignment="1">
      <alignment horizontal="left" vertical="center" wrapText="1"/>
    </xf>
    <xf numFmtId="14" fontId="9" fillId="2" borderId="1" xfId="0" applyNumberFormat="1" applyFont="1" applyFill="1" applyBorder="1" applyAlignment="1">
      <alignment horizontal="center" vertical="center" wrapText="1"/>
    </xf>
    <xf numFmtId="14" fontId="5" fillId="4" borderId="1" xfId="0" applyNumberFormat="1" applyFont="1" applyFill="1" applyBorder="1" applyAlignment="1">
      <alignment horizontal="left" vertical="center" wrapText="1"/>
    </xf>
    <xf numFmtId="43" fontId="5" fillId="10" borderId="0" xfId="0" applyNumberFormat="1" applyFont="1" applyFill="1"/>
    <xf numFmtId="0" fontId="28" fillId="10" borderId="0" xfId="0" applyFont="1" applyFill="1"/>
    <xf numFmtId="10" fontId="28" fillId="10" borderId="0" xfId="287" applyNumberFormat="1" applyFont="1" applyFill="1" applyAlignment="1">
      <alignment horizontal="center"/>
    </xf>
    <xf numFmtId="0" fontId="28" fillId="10" borderId="0" xfId="0" applyFont="1" applyFill="1" applyAlignment="1">
      <alignment horizontal="center"/>
    </xf>
    <xf numFmtId="0" fontId="6" fillId="2" borderId="13" xfId="0" applyFont="1" applyFill="1" applyBorder="1" applyAlignment="1">
      <alignment vertical="center" wrapText="1"/>
    </xf>
    <xf numFmtId="0" fontId="5" fillId="0" borderId="13" xfId="0" applyFont="1" applyBorder="1" applyAlignment="1">
      <alignment vertical="center" wrapText="1"/>
    </xf>
    <xf numFmtId="0" fontId="47" fillId="12" borderId="25" xfId="0" applyFont="1" applyFill="1" applyBorder="1" applyAlignment="1">
      <alignment vertical="center" wrapText="1"/>
    </xf>
    <xf numFmtId="0" fontId="5" fillId="12" borderId="26" xfId="0" applyFont="1" applyFill="1" applyBorder="1" applyAlignment="1">
      <alignment vertical="center" wrapText="1"/>
    </xf>
    <xf numFmtId="0" fontId="47" fillId="12" borderId="27" xfId="0" applyFont="1" applyFill="1" applyBorder="1" applyAlignment="1">
      <alignment vertical="center" wrapText="1"/>
    </xf>
    <xf numFmtId="43" fontId="5" fillId="12" borderId="28" xfId="1" applyFont="1" applyFill="1" applyBorder="1" applyAlignment="1">
      <alignment vertical="center" wrapText="1"/>
    </xf>
    <xf numFmtId="0" fontId="6" fillId="12" borderId="29" xfId="0" applyFont="1" applyFill="1" applyBorder="1" applyAlignment="1">
      <alignment vertical="center" wrapText="1"/>
    </xf>
    <xf numFmtId="43" fontId="5" fillId="12" borderId="30" xfId="1" applyFont="1" applyFill="1" applyBorder="1" applyAlignment="1">
      <alignment vertical="center" wrapText="1"/>
    </xf>
    <xf numFmtId="0" fontId="13" fillId="0" borderId="0" xfId="0" applyFont="1" applyAlignment="1">
      <alignment horizontal="left" vertical="top" wrapText="1"/>
    </xf>
    <xf numFmtId="0" fontId="13" fillId="0" borderId="0" xfId="0" applyFont="1" applyAlignment="1">
      <alignment horizontal="left" vertical="center" wrapText="1"/>
    </xf>
    <xf numFmtId="0" fontId="44" fillId="0" borderId="0" xfId="0" applyFont="1" applyAlignment="1">
      <alignment horizontal="justify" vertical="top" wrapText="1"/>
    </xf>
    <xf numFmtId="0" fontId="14" fillId="0" borderId="0" xfId="0" applyFont="1" applyAlignment="1">
      <alignment horizontal="left"/>
    </xf>
    <xf numFmtId="0" fontId="14" fillId="0" borderId="0" xfId="0" applyFont="1" applyAlignment="1">
      <alignment horizontal="left" wrapText="1"/>
    </xf>
    <xf numFmtId="0" fontId="13" fillId="0" borderId="0" xfId="0" applyFont="1" applyAlignment="1">
      <alignment horizontal="justify" vertical="top" wrapText="1"/>
    </xf>
    <xf numFmtId="0" fontId="14" fillId="0" borderId="0" xfId="0" applyFont="1" applyAlignment="1">
      <alignment horizontal="center" vertical="center" wrapText="1"/>
    </xf>
    <xf numFmtId="0" fontId="33" fillId="0" borderId="0" xfId="0" applyFont="1" applyAlignment="1">
      <alignment horizontal="center" vertical="center" wrapText="1"/>
    </xf>
    <xf numFmtId="0" fontId="26" fillId="0" borderId="0" xfId="0" applyFont="1" applyAlignment="1">
      <alignment horizontal="center"/>
    </xf>
    <xf numFmtId="0" fontId="26" fillId="0" borderId="0" xfId="0" applyFont="1" applyAlignment="1">
      <alignment horizontal="center" vertical="top" wrapText="1"/>
    </xf>
    <xf numFmtId="0" fontId="26" fillId="0" borderId="0" xfId="0" applyFont="1" applyAlignment="1">
      <alignment horizontal="left" wrapText="1"/>
    </xf>
    <xf numFmtId="0" fontId="35" fillId="0" borderId="0" xfId="0" applyFont="1" applyAlignment="1">
      <alignment horizontal="center" vertical="top" wrapText="1"/>
    </xf>
    <xf numFmtId="0" fontId="26" fillId="0" borderId="0" xfId="0" applyFont="1" applyAlignment="1">
      <alignment horizontal="center" wrapText="1"/>
    </xf>
    <xf numFmtId="0" fontId="33" fillId="0" borderId="0" xfId="0" applyFont="1" applyAlignment="1">
      <alignment horizontal="center" vertical="top" wrapText="1"/>
    </xf>
    <xf numFmtId="0" fontId="26" fillId="0" borderId="0" xfId="0" applyFont="1" applyAlignment="1">
      <alignment horizontal="justify" vertical="top" wrapText="1"/>
    </xf>
    <xf numFmtId="0" fontId="34" fillId="0" borderId="0" xfId="0" applyFont="1" applyAlignment="1">
      <alignment horizontal="center" vertical="center" wrapText="1"/>
    </xf>
    <xf numFmtId="0" fontId="33" fillId="0" borderId="0" xfId="0" applyFont="1" applyAlignment="1">
      <alignment horizontal="center" wrapText="1"/>
    </xf>
    <xf numFmtId="0" fontId="33" fillId="0" borderId="0" xfId="0" applyFont="1" applyAlignment="1">
      <alignment horizontal="right"/>
    </xf>
    <xf numFmtId="0" fontId="33" fillId="0" borderId="0" xfId="0" applyFont="1" applyAlignment="1">
      <alignment horizontal="center"/>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horizontal="center"/>
    </xf>
    <xf numFmtId="0" fontId="6" fillId="2" borderId="15"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13" fillId="0" borderId="0" xfId="0" applyFont="1" applyAlignment="1">
      <alignment horizontal="center"/>
    </xf>
    <xf numFmtId="0" fontId="13" fillId="0" borderId="0" xfId="0" applyFont="1" applyAlignment="1">
      <alignment horizontal="center" vertical="top" wrapText="1"/>
    </xf>
    <xf numFmtId="0" fontId="13" fillId="0" borderId="0" xfId="0" applyFont="1" applyAlignment="1">
      <alignment horizontal="left" wrapText="1"/>
    </xf>
    <xf numFmtId="0" fontId="18" fillId="0" borderId="0" xfId="0" applyFont="1" applyAlignment="1">
      <alignment horizontal="center" vertical="top" wrapText="1"/>
    </xf>
    <xf numFmtId="0" fontId="13" fillId="0" borderId="0" xfId="0" applyFont="1" applyAlignment="1">
      <alignment horizontal="center" wrapText="1"/>
    </xf>
    <xf numFmtId="0" fontId="14" fillId="0" borderId="0" xfId="0" applyFont="1" applyAlignment="1">
      <alignment horizontal="center" vertical="top" wrapText="1"/>
    </xf>
    <xf numFmtId="0" fontId="19" fillId="0" borderId="0" xfId="0" applyFont="1" applyAlignment="1">
      <alignment horizontal="center" vertical="center" wrapText="1"/>
    </xf>
    <xf numFmtId="0" fontId="14" fillId="0" borderId="0" xfId="0" applyFont="1" applyAlignment="1">
      <alignment horizontal="center" wrapText="1"/>
    </xf>
    <xf numFmtId="0" fontId="14" fillId="0" borderId="0" xfId="0" applyFont="1" applyAlignment="1">
      <alignment horizontal="right"/>
    </xf>
    <xf numFmtId="0" fontId="14" fillId="0" borderId="0" xfId="0" applyFont="1" applyAlignment="1">
      <alignment horizontal="center"/>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3" fillId="0" borderId="1" xfId="0" applyFont="1" applyBorder="1" applyAlignment="1">
      <alignment horizontal="center"/>
    </xf>
    <xf numFmtId="0" fontId="16" fillId="0" borderId="0" xfId="0" applyFont="1" applyAlignment="1">
      <alignment horizontal="justify" vertical="top" wrapText="1"/>
    </xf>
    <xf numFmtId="0" fontId="15" fillId="0" borderId="0" xfId="0" applyFont="1" applyAlignment="1">
      <alignment horizontal="center" vertical="top" wrapText="1"/>
    </xf>
    <xf numFmtId="0" fontId="16" fillId="0" borderId="0" xfId="0" applyFont="1" applyAlignment="1">
      <alignment horizontal="left" vertical="top" wrapText="1"/>
    </xf>
    <xf numFmtId="0" fontId="16" fillId="0" borderId="0" xfId="0" applyFont="1" applyAlignment="1">
      <alignment horizontal="center" vertical="top" wrapText="1"/>
    </xf>
    <xf numFmtId="0" fontId="16" fillId="0" borderId="4" xfId="0" applyFont="1" applyBorder="1" applyAlignment="1">
      <alignment horizontal="center" vertical="top" wrapText="1"/>
    </xf>
    <xf numFmtId="49" fontId="16" fillId="0" borderId="0" xfId="0" applyNumberFormat="1" applyFont="1" applyAlignment="1">
      <alignment horizontal="center" vertical="center" wrapText="1"/>
    </xf>
    <xf numFmtId="0" fontId="27" fillId="0" borderId="0" xfId="0" applyFont="1" applyAlignment="1">
      <alignment horizontal="justify" vertical="center" wrapText="1"/>
    </xf>
    <xf numFmtId="0" fontId="27" fillId="0" borderId="1" xfId="0" applyFont="1" applyBorder="1" applyAlignment="1">
      <alignment horizontal="justify" vertical="center" wrapText="1"/>
    </xf>
    <xf numFmtId="0" fontId="27" fillId="0" borderId="17" xfId="0" applyFont="1" applyBorder="1" applyAlignment="1">
      <alignment horizontal="justify" vertical="center" wrapText="1"/>
    </xf>
    <xf numFmtId="0" fontId="27" fillId="0" borderId="11" xfId="0" applyFont="1" applyBorder="1" applyAlignment="1">
      <alignment horizontal="justify"/>
    </xf>
    <xf numFmtId="0" fontId="27" fillId="0" borderId="0" xfId="0" applyFont="1" applyAlignment="1">
      <alignment horizontal="center"/>
    </xf>
    <xf numFmtId="0" fontId="27" fillId="0" borderId="3" xfId="0" applyFont="1" applyBorder="1" applyAlignment="1">
      <alignment horizontal="justify" vertical="center" wrapText="1"/>
    </xf>
    <xf numFmtId="0" fontId="27" fillId="0" borderId="18" xfId="0" applyFont="1" applyBorder="1" applyAlignment="1">
      <alignment horizontal="justify" vertical="center" wrapText="1"/>
    </xf>
    <xf numFmtId="0" fontId="27" fillId="0" borderId="2" xfId="0" applyFont="1" applyBorder="1" applyAlignment="1">
      <alignment horizontal="justify" vertical="center" wrapText="1"/>
    </xf>
    <xf numFmtId="0" fontId="27" fillId="0" borderId="3" xfId="0" applyFont="1" applyBorder="1" applyAlignment="1">
      <alignment horizontal="justify" vertical="center"/>
    </xf>
    <xf numFmtId="0" fontId="27" fillId="0" borderId="2" xfId="0" applyFont="1" applyBorder="1" applyAlignment="1">
      <alignment horizontal="justify" vertical="center"/>
    </xf>
    <xf numFmtId="0" fontId="27" fillId="0" borderId="21" xfId="0" applyFont="1" applyBorder="1" applyAlignment="1">
      <alignment horizontal="justify" vertical="center"/>
    </xf>
    <xf numFmtId="0" fontId="27" fillId="0" borderId="17" xfId="0" applyFont="1" applyBorder="1" applyAlignment="1">
      <alignment horizontal="justify" vertical="center"/>
    </xf>
    <xf numFmtId="0" fontId="27" fillId="0" borderId="22" xfId="0" applyFont="1" applyBorder="1" applyAlignment="1">
      <alignment horizontal="justify" vertical="center"/>
    </xf>
    <xf numFmtId="0" fontId="27" fillId="0" borderId="20" xfId="0" applyFont="1" applyBorder="1" applyAlignment="1">
      <alignment horizontal="justify" vertical="center"/>
    </xf>
    <xf numFmtId="0" fontId="27" fillId="0" borderId="4" xfId="0" applyFont="1" applyBorder="1" applyAlignment="1">
      <alignment horizontal="justify" vertical="center"/>
    </xf>
    <xf numFmtId="0" fontId="27" fillId="0" borderId="23" xfId="0" applyFont="1" applyBorder="1" applyAlignment="1">
      <alignment horizontal="justify" vertical="center"/>
    </xf>
    <xf numFmtId="0" fontId="8" fillId="0" borderId="0" xfId="0" applyFont="1" applyAlignment="1">
      <alignment horizontal="center"/>
    </xf>
    <xf numFmtId="0" fontId="8" fillId="0" borderId="0" xfId="0" applyFont="1" applyAlignment="1">
      <alignment horizontal="right" vertical="top" wrapText="1"/>
    </xf>
    <xf numFmtId="0" fontId="7" fillId="0" borderId="0" xfId="0" applyFont="1" applyAlignment="1">
      <alignment horizontal="justify" wrapText="1"/>
    </xf>
    <xf numFmtId="0" fontId="7" fillId="0" borderId="0" xfId="0" applyFont="1" applyAlignment="1">
      <alignment horizontal="justify" vertical="top" wrapText="1"/>
    </xf>
    <xf numFmtId="0" fontId="7" fillId="0" borderId="0" xfId="0" applyFont="1" applyAlignment="1">
      <alignment horizontal="left" vertical="top" wrapText="1"/>
    </xf>
    <xf numFmtId="0" fontId="8" fillId="0" borderId="0" xfId="0" applyFont="1" applyAlignment="1">
      <alignment horizontal="left" vertical="center" wrapText="1"/>
    </xf>
    <xf numFmtId="0" fontId="13" fillId="0" borderId="0" xfId="0" applyFont="1" applyAlignment="1">
      <alignment horizontal="center" vertical="center"/>
    </xf>
    <xf numFmtId="49" fontId="13" fillId="0" borderId="0" xfId="0" applyNumberFormat="1" applyFont="1" applyAlignment="1">
      <alignment horizontal="justify" vertical="top" wrapText="1"/>
    </xf>
    <xf numFmtId="0" fontId="8" fillId="0" borderId="0" xfId="0" applyFont="1" applyAlignment="1">
      <alignment horizontal="center" vertical="center"/>
    </xf>
    <xf numFmtId="0" fontId="27" fillId="0" borderId="0" xfId="0" applyFont="1" applyAlignment="1">
      <alignment horizontal="left" vertical="top" wrapText="1"/>
    </xf>
    <xf numFmtId="49" fontId="7" fillId="0" borderId="0" xfId="0" applyNumberFormat="1"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left" wrapText="1"/>
    </xf>
    <xf numFmtId="0" fontId="7" fillId="0" borderId="0" xfId="0" applyFont="1" applyAlignment="1">
      <alignment vertical="top" wrapText="1"/>
    </xf>
    <xf numFmtId="0" fontId="27" fillId="5" borderId="0" xfId="0" applyFont="1" applyFill="1" applyAlignment="1">
      <alignment horizontal="left" vertical="top" wrapText="1"/>
    </xf>
    <xf numFmtId="0" fontId="31" fillId="0" borderId="0" xfId="0" applyFont="1" applyAlignment="1">
      <alignment horizontal="center" vertical="top" wrapText="1"/>
    </xf>
    <xf numFmtId="0" fontId="8" fillId="0" borderId="0" xfId="0" applyFont="1" applyAlignment="1">
      <alignment horizontal="center" vertical="top" wrapText="1"/>
    </xf>
    <xf numFmtId="0" fontId="31" fillId="0" borderId="0" xfId="0" applyFont="1" applyAlignment="1">
      <alignment horizontal="left"/>
    </xf>
    <xf numFmtId="0" fontId="8" fillId="0" borderId="0" xfId="0" applyFont="1" applyAlignment="1">
      <alignment horizontal="center" wrapText="1"/>
    </xf>
    <xf numFmtId="0" fontId="8" fillId="0" borderId="0" xfId="0" applyFont="1" applyAlignment="1">
      <alignment horizontal="left" wrapText="1"/>
    </xf>
    <xf numFmtId="0" fontId="52" fillId="0" borderId="0" xfId="0" applyFont="1" applyAlignment="1">
      <alignment horizontal="center" wrapText="1"/>
    </xf>
    <xf numFmtId="0" fontId="14" fillId="0" borderId="0" xfId="0" applyFont="1" applyAlignment="1">
      <alignment horizontal="left" vertical="top" wrapText="1"/>
    </xf>
    <xf numFmtId="0" fontId="14" fillId="0" borderId="0" xfId="0" applyFont="1" applyAlignment="1">
      <alignment horizontal="right" vertical="center" wrapText="1"/>
    </xf>
    <xf numFmtId="0" fontId="7" fillId="0" borderId="0" xfId="0" applyFont="1" applyAlignment="1">
      <alignment horizontal="left" vertical="center" wrapText="1"/>
    </xf>
    <xf numFmtId="0" fontId="14"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24" fillId="0" borderId="0" xfId="0" applyFont="1" applyAlignment="1">
      <alignment horizontal="right" vertical="top" wrapText="1"/>
    </xf>
    <xf numFmtId="0" fontId="26" fillId="0" borderId="0" xfId="0" applyFont="1" applyAlignment="1">
      <alignment horizontal="right" vertical="top" wrapText="1"/>
    </xf>
    <xf numFmtId="0" fontId="13"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14" fillId="0" borderId="0" xfId="0" applyFont="1" applyAlignment="1">
      <alignment horizontal="right" vertical="top" wrapText="1"/>
    </xf>
    <xf numFmtId="0" fontId="14" fillId="0" borderId="10" xfId="0" applyFont="1" applyBorder="1" applyAlignment="1">
      <alignment horizontal="center" wrapText="1"/>
    </xf>
    <xf numFmtId="0" fontId="14" fillId="0" borderId="11" xfId="0" applyFont="1" applyBorder="1" applyAlignment="1">
      <alignment horizontal="center" wrapText="1"/>
    </xf>
    <xf numFmtId="0" fontId="14" fillId="0" borderId="12"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8" xfId="0" applyFont="1" applyBorder="1" applyAlignment="1">
      <alignment horizontal="left" wrapText="1"/>
    </xf>
    <xf numFmtId="0" fontId="14" fillId="0" borderId="9" xfId="0" applyFont="1" applyBorder="1" applyAlignment="1">
      <alignment horizontal="left" wrapText="1"/>
    </xf>
    <xf numFmtId="0" fontId="22" fillId="0" borderId="8" xfId="0" applyFont="1" applyBorder="1" applyAlignment="1">
      <alignment horizontal="center" wrapText="1"/>
    </xf>
    <xf numFmtId="0" fontId="22" fillId="0" borderId="0" xfId="0" applyFont="1" applyAlignment="1">
      <alignment horizontal="center" wrapText="1"/>
    </xf>
    <xf numFmtId="0" fontId="22" fillId="0" borderId="9" xfId="0" applyFont="1" applyBorder="1" applyAlignment="1">
      <alignment horizontal="center" wrapText="1"/>
    </xf>
    <xf numFmtId="0" fontId="23" fillId="0" borderId="5" xfId="0" applyFont="1" applyBorder="1" applyAlignment="1">
      <alignment horizontal="center" wrapText="1"/>
    </xf>
    <xf numFmtId="0" fontId="23" fillId="0" borderId="6" xfId="0" applyFont="1" applyBorder="1" applyAlignment="1">
      <alignment horizontal="center" wrapText="1"/>
    </xf>
    <xf numFmtId="0" fontId="23" fillId="0" borderId="7" xfId="0" applyFont="1" applyBorder="1" applyAlignment="1">
      <alignment horizontal="center" wrapText="1"/>
    </xf>
    <xf numFmtId="0" fontId="32" fillId="0" borderId="8" xfId="0" applyFont="1" applyBorder="1" applyAlignment="1">
      <alignment horizontal="center" wrapText="1"/>
    </xf>
    <xf numFmtId="0" fontId="32" fillId="0" borderId="0" xfId="0" applyFont="1" applyAlignment="1">
      <alignment horizontal="center" wrapText="1"/>
    </xf>
    <xf numFmtId="0" fontId="32" fillId="0" borderId="9" xfId="0" applyFont="1" applyBorder="1" applyAlignment="1">
      <alignment horizontal="center" wrapText="1"/>
    </xf>
    <xf numFmtId="0" fontId="38" fillId="0" borderId="0" xfId="0" applyFont="1" applyAlignment="1">
      <alignment vertical="center" wrapText="1"/>
    </xf>
    <xf numFmtId="0" fontId="37" fillId="0" borderId="0" xfId="0" applyFont="1" applyAlignment="1">
      <alignment horizontal="justify" vertical="center" wrapText="1"/>
    </xf>
    <xf numFmtId="0" fontId="13" fillId="0" borderId="0" xfId="0" applyFont="1" applyAlignment="1">
      <alignment vertical="top" wrapText="1"/>
    </xf>
    <xf numFmtId="0" fontId="38" fillId="0" borderId="0" xfId="0" applyFont="1" applyAlignment="1">
      <alignment horizontal="justify" vertical="center" wrapText="1"/>
    </xf>
    <xf numFmtId="0" fontId="37" fillId="0" borderId="0" xfId="0" applyFont="1" applyAlignment="1">
      <alignment horizontal="justify" vertical="top" wrapText="1"/>
    </xf>
    <xf numFmtId="0" fontId="13" fillId="0" borderId="0" xfId="0" applyFont="1" applyAlignment="1">
      <alignment horizontal="left"/>
    </xf>
    <xf numFmtId="0" fontId="15" fillId="8" borderId="3" xfId="0" applyFont="1" applyFill="1" applyBorder="1" applyAlignment="1">
      <alignment horizontal="center" vertical="center" wrapText="1"/>
    </xf>
    <xf numFmtId="0" fontId="15" fillId="8" borderId="2" xfId="0" applyFont="1" applyFill="1" applyBorder="1" applyAlignment="1">
      <alignment horizontal="center" vertical="center" wrapText="1"/>
    </xf>
    <xf numFmtId="0" fontId="15" fillId="0" borderId="0" xfId="0" applyFont="1" applyAlignment="1">
      <alignment horizontal="center" wrapText="1"/>
    </xf>
    <xf numFmtId="0" fontId="16" fillId="0" borderId="0" xfId="0" applyFont="1" applyAlignment="1">
      <alignment horizontal="left"/>
    </xf>
    <xf numFmtId="0" fontId="40" fillId="0" borderId="0" xfId="0" applyFont="1" applyAlignment="1">
      <alignment horizontal="left" vertical="center" wrapText="1" readingOrder="1"/>
    </xf>
    <xf numFmtId="0" fontId="16" fillId="0" borderId="0" xfId="0" applyFont="1" applyAlignment="1">
      <alignment horizontal="justify" vertical="top" wrapText="1" readingOrder="1"/>
    </xf>
    <xf numFmtId="0" fontId="15" fillId="0" borderId="4" xfId="0" applyFont="1" applyBorder="1" applyAlignment="1">
      <alignment horizontal="left" vertical="top"/>
    </xf>
    <xf numFmtId="0" fontId="16" fillId="0" borderId="0" xfId="0" applyFont="1" applyAlignment="1">
      <alignment horizontal="left" wrapText="1"/>
    </xf>
    <xf numFmtId="0" fontId="16" fillId="0" borderId="1"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cellXfs>
  <cellStyles count="288">
    <cellStyle name="Обычный" xfId="0" builtinId="0"/>
    <cellStyle name="Обычный 10" xfId="72" xr:uid="{00000000-0005-0000-0000-000001000000}"/>
    <cellStyle name="Обычный 10 2" xfId="208" xr:uid="{00000000-0005-0000-0000-000002000000}"/>
    <cellStyle name="Обычный 11" xfId="73" xr:uid="{00000000-0005-0000-0000-000003000000}"/>
    <cellStyle name="Обычный 11 2" xfId="209" xr:uid="{00000000-0005-0000-0000-000004000000}"/>
    <cellStyle name="Обычный 2" xfId="63" xr:uid="{00000000-0005-0000-0000-000005000000}"/>
    <cellStyle name="Обычный 3" xfId="64" xr:uid="{00000000-0005-0000-0000-000006000000}"/>
    <cellStyle name="Обычный 4" xfId="66" xr:uid="{00000000-0005-0000-0000-000007000000}"/>
    <cellStyle name="Обычный 4 2" xfId="202" xr:uid="{00000000-0005-0000-0000-000008000000}"/>
    <cellStyle name="Обычный 5" xfId="67" xr:uid="{00000000-0005-0000-0000-000009000000}"/>
    <cellStyle name="Обычный 5 2" xfId="203" xr:uid="{00000000-0005-0000-0000-00000A000000}"/>
    <cellStyle name="Обычный 6" xfId="68" xr:uid="{00000000-0005-0000-0000-00000B000000}"/>
    <cellStyle name="Обычный 6 2" xfId="204" xr:uid="{00000000-0005-0000-0000-00000C000000}"/>
    <cellStyle name="Обычный 7" xfId="69" xr:uid="{00000000-0005-0000-0000-00000D000000}"/>
    <cellStyle name="Обычный 7 2" xfId="205" xr:uid="{00000000-0005-0000-0000-00000E000000}"/>
    <cellStyle name="Обычный 8" xfId="70" xr:uid="{00000000-0005-0000-0000-00000F000000}"/>
    <cellStyle name="Обычный 8 2" xfId="206" xr:uid="{00000000-0005-0000-0000-000010000000}"/>
    <cellStyle name="Обычный 9" xfId="71" xr:uid="{00000000-0005-0000-0000-000011000000}"/>
    <cellStyle name="Обычный 9 2" xfId="207" xr:uid="{00000000-0005-0000-0000-000012000000}"/>
    <cellStyle name="Процентный" xfId="287" builtinId="5"/>
    <cellStyle name="Финансовый" xfId="1" builtinId="3"/>
    <cellStyle name="Финансовый 10" xfId="125" xr:uid="{00000000-0005-0000-0000-000015000000}"/>
    <cellStyle name="Финансовый 10 2" xfId="261" xr:uid="{00000000-0005-0000-0000-000016000000}"/>
    <cellStyle name="Финансовый 11" xfId="61" xr:uid="{00000000-0005-0000-0000-000017000000}"/>
    <cellStyle name="Финансовый 11 2" xfId="199" xr:uid="{00000000-0005-0000-0000-000018000000}"/>
    <cellStyle name="Финансовый 12" xfId="49" xr:uid="{00000000-0005-0000-0000-000019000000}"/>
    <cellStyle name="Финансовый 12 2" xfId="187" xr:uid="{00000000-0005-0000-0000-00001A000000}"/>
    <cellStyle name="Финансовый 13" xfId="127" xr:uid="{00000000-0005-0000-0000-00001B000000}"/>
    <cellStyle name="Финансовый 13 2" xfId="263" xr:uid="{00000000-0005-0000-0000-00001C000000}"/>
    <cellStyle name="Финансовый 14" xfId="25" xr:uid="{00000000-0005-0000-0000-00001D000000}"/>
    <cellStyle name="Финансовый 14 2" xfId="163" xr:uid="{00000000-0005-0000-0000-00001E000000}"/>
    <cellStyle name="Финансовый 15" xfId="13" xr:uid="{00000000-0005-0000-0000-00001F000000}"/>
    <cellStyle name="Финансовый 15 2" xfId="151" xr:uid="{00000000-0005-0000-0000-000020000000}"/>
    <cellStyle name="Финансовый 16" xfId="139" xr:uid="{00000000-0005-0000-0000-000021000000}"/>
    <cellStyle name="Финансовый 17" xfId="275" xr:uid="{00000000-0005-0000-0000-000022000000}"/>
    <cellStyle name="Финансовый 2" xfId="2" xr:uid="{00000000-0005-0000-0000-000023000000}"/>
    <cellStyle name="Финансовый 2 10" xfId="62" xr:uid="{00000000-0005-0000-0000-000024000000}"/>
    <cellStyle name="Финансовый 2 10 2" xfId="200" xr:uid="{00000000-0005-0000-0000-000025000000}"/>
    <cellStyle name="Финансовый 2 11" xfId="50" xr:uid="{00000000-0005-0000-0000-000026000000}"/>
    <cellStyle name="Финансовый 2 11 2" xfId="188" xr:uid="{00000000-0005-0000-0000-000027000000}"/>
    <cellStyle name="Финансовый 2 12" xfId="128" xr:uid="{00000000-0005-0000-0000-000028000000}"/>
    <cellStyle name="Финансовый 2 12 2" xfId="264" xr:uid="{00000000-0005-0000-0000-000029000000}"/>
    <cellStyle name="Финансовый 2 13" xfId="26" xr:uid="{00000000-0005-0000-0000-00002A000000}"/>
    <cellStyle name="Финансовый 2 13 2" xfId="164" xr:uid="{00000000-0005-0000-0000-00002B000000}"/>
    <cellStyle name="Финансовый 2 14" xfId="14" xr:uid="{00000000-0005-0000-0000-00002C000000}"/>
    <cellStyle name="Финансовый 2 14 2" xfId="152" xr:uid="{00000000-0005-0000-0000-00002D000000}"/>
    <cellStyle name="Финансовый 2 15" xfId="140" xr:uid="{00000000-0005-0000-0000-00002E000000}"/>
    <cellStyle name="Финансовый 2 16" xfId="276" xr:uid="{00000000-0005-0000-0000-00002F000000}"/>
    <cellStyle name="Финансовый 2 2" xfId="4" xr:uid="{00000000-0005-0000-0000-000030000000}"/>
    <cellStyle name="Финансовый 2 2 10" xfId="28" xr:uid="{00000000-0005-0000-0000-000031000000}"/>
    <cellStyle name="Финансовый 2 2 10 2" xfId="166" xr:uid="{00000000-0005-0000-0000-000032000000}"/>
    <cellStyle name="Финансовый 2 2 11" xfId="16" xr:uid="{00000000-0005-0000-0000-000033000000}"/>
    <cellStyle name="Финансовый 2 2 11 2" xfId="154" xr:uid="{00000000-0005-0000-0000-000034000000}"/>
    <cellStyle name="Финансовый 2 2 12" xfId="142" xr:uid="{00000000-0005-0000-0000-000035000000}"/>
    <cellStyle name="Финансовый 2 2 13" xfId="278" xr:uid="{00000000-0005-0000-0000-000036000000}"/>
    <cellStyle name="Финансовый 2 2 2" xfId="10" xr:uid="{00000000-0005-0000-0000-000037000000}"/>
    <cellStyle name="Финансовый 2 2 2 10" xfId="284" xr:uid="{00000000-0005-0000-0000-000038000000}"/>
    <cellStyle name="Финансовый 2 2 2 2" xfId="46" xr:uid="{00000000-0005-0000-0000-000039000000}"/>
    <cellStyle name="Финансовый 2 2 2 2 2" xfId="104" xr:uid="{00000000-0005-0000-0000-00003A000000}"/>
    <cellStyle name="Финансовый 2 2 2 2 2 2" xfId="240" xr:uid="{00000000-0005-0000-0000-00003B000000}"/>
    <cellStyle name="Финансовый 2 2 2 2 3" xfId="184" xr:uid="{00000000-0005-0000-0000-00003C000000}"/>
    <cellStyle name="Финансовый 2 2 2 3" xfId="116" xr:uid="{00000000-0005-0000-0000-00003D000000}"/>
    <cellStyle name="Финансовый 2 2 2 3 2" xfId="252" xr:uid="{00000000-0005-0000-0000-00003E000000}"/>
    <cellStyle name="Финансовый 2 2 2 4" xfId="80" xr:uid="{00000000-0005-0000-0000-00003F000000}"/>
    <cellStyle name="Финансовый 2 2 2 4 2" xfId="216" xr:uid="{00000000-0005-0000-0000-000040000000}"/>
    <cellStyle name="Финансовый 2 2 2 5" xfId="58" xr:uid="{00000000-0005-0000-0000-000041000000}"/>
    <cellStyle name="Финансовый 2 2 2 5 2" xfId="196" xr:uid="{00000000-0005-0000-0000-000042000000}"/>
    <cellStyle name="Финансовый 2 2 2 6" xfId="136" xr:uid="{00000000-0005-0000-0000-000043000000}"/>
    <cellStyle name="Финансовый 2 2 2 6 2" xfId="272" xr:uid="{00000000-0005-0000-0000-000044000000}"/>
    <cellStyle name="Финансовый 2 2 2 7" xfId="34" xr:uid="{00000000-0005-0000-0000-000045000000}"/>
    <cellStyle name="Финансовый 2 2 2 7 2" xfId="172" xr:uid="{00000000-0005-0000-0000-000046000000}"/>
    <cellStyle name="Финансовый 2 2 2 8" xfId="22" xr:uid="{00000000-0005-0000-0000-000047000000}"/>
    <cellStyle name="Финансовый 2 2 2 8 2" xfId="160" xr:uid="{00000000-0005-0000-0000-000048000000}"/>
    <cellStyle name="Финансовый 2 2 2 9" xfId="148" xr:uid="{00000000-0005-0000-0000-000049000000}"/>
    <cellStyle name="Финансовый 2 2 3" xfId="40" xr:uid="{00000000-0005-0000-0000-00004A000000}"/>
    <cellStyle name="Финансовый 2 2 3 2" xfId="122" xr:uid="{00000000-0005-0000-0000-00004B000000}"/>
    <cellStyle name="Финансовый 2 2 3 2 2" xfId="258" xr:uid="{00000000-0005-0000-0000-00004C000000}"/>
    <cellStyle name="Финансовый 2 2 3 3" xfId="86" xr:uid="{00000000-0005-0000-0000-00004D000000}"/>
    <cellStyle name="Финансовый 2 2 3 3 2" xfId="222" xr:uid="{00000000-0005-0000-0000-00004E000000}"/>
    <cellStyle name="Финансовый 2 2 3 4" xfId="178" xr:uid="{00000000-0005-0000-0000-00004F000000}"/>
    <cellStyle name="Финансовый 2 2 4" xfId="92" xr:uid="{00000000-0005-0000-0000-000050000000}"/>
    <cellStyle name="Финансовый 2 2 4 2" xfId="228" xr:uid="{00000000-0005-0000-0000-000051000000}"/>
    <cellStyle name="Финансовый 2 2 5" xfId="98" xr:uid="{00000000-0005-0000-0000-000052000000}"/>
    <cellStyle name="Финансовый 2 2 5 2" xfId="234" xr:uid="{00000000-0005-0000-0000-000053000000}"/>
    <cellStyle name="Финансовый 2 2 6" xfId="110" xr:uid="{00000000-0005-0000-0000-000054000000}"/>
    <cellStyle name="Финансовый 2 2 6 2" xfId="246" xr:uid="{00000000-0005-0000-0000-000055000000}"/>
    <cellStyle name="Финансовый 2 2 7" xfId="65" xr:uid="{00000000-0005-0000-0000-000056000000}"/>
    <cellStyle name="Финансовый 2 2 7 2" xfId="201" xr:uid="{00000000-0005-0000-0000-000057000000}"/>
    <cellStyle name="Финансовый 2 2 8" xfId="52" xr:uid="{00000000-0005-0000-0000-000058000000}"/>
    <cellStyle name="Финансовый 2 2 8 2" xfId="190" xr:uid="{00000000-0005-0000-0000-000059000000}"/>
    <cellStyle name="Финансовый 2 2 9" xfId="130" xr:uid="{00000000-0005-0000-0000-00005A000000}"/>
    <cellStyle name="Финансовый 2 2 9 2" xfId="266" xr:uid="{00000000-0005-0000-0000-00005B000000}"/>
    <cellStyle name="Финансовый 2 3" xfId="6" xr:uid="{00000000-0005-0000-0000-00005C000000}"/>
    <cellStyle name="Финансовый 2 3 10" xfId="30" xr:uid="{00000000-0005-0000-0000-00005D000000}"/>
    <cellStyle name="Финансовый 2 3 10 2" xfId="168" xr:uid="{00000000-0005-0000-0000-00005E000000}"/>
    <cellStyle name="Финансовый 2 3 11" xfId="18" xr:uid="{00000000-0005-0000-0000-00005F000000}"/>
    <cellStyle name="Финансовый 2 3 11 2" xfId="156" xr:uid="{00000000-0005-0000-0000-000060000000}"/>
    <cellStyle name="Финансовый 2 3 12" xfId="144" xr:uid="{00000000-0005-0000-0000-000061000000}"/>
    <cellStyle name="Финансовый 2 3 13" xfId="280" xr:uid="{00000000-0005-0000-0000-000062000000}"/>
    <cellStyle name="Финансовый 2 3 2" xfId="12" xr:uid="{00000000-0005-0000-0000-000063000000}"/>
    <cellStyle name="Финансовый 2 3 2 10" xfId="286" xr:uid="{00000000-0005-0000-0000-000064000000}"/>
    <cellStyle name="Финансовый 2 3 2 2" xfId="48" xr:uid="{00000000-0005-0000-0000-000065000000}"/>
    <cellStyle name="Финансовый 2 3 2 2 2" xfId="106" xr:uid="{00000000-0005-0000-0000-000066000000}"/>
    <cellStyle name="Финансовый 2 3 2 2 2 2" xfId="242" xr:uid="{00000000-0005-0000-0000-000067000000}"/>
    <cellStyle name="Финансовый 2 3 2 2 3" xfId="186" xr:uid="{00000000-0005-0000-0000-000068000000}"/>
    <cellStyle name="Финансовый 2 3 2 3" xfId="118" xr:uid="{00000000-0005-0000-0000-000069000000}"/>
    <cellStyle name="Финансовый 2 3 2 3 2" xfId="254" xr:uid="{00000000-0005-0000-0000-00006A000000}"/>
    <cellStyle name="Финансовый 2 3 2 4" xfId="82" xr:uid="{00000000-0005-0000-0000-00006B000000}"/>
    <cellStyle name="Финансовый 2 3 2 4 2" xfId="218" xr:uid="{00000000-0005-0000-0000-00006C000000}"/>
    <cellStyle name="Финансовый 2 3 2 5" xfId="60" xr:uid="{00000000-0005-0000-0000-00006D000000}"/>
    <cellStyle name="Финансовый 2 3 2 5 2" xfId="198" xr:uid="{00000000-0005-0000-0000-00006E000000}"/>
    <cellStyle name="Финансовый 2 3 2 6" xfId="138" xr:uid="{00000000-0005-0000-0000-00006F000000}"/>
    <cellStyle name="Финансовый 2 3 2 6 2" xfId="274" xr:uid="{00000000-0005-0000-0000-000070000000}"/>
    <cellStyle name="Финансовый 2 3 2 7" xfId="36" xr:uid="{00000000-0005-0000-0000-000071000000}"/>
    <cellStyle name="Финансовый 2 3 2 7 2" xfId="174" xr:uid="{00000000-0005-0000-0000-000072000000}"/>
    <cellStyle name="Финансовый 2 3 2 8" xfId="24" xr:uid="{00000000-0005-0000-0000-000073000000}"/>
    <cellStyle name="Финансовый 2 3 2 8 2" xfId="162" xr:uid="{00000000-0005-0000-0000-000074000000}"/>
    <cellStyle name="Финансовый 2 3 2 9" xfId="150" xr:uid="{00000000-0005-0000-0000-000075000000}"/>
    <cellStyle name="Финансовый 2 3 3" xfId="42" xr:uid="{00000000-0005-0000-0000-000076000000}"/>
    <cellStyle name="Финансовый 2 3 3 2" xfId="124" xr:uid="{00000000-0005-0000-0000-000077000000}"/>
    <cellStyle name="Финансовый 2 3 3 2 2" xfId="260" xr:uid="{00000000-0005-0000-0000-000078000000}"/>
    <cellStyle name="Финансовый 2 3 3 3" xfId="88" xr:uid="{00000000-0005-0000-0000-000079000000}"/>
    <cellStyle name="Финансовый 2 3 3 3 2" xfId="224" xr:uid="{00000000-0005-0000-0000-00007A000000}"/>
    <cellStyle name="Финансовый 2 3 3 4" xfId="180" xr:uid="{00000000-0005-0000-0000-00007B000000}"/>
    <cellStyle name="Финансовый 2 3 4" xfId="94" xr:uid="{00000000-0005-0000-0000-00007C000000}"/>
    <cellStyle name="Финансовый 2 3 4 2" xfId="230" xr:uid="{00000000-0005-0000-0000-00007D000000}"/>
    <cellStyle name="Финансовый 2 3 5" xfId="100" xr:uid="{00000000-0005-0000-0000-00007E000000}"/>
    <cellStyle name="Финансовый 2 3 5 2" xfId="236" xr:uid="{00000000-0005-0000-0000-00007F000000}"/>
    <cellStyle name="Финансовый 2 3 6" xfId="112" xr:uid="{00000000-0005-0000-0000-000080000000}"/>
    <cellStyle name="Финансовый 2 3 6 2" xfId="248" xr:uid="{00000000-0005-0000-0000-000081000000}"/>
    <cellStyle name="Финансовый 2 3 7" xfId="76" xr:uid="{00000000-0005-0000-0000-000082000000}"/>
    <cellStyle name="Финансовый 2 3 7 2" xfId="212" xr:uid="{00000000-0005-0000-0000-000083000000}"/>
    <cellStyle name="Финансовый 2 3 8" xfId="54" xr:uid="{00000000-0005-0000-0000-000084000000}"/>
    <cellStyle name="Финансовый 2 3 8 2" xfId="192" xr:uid="{00000000-0005-0000-0000-000085000000}"/>
    <cellStyle name="Финансовый 2 3 9" xfId="132" xr:uid="{00000000-0005-0000-0000-000086000000}"/>
    <cellStyle name="Финансовый 2 3 9 2" xfId="268" xr:uid="{00000000-0005-0000-0000-000087000000}"/>
    <cellStyle name="Финансовый 2 4" xfId="8" xr:uid="{00000000-0005-0000-0000-000088000000}"/>
    <cellStyle name="Финансовый 2 4 10" xfId="282" xr:uid="{00000000-0005-0000-0000-000089000000}"/>
    <cellStyle name="Финансовый 2 4 2" xfId="44" xr:uid="{00000000-0005-0000-0000-00008A000000}"/>
    <cellStyle name="Финансовый 2 4 2 2" xfId="102" xr:uid="{00000000-0005-0000-0000-00008B000000}"/>
    <cellStyle name="Финансовый 2 4 2 2 2" xfId="238" xr:uid="{00000000-0005-0000-0000-00008C000000}"/>
    <cellStyle name="Финансовый 2 4 2 3" xfId="182" xr:uid="{00000000-0005-0000-0000-00008D000000}"/>
    <cellStyle name="Финансовый 2 4 3" xfId="114" xr:uid="{00000000-0005-0000-0000-00008E000000}"/>
    <cellStyle name="Финансовый 2 4 3 2" xfId="250" xr:uid="{00000000-0005-0000-0000-00008F000000}"/>
    <cellStyle name="Финансовый 2 4 4" xfId="78" xr:uid="{00000000-0005-0000-0000-000090000000}"/>
    <cellStyle name="Финансовый 2 4 4 2" xfId="214" xr:uid="{00000000-0005-0000-0000-000091000000}"/>
    <cellStyle name="Финансовый 2 4 5" xfId="56" xr:uid="{00000000-0005-0000-0000-000092000000}"/>
    <cellStyle name="Финансовый 2 4 5 2" xfId="194" xr:uid="{00000000-0005-0000-0000-000093000000}"/>
    <cellStyle name="Финансовый 2 4 6" xfId="134" xr:uid="{00000000-0005-0000-0000-000094000000}"/>
    <cellStyle name="Финансовый 2 4 6 2" xfId="270" xr:uid="{00000000-0005-0000-0000-000095000000}"/>
    <cellStyle name="Финансовый 2 4 7" xfId="32" xr:uid="{00000000-0005-0000-0000-000096000000}"/>
    <cellStyle name="Финансовый 2 4 7 2" xfId="170" xr:uid="{00000000-0005-0000-0000-000097000000}"/>
    <cellStyle name="Финансовый 2 4 8" xfId="20" xr:uid="{00000000-0005-0000-0000-000098000000}"/>
    <cellStyle name="Финансовый 2 4 8 2" xfId="158" xr:uid="{00000000-0005-0000-0000-000099000000}"/>
    <cellStyle name="Финансовый 2 4 9" xfId="146" xr:uid="{00000000-0005-0000-0000-00009A000000}"/>
    <cellStyle name="Финансовый 2 5" xfId="38" xr:uid="{00000000-0005-0000-0000-00009B000000}"/>
    <cellStyle name="Финансовый 2 5 2" xfId="120" xr:uid="{00000000-0005-0000-0000-00009C000000}"/>
    <cellStyle name="Финансовый 2 5 2 2" xfId="256" xr:uid="{00000000-0005-0000-0000-00009D000000}"/>
    <cellStyle name="Финансовый 2 5 3" xfId="84" xr:uid="{00000000-0005-0000-0000-00009E000000}"/>
    <cellStyle name="Финансовый 2 5 3 2" xfId="220" xr:uid="{00000000-0005-0000-0000-00009F000000}"/>
    <cellStyle name="Финансовый 2 5 4" xfId="176" xr:uid="{00000000-0005-0000-0000-0000A0000000}"/>
    <cellStyle name="Финансовый 2 6" xfId="90" xr:uid="{00000000-0005-0000-0000-0000A1000000}"/>
    <cellStyle name="Финансовый 2 6 2" xfId="226" xr:uid="{00000000-0005-0000-0000-0000A2000000}"/>
    <cellStyle name="Финансовый 2 7" xfId="96" xr:uid="{00000000-0005-0000-0000-0000A3000000}"/>
    <cellStyle name="Финансовый 2 7 2" xfId="232" xr:uid="{00000000-0005-0000-0000-0000A4000000}"/>
    <cellStyle name="Финансовый 2 8" xfId="108" xr:uid="{00000000-0005-0000-0000-0000A5000000}"/>
    <cellStyle name="Финансовый 2 8 2" xfId="244" xr:uid="{00000000-0005-0000-0000-0000A6000000}"/>
    <cellStyle name="Финансовый 2 9" xfId="126" xr:uid="{00000000-0005-0000-0000-0000A7000000}"/>
    <cellStyle name="Финансовый 2 9 2" xfId="262" xr:uid="{00000000-0005-0000-0000-0000A8000000}"/>
    <cellStyle name="Финансовый 3" xfId="3" xr:uid="{00000000-0005-0000-0000-0000A9000000}"/>
    <cellStyle name="Финансовый 3 10" xfId="27" xr:uid="{00000000-0005-0000-0000-0000AA000000}"/>
    <cellStyle name="Финансовый 3 10 2" xfId="165" xr:uid="{00000000-0005-0000-0000-0000AB000000}"/>
    <cellStyle name="Финансовый 3 11" xfId="15" xr:uid="{00000000-0005-0000-0000-0000AC000000}"/>
    <cellStyle name="Финансовый 3 11 2" xfId="153" xr:uid="{00000000-0005-0000-0000-0000AD000000}"/>
    <cellStyle name="Финансовый 3 12" xfId="141" xr:uid="{00000000-0005-0000-0000-0000AE000000}"/>
    <cellStyle name="Финансовый 3 13" xfId="277" xr:uid="{00000000-0005-0000-0000-0000AF000000}"/>
    <cellStyle name="Финансовый 3 2" xfId="9" xr:uid="{00000000-0005-0000-0000-0000B0000000}"/>
    <cellStyle name="Финансовый 3 2 10" xfId="283" xr:uid="{00000000-0005-0000-0000-0000B1000000}"/>
    <cellStyle name="Финансовый 3 2 2" xfId="45" xr:uid="{00000000-0005-0000-0000-0000B2000000}"/>
    <cellStyle name="Финансовый 3 2 2 2" xfId="103" xr:uid="{00000000-0005-0000-0000-0000B3000000}"/>
    <cellStyle name="Финансовый 3 2 2 2 2" xfId="239" xr:uid="{00000000-0005-0000-0000-0000B4000000}"/>
    <cellStyle name="Финансовый 3 2 2 3" xfId="183" xr:uid="{00000000-0005-0000-0000-0000B5000000}"/>
    <cellStyle name="Финансовый 3 2 3" xfId="115" xr:uid="{00000000-0005-0000-0000-0000B6000000}"/>
    <cellStyle name="Финансовый 3 2 3 2" xfId="251" xr:uid="{00000000-0005-0000-0000-0000B7000000}"/>
    <cellStyle name="Финансовый 3 2 4" xfId="79" xr:uid="{00000000-0005-0000-0000-0000B8000000}"/>
    <cellStyle name="Финансовый 3 2 4 2" xfId="215" xr:uid="{00000000-0005-0000-0000-0000B9000000}"/>
    <cellStyle name="Финансовый 3 2 5" xfId="57" xr:uid="{00000000-0005-0000-0000-0000BA000000}"/>
    <cellStyle name="Финансовый 3 2 5 2" xfId="195" xr:uid="{00000000-0005-0000-0000-0000BB000000}"/>
    <cellStyle name="Финансовый 3 2 6" xfId="135" xr:uid="{00000000-0005-0000-0000-0000BC000000}"/>
    <cellStyle name="Финансовый 3 2 6 2" xfId="271" xr:uid="{00000000-0005-0000-0000-0000BD000000}"/>
    <cellStyle name="Финансовый 3 2 7" xfId="33" xr:uid="{00000000-0005-0000-0000-0000BE000000}"/>
    <cellStyle name="Финансовый 3 2 7 2" xfId="171" xr:uid="{00000000-0005-0000-0000-0000BF000000}"/>
    <cellStyle name="Финансовый 3 2 8" xfId="21" xr:uid="{00000000-0005-0000-0000-0000C0000000}"/>
    <cellStyle name="Финансовый 3 2 8 2" xfId="159" xr:uid="{00000000-0005-0000-0000-0000C1000000}"/>
    <cellStyle name="Финансовый 3 2 9" xfId="147" xr:uid="{00000000-0005-0000-0000-0000C2000000}"/>
    <cellStyle name="Финансовый 3 3" xfId="39" xr:uid="{00000000-0005-0000-0000-0000C3000000}"/>
    <cellStyle name="Финансовый 3 3 2" xfId="121" xr:uid="{00000000-0005-0000-0000-0000C4000000}"/>
    <cellStyle name="Финансовый 3 3 2 2" xfId="257" xr:uid="{00000000-0005-0000-0000-0000C5000000}"/>
    <cellStyle name="Финансовый 3 3 3" xfId="85" xr:uid="{00000000-0005-0000-0000-0000C6000000}"/>
    <cellStyle name="Финансовый 3 3 3 2" xfId="221" xr:uid="{00000000-0005-0000-0000-0000C7000000}"/>
    <cellStyle name="Финансовый 3 3 4" xfId="177" xr:uid="{00000000-0005-0000-0000-0000C8000000}"/>
    <cellStyle name="Финансовый 3 4" xfId="91" xr:uid="{00000000-0005-0000-0000-0000C9000000}"/>
    <cellStyle name="Финансовый 3 4 2" xfId="227" xr:uid="{00000000-0005-0000-0000-0000CA000000}"/>
    <cellStyle name="Финансовый 3 5" xfId="97" xr:uid="{00000000-0005-0000-0000-0000CB000000}"/>
    <cellStyle name="Финансовый 3 5 2" xfId="233" xr:uid="{00000000-0005-0000-0000-0000CC000000}"/>
    <cellStyle name="Финансовый 3 6" xfId="109" xr:uid="{00000000-0005-0000-0000-0000CD000000}"/>
    <cellStyle name="Финансовый 3 6 2" xfId="245" xr:uid="{00000000-0005-0000-0000-0000CE000000}"/>
    <cellStyle name="Финансовый 3 7" xfId="74" xr:uid="{00000000-0005-0000-0000-0000CF000000}"/>
    <cellStyle name="Финансовый 3 7 2" xfId="210" xr:uid="{00000000-0005-0000-0000-0000D0000000}"/>
    <cellStyle name="Финансовый 3 8" xfId="51" xr:uid="{00000000-0005-0000-0000-0000D1000000}"/>
    <cellStyle name="Финансовый 3 8 2" xfId="189" xr:uid="{00000000-0005-0000-0000-0000D2000000}"/>
    <cellStyle name="Финансовый 3 9" xfId="129" xr:uid="{00000000-0005-0000-0000-0000D3000000}"/>
    <cellStyle name="Финансовый 3 9 2" xfId="265" xr:uid="{00000000-0005-0000-0000-0000D4000000}"/>
    <cellStyle name="Финансовый 4" xfId="5" xr:uid="{00000000-0005-0000-0000-0000D5000000}"/>
    <cellStyle name="Финансовый 4 10" xfId="29" xr:uid="{00000000-0005-0000-0000-0000D6000000}"/>
    <cellStyle name="Финансовый 4 10 2" xfId="167" xr:uid="{00000000-0005-0000-0000-0000D7000000}"/>
    <cellStyle name="Финансовый 4 11" xfId="17" xr:uid="{00000000-0005-0000-0000-0000D8000000}"/>
    <cellStyle name="Финансовый 4 11 2" xfId="155" xr:uid="{00000000-0005-0000-0000-0000D9000000}"/>
    <cellStyle name="Финансовый 4 12" xfId="143" xr:uid="{00000000-0005-0000-0000-0000DA000000}"/>
    <cellStyle name="Финансовый 4 13" xfId="279" xr:uid="{00000000-0005-0000-0000-0000DB000000}"/>
    <cellStyle name="Финансовый 4 2" xfId="11" xr:uid="{00000000-0005-0000-0000-0000DC000000}"/>
    <cellStyle name="Финансовый 4 2 10" xfId="285" xr:uid="{00000000-0005-0000-0000-0000DD000000}"/>
    <cellStyle name="Финансовый 4 2 2" xfId="47" xr:uid="{00000000-0005-0000-0000-0000DE000000}"/>
    <cellStyle name="Финансовый 4 2 2 2" xfId="105" xr:uid="{00000000-0005-0000-0000-0000DF000000}"/>
    <cellStyle name="Финансовый 4 2 2 2 2" xfId="241" xr:uid="{00000000-0005-0000-0000-0000E0000000}"/>
    <cellStyle name="Финансовый 4 2 2 3" xfId="185" xr:uid="{00000000-0005-0000-0000-0000E1000000}"/>
    <cellStyle name="Финансовый 4 2 3" xfId="117" xr:uid="{00000000-0005-0000-0000-0000E2000000}"/>
    <cellStyle name="Финансовый 4 2 3 2" xfId="253" xr:uid="{00000000-0005-0000-0000-0000E3000000}"/>
    <cellStyle name="Финансовый 4 2 4" xfId="81" xr:uid="{00000000-0005-0000-0000-0000E4000000}"/>
    <cellStyle name="Финансовый 4 2 4 2" xfId="217" xr:uid="{00000000-0005-0000-0000-0000E5000000}"/>
    <cellStyle name="Финансовый 4 2 5" xfId="59" xr:uid="{00000000-0005-0000-0000-0000E6000000}"/>
    <cellStyle name="Финансовый 4 2 5 2" xfId="197" xr:uid="{00000000-0005-0000-0000-0000E7000000}"/>
    <cellStyle name="Финансовый 4 2 6" xfId="137" xr:uid="{00000000-0005-0000-0000-0000E8000000}"/>
    <cellStyle name="Финансовый 4 2 6 2" xfId="273" xr:uid="{00000000-0005-0000-0000-0000E9000000}"/>
    <cellStyle name="Финансовый 4 2 7" xfId="35" xr:uid="{00000000-0005-0000-0000-0000EA000000}"/>
    <cellStyle name="Финансовый 4 2 7 2" xfId="173" xr:uid="{00000000-0005-0000-0000-0000EB000000}"/>
    <cellStyle name="Финансовый 4 2 8" xfId="23" xr:uid="{00000000-0005-0000-0000-0000EC000000}"/>
    <cellStyle name="Финансовый 4 2 8 2" xfId="161" xr:uid="{00000000-0005-0000-0000-0000ED000000}"/>
    <cellStyle name="Финансовый 4 2 9" xfId="149" xr:uid="{00000000-0005-0000-0000-0000EE000000}"/>
    <cellStyle name="Финансовый 4 3" xfId="41" xr:uid="{00000000-0005-0000-0000-0000EF000000}"/>
    <cellStyle name="Финансовый 4 3 2" xfId="123" xr:uid="{00000000-0005-0000-0000-0000F0000000}"/>
    <cellStyle name="Финансовый 4 3 2 2" xfId="259" xr:uid="{00000000-0005-0000-0000-0000F1000000}"/>
    <cellStyle name="Финансовый 4 3 3" xfId="87" xr:uid="{00000000-0005-0000-0000-0000F2000000}"/>
    <cellStyle name="Финансовый 4 3 3 2" xfId="223" xr:uid="{00000000-0005-0000-0000-0000F3000000}"/>
    <cellStyle name="Финансовый 4 3 4" xfId="179" xr:uid="{00000000-0005-0000-0000-0000F4000000}"/>
    <cellStyle name="Финансовый 4 4" xfId="93" xr:uid="{00000000-0005-0000-0000-0000F5000000}"/>
    <cellStyle name="Финансовый 4 4 2" xfId="229" xr:uid="{00000000-0005-0000-0000-0000F6000000}"/>
    <cellStyle name="Финансовый 4 5" xfId="99" xr:uid="{00000000-0005-0000-0000-0000F7000000}"/>
    <cellStyle name="Финансовый 4 5 2" xfId="235" xr:uid="{00000000-0005-0000-0000-0000F8000000}"/>
    <cellStyle name="Финансовый 4 6" xfId="111" xr:uid="{00000000-0005-0000-0000-0000F9000000}"/>
    <cellStyle name="Финансовый 4 6 2" xfId="247" xr:uid="{00000000-0005-0000-0000-0000FA000000}"/>
    <cellStyle name="Финансовый 4 7" xfId="75" xr:uid="{00000000-0005-0000-0000-0000FB000000}"/>
    <cellStyle name="Финансовый 4 7 2" xfId="211" xr:uid="{00000000-0005-0000-0000-0000FC000000}"/>
    <cellStyle name="Финансовый 4 8" xfId="53" xr:uid="{00000000-0005-0000-0000-0000FD000000}"/>
    <cellStyle name="Финансовый 4 8 2" xfId="191" xr:uid="{00000000-0005-0000-0000-0000FE000000}"/>
    <cellStyle name="Финансовый 4 9" xfId="131" xr:uid="{00000000-0005-0000-0000-0000FF000000}"/>
    <cellStyle name="Финансовый 4 9 2" xfId="267" xr:uid="{00000000-0005-0000-0000-000000010000}"/>
    <cellStyle name="Финансовый 5" xfId="7" xr:uid="{00000000-0005-0000-0000-000001010000}"/>
    <cellStyle name="Финансовый 5 10" xfId="281" xr:uid="{00000000-0005-0000-0000-000002010000}"/>
    <cellStyle name="Финансовый 5 2" xfId="43" xr:uid="{00000000-0005-0000-0000-000003010000}"/>
    <cellStyle name="Финансовый 5 2 2" xfId="101" xr:uid="{00000000-0005-0000-0000-000004010000}"/>
    <cellStyle name="Финансовый 5 2 2 2" xfId="237" xr:uid="{00000000-0005-0000-0000-000005010000}"/>
    <cellStyle name="Финансовый 5 2 3" xfId="181" xr:uid="{00000000-0005-0000-0000-000006010000}"/>
    <cellStyle name="Финансовый 5 3" xfId="113" xr:uid="{00000000-0005-0000-0000-000007010000}"/>
    <cellStyle name="Финансовый 5 3 2" xfId="249" xr:uid="{00000000-0005-0000-0000-000008010000}"/>
    <cellStyle name="Финансовый 5 4" xfId="77" xr:uid="{00000000-0005-0000-0000-000009010000}"/>
    <cellStyle name="Финансовый 5 4 2" xfId="213" xr:uid="{00000000-0005-0000-0000-00000A010000}"/>
    <cellStyle name="Финансовый 5 5" xfId="55" xr:uid="{00000000-0005-0000-0000-00000B010000}"/>
    <cellStyle name="Финансовый 5 5 2" xfId="193" xr:uid="{00000000-0005-0000-0000-00000C010000}"/>
    <cellStyle name="Финансовый 5 6" xfId="133" xr:uid="{00000000-0005-0000-0000-00000D010000}"/>
    <cellStyle name="Финансовый 5 6 2" xfId="269" xr:uid="{00000000-0005-0000-0000-00000E010000}"/>
    <cellStyle name="Финансовый 5 7" xfId="31" xr:uid="{00000000-0005-0000-0000-00000F010000}"/>
    <cellStyle name="Финансовый 5 7 2" xfId="169" xr:uid="{00000000-0005-0000-0000-000010010000}"/>
    <cellStyle name="Финансовый 5 8" xfId="19" xr:uid="{00000000-0005-0000-0000-000011010000}"/>
    <cellStyle name="Финансовый 5 8 2" xfId="157" xr:uid="{00000000-0005-0000-0000-000012010000}"/>
    <cellStyle name="Финансовый 5 9" xfId="145" xr:uid="{00000000-0005-0000-0000-000013010000}"/>
    <cellStyle name="Финансовый 6" xfId="37" xr:uid="{00000000-0005-0000-0000-000014010000}"/>
    <cellStyle name="Финансовый 6 2" xfId="119" xr:uid="{00000000-0005-0000-0000-000015010000}"/>
    <cellStyle name="Финансовый 6 2 2" xfId="255" xr:uid="{00000000-0005-0000-0000-000016010000}"/>
    <cellStyle name="Финансовый 6 3" xfId="83" xr:uid="{00000000-0005-0000-0000-000017010000}"/>
    <cellStyle name="Финансовый 6 3 2" xfId="219" xr:uid="{00000000-0005-0000-0000-000018010000}"/>
    <cellStyle name="Финансовый 6 4" xfId="175" xr:uid="{00000000-0005-0000-0000-000019010000}"/>
    <cellStyle name="Финансовый 7" xfId="89" xr:uid="{00000000-0005-0000-0000-00001A010000}"/>
    <cellStyle name="Финансовый 7 2" xfId="225" xr:uid="{00000000-0005-0000-0000-00001B010000}"/>
    <cellStyle name="Финансовый 8" xfId="95" xr:uid="{00000000-0005-0000-0000-00001C010000}"/>
    <cellStyle name="Финансовый 8 2" xfId="231" xr:uid="{00000000-0005-0000-0000-00001D010000}"/>
    <cellStyle name="Финансовый 9" xfId="107" xr:uid="{00000000-0005-0000-0000-00001E010000}"/>
    <cellStyle name="Финансовый 9 2" xfId="243" xr:uid="{00000000-0005-0000-0000-00001F01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42"/>
  <sheetViews>
    <sheetView view="pageBreakPreview" topLeftCell="A8" zoomScaleNormal="100" zoomScaleSheetLayoutView="100" workbookViewId="0">
      <selection activeCell="A17" sqref="A17:E17"/>
    </sheetView>
  </sheetViews>
  <sheetFormatPr defaultRowHeight="15" x14ac:dyDescent="0.25"/>
  <cols>
    <col min="1" max="1" width="22.85546875" style="65" customWidth="1"/>
    <col min="2" max="2" width="24.28515625" style="65" customWidth="1"/>
    <col min="3" max="3" width="21.28515625" style="65" customWidth="1"/>
    <col min="4" max="4" width="18" style="65" customWidth="1"/>
    <col min="5" max="5" width="25.140625" style="65"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x14ac:dyDescent="0.25">
      <c r="A1" s="235" t="str">
        <f>""&amp;'Общие данные'!B151&amp;"
mikromoliya tashkiloti
Kredit qo‘mitasining yig‘ilishi"</f>
        <v>«CLEVER MIKROMOLIYA TASHKILOTI» MChJ
mikromoliya tashkiloti
Kredit qo‘mitasining yig‘ilishi</v>
      </c>
      <c r="B1" s="235"/>
      <c r="C1" s="235"/>
      <c r="D1" s="235"/>
      <c r="E1" s="235"/>
    </row>
    <row r="2" spans="1:33" ht="29.25" customHeight="1" x14ac:dyDescent="0.25">
      <c r="A2" s="235" t="str">
        <f>""&amp;H7&amp;" protokolidan ko'chirma"</f>
        <v>№-TR protokolidan ko'chirma</v>
      </c>
      <c r="B2" s="235"/>
      <c r="C2" s="235"/>
      <c r="D2" s="235"/>
      <c r="E2" s="235"/>
    </row>
    <row r="3" spans="1:33" ht="29.25" customHeight="1" x14ac:dyDescent="0.25">
      <c r="A3" s="144" t="s">
        <v>203</v>
      </c>
      <c r="B3" s="54"/>
      <c r="C3" s="54"/>
      <c r="D3" s="54"/>
      <c r="E3" s="145" t="str">
        <f>'Общие данные'!B68</f>
        <v>6 yanvar 2025 y.</v>
      </c>
    </row>
    <row r="4" spans="1:33" ht="29.25" customHeight="1" x14ac:dyDescent="0.25">
      <c r="A4" s="54"/>
      <c r="B4" s="235" t="s">
        <v>202</v>
      </c>
      <c r="C4" s="235"/>
      <c r="D4" s="235"/>
      <c r="E4" s="54"/>
    </row>
    <row r="5" spans="1:33" ht="36" customHeight="1" x14ac:dyDescent="0.25">
      <c r="A5" s="230" t="str">
        <f>"         "&amp;H8&amp;"."&amp;'Общие данные'!B5&amp;" ga "&amp;'Общие данные'!B65&amp;" berish masalasini ko‘rib chiqish to‘g‘risida."</f>
        <v xml:space="preserve">         1.DJUMANIYAZOV SHERIPBAY AYITBAYEVICH ga mikroqarz berish masalasini ko‘rib chiqish to‘g‘risida.</v>
      </c>
      <c r="B5" s="230"/>
      <c r="C5" s="230"/>
      <c r="D5" s="230"/>
      <c r="E5" s="230"/>
    </row>
    <row r="7" spans="1:33" ht="21" customHeight="1" x14ac:dyDescent="0.35">
      <c r="A7" s="234" t="str">
        <f>"      "&amp;H9&amp;" masala yuzasidan: «Clever Mikromoliya Tashkiloti» MChJ mikromoliya tashkiloti kredit bo‘yicha menejeri  "&amp;'Общие данные'!B5&amp;"ga "&amp;FIXED('Общие данные'!B76)&amp;" ("&amp;'Общие данные'!B77&amp;") so‘m miqdorida, muddati "&amp;'Общие данные'!B82&amp;" ("&amp;'Общие данные'!B83&amp;") oyga va yillik 60 (Oltmish) foiz miqdorida "&amp;'Общие данные'!B65&amp;" berich bo‘yicha "&amp;'Общие данные'!B5&amp;"ning kredit arizasi va "&amp;'Общие данные'!B151&amp;"ning xulosasi bilan ishtirokchilarni tanishtirdi."</f>
        <v xml:space="preserve">      Birinchi masala yuzasidan: «Clever Mikromoliya Tashkiloti» MChJ mikromoliya tashkiloti kredit bo‘yicha menejeri  DJUMANIYAZOV SHERIPBAY AYITBAYEVICHga 35 000 000,00 (o'ttiz besh million so'm) so‘m miqdorida, muddati 24 (yigira to'rt) oyga va yillik 60 (Oltmish) foiz miqdorida mikroqarz berich bo‘yicha DJUMANIYAZOV SHERIPBAY AYITBAYEVICHning kredit arizasi va «CLEVER MIKROMOLIYA TASHKILOTI» MChJning xulosasi bilan ishtirokchilarni tanishtirdi.</v>
      </c>
      <c r="B7" s="234"/>
      <c r="C7" s="234"/>
      <c r="D7" s="234"/>
      <c r="E7" s="234"/>
      <c r="G7" s="66" t="s">
        <v>258</v>
      </c>
      <c r="H7" s="67" t="str">
        <f>'Общие данные'!B1</f>
        <v>№-TR</v>
      </c>
    </row>
    <row r="8" spans="1:33" ht="23.25" x14ac:dyDescent="0.35">
      <c r="A8" s="234"/>
      <c r="B8" s="234"/>
      <c r="C8" s="234"/>
      <c r="D8" s="234"/>
      <c r="E8" s="234"/>
      <c r="G8" s="66" t="s">
        <v>259</v>
      </c>
      <c r="H8" s="67">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9.25" customHeight="1" x14ac:dyDescent="0.35">
      <c r="A9" s="234"/>
      <c r="B9" s="234"/>
      <c r="C9" s="234"/>
      <c r="D9" s="234"/>
      <c r="E9" s="234"/>
      <c r="G9" s="66" t="s">
        <v>260</v>
      </c>
      <c r="H9" s="67" t="str">
        <f>IF(H8=I8,I9,IF(H8=J8,J9,IF(H8=K8,K9,IF(H8=L8,L9,IF(H8=M8,M9,IF(H8=N8,N9,IF(H8=O8,O9,IF(H8=P8,P9,IF(H8=Q8,Q9,IF(H8=R8,R9,IF(H8=S8,S9,IF(H8=T8,T9,IF(H8=U8,U9,IF(H8=V8,V9,IF(H8=W8,W9,IF(H8=X8,X9,IF(H8=Y8,Y9,IF(H8=Z8,Z9,IF(H8=AA8,AA9,IF(H8=AB8,AB9,IF(H8=AC8,AC9,IF(H8=AD8,AD9,IF(H8=AE8,AE9,IF(H8=AF8,AF9,IF(H8=AG8,AG9)))))))))))))))))))))))))</f>
        <v>Birinchi</v>
      </c>
      <c r="I9" s="166" t="s">
        <v>190</v>
      </c>
      <c r="J9" s="167" t="s">
        <v>191</v>
      </c>
      <c r="K9" s="167" t="s">
        <v>192</v>
      </c>
      <c r="L9" s="167" t="s">
        <v>370</v>
      </c>
      <c r="M9" s="167" t="s">
        <v>193</v>
      </c>
      <c r="N9" s="167" t="s">
        <v>371</v>
      </c>
      <c r="O9" s="167" t="s">
        <v>194</v>
      </c>
      <c r="P9" s="167" t="s">
        <v>195</v>
      </c>
      <c r="Q9" s="167" t="s">
        <v>196</v>
      </c>
      <c r="R9" s="167" t="s">
        <v>360</v>
      </c>
      <c r="S9" s="167" t="s">
        <v>361</v>
      </c>
      <c r="T9" s="167" t="s">
        <v>362</v>
      </c>
      <c r="U9" s="167" t="s">
        <v>363</v>
      </c>
      <c r="V9" s="167" t="s">
        <v>372</v>
      </c>
      <c r="W9" s="167" t="s">
        <v>364</v>
      </c>
      <c r="X9" s="167" t="s">
        <v>365</v>
      </c>
      <c r="Y9" s="167" t="s">
        <v>366</v>
      </c>
      <c r="Z9" s="167" t="s">
        <v>367</v>
      </c>
      <c r="AA9" s="167" t="s">
        <v>368</v>
      </c>
      <c r="AB9" s="167" t="s">
        <v>197</v>
      </c>
      <c r="AC9" s="167" t="s">
        <v>198</v>
      </c>
      <c r="AD9" s="167" t="s">
        <v>199</v>
      </c>
      <c r="AE9" s="167" t="s">
        <v>200</v>
      </c>
      <c r="AF9" s="167" t="s">
        <v>369</v>
      </c>
      <c r="AG9" s="167" t="s">
        <v>201</v>
      </c>
    </row>
    <row r="10" spans="1:33" ht="10.5" hidden="1" customHeight="1" x14ac:dyDescent="0.25">
      <c r="A10" s="234"/>
      <c r="B10" s="234"/>
      <c r="C10" s="234"/>
      <c r="D10" s="234"/>
      <c r="E10" s="234"/>
    </row>
    <row r="11" spans="1:33" ht="9" hidden="1" customHeight="1" x14ac:dyDescent="0.25">
      <c r="A11" s="234"/>
      <c r="B11" s="234"/>
      <c r="C11" s="234"/>
      <c r="D11" s="234"/>
      <c r="E11" s="234"/>
    </row>
    <row r="12" spans="1:33" ht="3" hidden="1" customHeight="1" x14ac:dyDescent="0.25">
      <c r="A12" s="234"/>
      <c r="B12" s="234"/>
      <c r="C12" s="234"/>
      <c r="D12" s="234"/>
      <c r="E12" s="234"/>
    </row>
    <row r="13" spans="1:33" ht="7.5" customHeight="1" x14ac:dyDescent="0.25"/>
    <row r="14" spans="1:33" ht="15.75" customHeight="1" x14ac:dyDescent="0.25">
      <c r="A14" s="229" t="str">
        <f>""&amp;'Общие данные'!C64&amp;" ta’minoti Mikroqarz summasiga nisbatan 125% dan kam bo'lmagan holda:"</f>
        <v>Mikroqarz ta’minoti Mikroqarz summasiga nisbatan 125% dan kam bo'lmagan holda:</v>
      </c>
      <c r="B14" s="229"/>
      <c r="C14" s="229"/>
      <c r="D14" s="229"/>
      <c r="E14" s="229"/>
    </row>
    <row r="15" spans="1:33" ht="7.5" customHeight="1" x14ac:dyDescent="0.25"/>
    <row r="16" spans="1:33" ht="64.5" customHeight="1" x14ac:dyDescent="0.25">
      <c r="A16" s="234" t="str">
        <f>'Заключение КК'!A18:E18</f>
        <v>1.   Egalik huquqi MADRAXIMOV XOLMUROD RAMONBERDI O'GLIga tegishli bo'lgan garovga olingan avtomobil markasi   GM UZ / MATIZ DLX, rangi -  OQ-BELAYA KASABLANKA, ishlab chiqarilgan yili - 2007, davlat raqam belgisi 95P232GA, kuzov turi - YENGIL SEDAN, kuzov raqami XWB4A11AD8A152643, dvigatel raqami F8CV521561KB1, shassi raqami - RAKAMSIZ</v>
      </c>
      <c r="B16" s="234"/>
      <c r="C16" s="234"/>
      <c r="D16" s="234"/>
      <c r="E16" s="234"/>
    </row>
    <row r="17" spans="1:5" ht="31.9" customHeight="1" x14ac:dyDescent="0.25">
      <c r="A17" s="229" t="str">
        <f>"2. «"&amp;'Общие данные'!B147&amp;"» АJ sug‘urta kompaniyasi tomonidan Mikroqarz to'lamaslik xavfini "&amp;FIXED('Общие данные'!B148,2)&amp;"("&amp;'Общие данные'!B149&amp;") so ' m miqdoriga sug’urta qilish"</f>
        <v>2. «KAPITAL SUG'URTA» АJ sug‘urta kompaniyasi tomonidan Mikroqarz to'lamaslik xavfini 10 000 000,00(o'n million so'm) so ' m miqdoriga sug’urta qilish</v>
      </c>
      <c r="B17" s="229"/>
      <c r="C17" s="229"/>
      <c r="D17" s="229"/>
      <c r="E17" s="229"/>
    </row>
    <row r="18" spans="1:5" ht="17.25" customHeight="1" x14ac:dyDescent="0.25">
      <c r="C18" s="168" t="s">
        <v>379</v>
      </c>
      <c r="D18" s="168" t="str">
        <f>""&amp;'Общие данные'!B151&amp;" kredit qo‘mitasi"</f>
        <v>«CLEVER MIKROMOLIYA TASHKILOTI» MChJ kredit qo‘mitasi</v>
      </c>
      <c r="E18" s="168" t="str">
        <f>CONCATENATE(C18,D18)</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9" spans="1:5" ht="54" customHeight="1" x14ac:dyDescent="0.25">
      <c r="A19" s="234" t="str">
        <f>CONCATENATE(H9,E18)</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9" s="234"/>
      <c r="C19" s="234"/>
      <c r="D19" s="234"/>
      <c r="E19" s="234"/>
    </row>
    <row r="20" spans="1:5" ht="24" customHeight="1" x14ac:dyDescent="0.25">
      <c r="A20" s="236" t="s">
        <v>261</v>
      </c>
      <c r="B20" s="236"/>
      <c r="C20" s="236"/>
      <c r="D20" s="236"/>
      <c r="E20" s="236"/>
    </row>
    <row r="21" spans="1:5" ht="32.25" customHeight="1" x14ac:dyDescent="0.25">
      <c r="A21" s="234" t="str">
        <f>"       "&amp;'Общие данные'!B5&amp;"ga quyidagi shartlarda "&amp;'Общие данные'!B65&amp;" berish masalasi ma’qullansin:"</f>
        <v xml:space="preserve">       DJUMANIYAZOV SHERIPBAY AYITBAYEVICHga quyidagi shartlarda mikroqarz berish masalasi ma’qullansin:</v>
      </c>
      <c r="B21" s="234"/>
      <c r="C21" s="234"/>
      <c r="D21" s="234"/>
      <c r="E21" s="234"/>
    </row>
    <row r="22" spans="1:5" s="146" customFormat="1" ht="18.75" customHeight="1" x14ac:dyDescent="0.25">
      <c r="A22" s="230" t="str">
        <f>"1. "&amp;'Общие данные'!C64&amp;" summasi: "&amp;FIXED('Общие данные'!B76)&amp;" ("&amp;'Общие данные'!B77&amp;") so'm."</f>
        <v>1. Mikroqarz summasi: 35 000 000,00 (o'ttiz besh million so'm) so'm.</v>
      </c>
      <c r="B22" s="230"/>
      <c r="C22" s="230"/>
      <c r="D22" s="230"/>
      <c r="E22" s="230"/>
    </row>
    <row r="23" spans="1:5" s="146" customFormat="1" ht="18.75" customHeight="1" x14ac:dyDescent="0.25">
      <c r="A23" s="230" t="str">
        <f>"2. "&amp;'Общие данные'!C64&amp;" muddati: "&amp;'Общие данные'!B82&amp;" ("&amp;'Общие данные'!B83&amp;") oy "</f>
        <v xml:space="preserve">2. Mikroqarz muddati: 24 (yigira to'rt) oy </v>
      </c>
      <c r="B23" s="230"/>
      <c r="C23" s="230"/>
      <c r="D23" s="230"/>
      <c r="E23" s="230"/>
    </row>
    <row r="24" spans="1:5" s="146" customFormat="1" ht="18.75" customHeight="1" x14ac:dyDescent="0.25">
      <c r="A24" s="230" t="str">
        <f>"3. "&amp;'Общие данные'!C64&amp;"dan foydalanganlik uchun foiz stavkasi:yillik "&amp;'Общие данные'!B86&amp;"% ("&amp;'Общие данные'!B87&amp;") foiz."</f>
        <v>3. Mikroqarzdan foydalanganlik uchun foiz stavkasi:yillik 60% (Oltmish) foiz.</v>
      </c>
      <c r="B24" s="230"/>
      <c r="C24" s="230"/>
      <c r="D24" s="230"/>
      <c r="E24" s="230"/>
    </row>
    <row r="25" spans="1:5" s="146" customFormat="1" ht="18.75" customHeight="1" x14ac:dyDescent="0.25">
      <c r="A25" s="230" t="str">
        <f>"4. "&amp;'Общие данные'!C64&amp;" bo‘yicha asosiy qarz va foizlarni to‘lash:"</f>
        <v>4. Mikroqarz bo‘yicha asosiy qarz va foizlarni to‘lash:</v>
      </c>
      <c r="B25" s="230"/>
      <c r="C25" s="230"/>
      <c r="D25" s="230"/>
      <c r="E25" s="230"/>
    </row>
    <row r="26" spans="1:5" s="146" customFormat="1" ht="18.75" customHeight="1" x14ac:dyDescent="0.25">
      <c r="A26" s="230" t="str">
        <f>'Кредитная заявка'!A19:D19</f>
        <v xml:space="preserve"> - mikroqarz shartnomasi bo'yicha har oy annuitet to'lovlari amalga oshiriladi</v>
      </c>
      <c r="B26" s="230"/>
      <c r="C26" s="230"/>
      <c r="D26" s="230"/>
      <c r="E26" s="230"/>
    </row>
    <row r="27" spans="1:5" s="146" customFormat="1" ht="18.75" customHeight="1" x14ac:dyDescent="0.25">
      <c r="A27" s="230" t="s">
        <v>442</v>
      </c>
      <c r="B27" s="230"/>
      <c r="C27" s="230"/>
      <c r="D27" s="230"/>
      <c r="E27" s="230"/>
    </row>
    <row r="28" spans="1:5" ht="48" customHeight="1" x14ac:dyDescent="0.25">
      <c r="A28" s="234" t="str">
        <f>"1. garov  "&amp;'Заключение КК'!A29:E29&amp;""</f>
        <v>1. garov   - MADRAXIMOV XOLMUROD RAMONBERDI O'GLI ga mulk huquqi asosida tegishli avtotransport vositasi GM UZ / MATIZ DLX , quyidagi tafsilotlarga muvofiq:</v>
      </c>
      <c r="B28" s="234"/>
      <c r="C28" s="234"/>
      <c r="D28" s="234"/>
      <c r="E28" s="234"/>
    </row>
    <row r="29" spans="1:5" ht="40.5" customHeight="1" x14ac:dyDescent="0.25">
      <c r="A29" s="18" t="str">
        <f>'Акт согласования'!A29</f>
        <v>Nomi</v>
      </c>
      <c r="B29" s="18" t="str">
        <f>'Акт согласования'!B29</f>
        <v>Kuzov turi  va kuzov raqami*</v>
      </c>
      <c r="C29" s="18" t="str">
        <f>'Акт согласования'!C29</f>
        <v>Dvigatel va shassi raqami*</v>
      </c>
      <c r="D29" s="18" t="str">
        <f>'Акт согласования'!D29</f>
        <v>Ishlab chiqarilgan yili va rangi*</v>
      </c>
      <c r="E29" s="18" t="str">
        <f>'Акт согласования'!E29</f>
        <v>Kelishilgan garov qiymati, so'm</v>
      </c>
    </row>
    <row r="30" spans="1:5" ht="75.75" customHeight="1" x14ac:dyDescent="0.25">
      <c r="A30" s="18" t="str">
        <f>'Акт согласования'!A30</f>
        <v>GM UZ / MATIZ DLX</v>
      </c>
      <c r="B30" s="18" t="str">
        <f>'Акт согласования'!B30</f>
        <v>kuzov turi - YENGIL SEDAN, kuzov raqami XWB4A11AD8A152643</v>
      </c>
      <c r="C30" s="18" t="str">
        <f>'Акт согласования'!C30</f>
        <v>dvigatel raqami F8CV521561KB1, shassi raqami - RAKAMSIZ</v>
      </c>
      <c r="D30" s="18" t="str">
        <f>'Акт согласования'!D30</f>
        <v>rangi -  OQ-BELAYA KASABLANKA, ishlab chiqarilgan yili - 2007</v>
      </c>
      <c r="E30" s="18" t="str">
        <f>'Акт согласования'!E30</f>
        <v>52 500 000,00 
(ellik ikki million besh yuz ming so'm)</v>
      </c>
    </row>
    <row r="31" spans="1:5" ht="20.25" customHeight="1" x14ac:dyDescent="0.25">
      <c r="A31" s="234" t="str">
        <f>'Акт согласования'!A22:E22</f>
        <v>-* avtotransport egasi: MADRAXIMOV XOLMUROD RAMONBERDI O'GLI</v>
      </c>
      <c r="B31" s="234"/>
      <c r="C31" s="234"/>
      <c r="D31" s="234"/>
      <c r="E31" s="234"/>
    </row>
    <row r="32" spans="1:5" ht="20.25" customHeight="1" x14ac:dyDescent="0.25">
      <c r="A32" s="234" t="str">
        <f>'Акт согласования'!A23:E23</f>
        <v>-* texnik pasport: AAE 0278091 13.04.2018 y.</v>
      </c>
      <c r="B32" s="234"/>
      <c r="C32" s="234"/>
      <c r="D32" s="234"/>
      <c r="E32" s="234"/>
    </row>
    <row r="33" spans="1:5" ht="34.5" customHeight="1" x14ac:dyDescent="0.25">
      <c r="A33" s="234" t="str">
        <f>'Акт согласования'!A24:E24</f>
        <v>-* roʻyxatdan oʻtgan manzili/garaj manzili: QORAQALPOG'ISTON RESPUBLIKASI TO'RTKO'L TUMANI TOZABOG'YOP OFY</v>
      </c>
      <c r="B33" s="234"/>
      <c r="C33" s="234"/>
      <c r="D33" s="234"/>
      <c r="E33" s="234"/>
    </row>
    <row r="34" spans="1:5" ht="22.5" customHeight="1" x14ac:dyDescent="0.25">
      <c r="A34" s="234" t="str">
        <f>'Акт согласования'!A25:E25</f>
        <v>-* davlat raqami: 95P232GA</v>
      </c>
      <c r="B34" s="234"/>
      <c r="C34" s="234"/>
      <c r="D34" s="234"/>
      <c r="E34" s="234"/>
    </row>
    <row r="35" spans="1:5" ht="12" customHeight="1" x14ac:dyDescent="0.25">
      <c r="A35" s="147"/>
      <c r="B35" s="147"/>
      <c r="C35" s="147"/>
      <c r="D35" s="147"/>
      <c r="E35" s="147"/>
    </row>
    <row r="36" spans="1:5" ht="34.9" customHeight="1" x14ac:dyDescent="0.25">
      <c r="A36" s="234" t="str">
        <f>"6. «"&amp;'Общие данные'!B147&amp;"» АJ sug‘urta kompaniyasi tomonidan Mikroqarz to'lamaslik xavfini "&amp;FIXED('Общие данные'!B148,2)&amp;"("&amp;'Общие данные'!B149&amp;") so ' m miqdoriga sug’urta qilish"</f>
        <v>6. «KAPITAL SUG'URTA» АJ sug‘urta kompaniyasi tomonidan Mikroqarz to'lamaslik xavfini 10 000 000,00(o'n million so'm) so ' m miqdoriga sug’urta qilish</v>
      </c>
      <c r="B36" s="234"/>
      <c r="C36" s="234"/>
      <c r="D36" s="234"/>
      <c r="E36" s="234"/>
    </row>
    <row r="37" spans="1:5" ht="22.5" customHeight="1" x14ac:dyDescent="0.25">
      <c r="A37" s="234" t="str">
        <f>"7. Boshqa shartlar – "&amp;IF('Общие данные'!B104='Общие данные'!B105,"avtotransport vositasi",IF('Общие данные'!B104='Общие данные'!C105,"ko'chmas mulk",0))&amp;" shaklida garov ta'minlangandan keyin "&amp;'Общие данные'!B65&amp;" berish."</f>
        <v>7. Boshqa shartlar – 0 shaklida garov ta'minlangandan keyin mikroqarz berish.</v>
      </c>
      <c r="B37" s="234"/>
      <c r="C37" s="234"/>
      <c r="D37" s="234"/>
      <c r="E37" s="234"/>
    </row>
    <row r="39" spans="1:5" ht="29.25" customHeight="1" x14ac:dyDescent="0.25">
      <c r="A39" s="231" t="s">
        <v>262</v>
      </c>
      <c r="B39" s="231"/>
      <c r="C39" s="231"/>
      <c r="D39" s="231"/>
      <c r="E39" s="231"/>
    </row>
    <row r="40" spans="1:5" ht="29.25" customHeight="1" x14ac:dyDescent="0.25">
      <c r="A40" s="232" t="s">
        <v>399</v>
      </c>
      <c r="B40" s="232"/>
      <c r="C40" s="177"/>
      <c r="D40" s="178"/>
      <c r="E40" s="178"/>
    </row>
    <row r="41" spans="1:5" ht="29.25" customHeight="1" x14ac:dyDescent="0.25">
      <c r="A41" s="233" t="str">
        <f>"2. "&amp;'Общие данные'!B163&amp;""</f>
        <v>2. Usmanova Z.Sh. v.v.b.</v>
      </c>
      <c r="B41" s="233"/>
      <c r="C41" s="177"/>
      <c r="D41" s="179"/>
      <c r="E41" s="179"/>
    </row>
    <row r="42" spans="1:5" ht="29.25" customHeight="1" x14ac:dyDescent="0.25">
      <c r="A42" s="232" t="str">
        <f>"3. "&amp;'Общие данные'!B164&amp;""</f>
        <v>3. Jumanazarov B.T.</v>
      </c>
      <c r="B42" s="232"/>
      <c r="C42" s="143"/>
      <c r="D42" s="180"/>
      <c r="E42" s="180"/>
    </row>
  </sheetData>
  <mergeCells count="28">
    <mergeCell ref="A42:B42"/>
    <mergeCell ref="A23:E23"/>
    <mergeCell ref="A1:E1"/>
    <mergeCell ref="A2:E2"/>
    <mergeCell ref="B4:D4"/>
    <mergeCell ref="A5:E5"/>
    <mergeCell ref="A7:E12"/>
    <mergeCell ref="A14:E14"/>
    <mergeCell ref="A16:E16"/>
    <mergeCell ref="A19:E19"/>
    <mergeCell ref="A20:E20"/>
    <mergeCell ref="A21:E21"/>
    <mergeCell ref="A22:E22"/>
    <mergeCell ref="A24:E24"/>
    <mergeCell ref="A25:E25"/>
    <mergeCell ref="A26:E26"/>
    <mergeCell ref="A17:E17"/>
    <mergeCell ref="A27:E27"/>
    <mergeCell ref="A39:E39"/>
    <mergeCell ref="A40:B40"/>
    <mergeCell ref="A41:B41"/>
    <mergeCell ref="A34:E34"/>
    <mergeCell ref="A28:E28"/>
    <mergeCell ref="A31:E31"/>
    <mergeCell ref="A32:E32"/>
    <mergeCell ref="A33:E33"/>
    <mergeCell ref="A37:E37"/>
    <mergeCell ref="A36:E36"/>
  </mergeCells>
  <pageMargins left="0.70866141732283472" right="0.70866141732283472" top="0.74803149606299213" bottom="0.74803149606299213" header="0.31496062992125984" footer="0.31496062992125984"/>
  <pageSetup paperSize="9" scale="66"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x14ac:dyDescent="0.25"/>
  <cols>
    <col min="1" max="1" width="9.140625" style="98"/>
    <col min="2" max="2" width="12.28515625" style="98" customWidth="1"/>
    <col min="3" max="3" width="16.5703125" style="98" customWidth="1"/>
    <col min="4" max="4" width="16.7109375" style="98" customWidth="1"/>
    <col min="5" max="5" width="16.5703125" style="98" customWidth="1"/>
    <col min="6" max="6" width="20.85546875" style="98" customWidth="1"/>
    <col min="7" max="7" width="10.140625" style="98" customWidth="1" outlineLevel="1"/>
    <col min="8" max="8" width="19.140625" style="98" customWidth="1"/>
    <col min="9" max="9" width="21.42578125" style="98" customWidth="1"/>
    <col min="10" max="10" width="20.85546875" style="98" customWidth="1"/>
    <col min="11" max="11" width="20.140625" style="98" customWidth="1"/>
    <col min="12" max="12" width="21.42578125" style="98" customWidth="1"/>
    <col min="13" max="13" width="25.42578125" style="98" customWidth="1"/>
    <col min="14" max="14" width="18.28515625" style="98" customWidth="1"/>
    <col min="15" max="17" width="9.140625" style="16"/>
    <col min="18" max="18" width="24.42578125" style="16" customWidth="1"/>
    <col min="19" max="16384" width="9.140625" style="16"/>
  </cols>
  <sheetData>
    <row r="1" spans="1:22" x14ac:dyDescent="0.25">
      <c r="A1" s="97"/>
      <c r="B1" s="97"/>
      <c r="C1" s="97"/>
      <c r="D1" s="97"/>
      <c r="E1" s="246" t="s">
        <v>16</v>
      </c>
      <c r="F1" s="246"/>
    </row>
    <row r="2" spans="1:22" x14ac:dyDescent="0.25">
      <c r="A2" s="97"/>
      <c r="B2" s="97"/>
      <c r="C2" s="97"/>
      <c r="D2" s="97"/>
      <c r="E2" s="97"/>
      <c r="F2" s="99" t="str">
        <f>"к договору микрозайма "&amp;'Общие данные'!B74&amp;""</f>
        <v>к договору микрозайма 6 yanvar 2025 y.dan №-TR</v>
      </c>
    </row>
    <row r="3" spans="1:22" ht="19.5" customHeight="1" x14ac:dyDescent="0.25">
      <c r="A3" s="97"/>
      <c r="B3" s="97"/>
      <c r="C3" s="97"/>
      <c r="D3" s="97"/>
      <c r="E3" s="97"/>
      <c r="F3" s="97"/>
      <c r="H3" s="100"/>
      <c r="I3" s="100"/>
      <c r="J3" s="101"/>
      <c r="K3" s="101"/>
    </row>
    <row r="4" spans="1:22" ht="19.5" customHeight="1" x14ac:dyDescent="0.25">
      <c r="A4" s="247" t="s">
        <v>17</v>
      </c>
      <c r="B4" s="247"/>
      <c r="C4" s="247"/>
      <c r="D4" s="247"/>
      <c r="E4" s="247"/>
      <c r="F4" s="247"/>
      <c r="H4" s="100"/>
      <c r="I4" s="100"/>
      <c r="J4" s="100"/>
      <c r="K4" s="100"/>
    </row>
    <row r="5" spans="1:22" ht="19.5" customHeight="1" x14ac:dyDescent="0.25">
      <c r="L5" s="98">
        <f>'Общие данные'!B82</f>
        <v>24</v>
      </c>
    </row>
    <row r="6" spans="1:22" x14ac:dyDescent="0.25">
      <c r="A6" s="248" t="s">
        <v>15</v>
      </c>
      <c r="B6" s="249" t="s">
        <v>9</v>
      </c>
      <c r="C6" s="249" t="s">
        <v>10</v>
      </c>
      <c r="D6" s="250" t="s">
        <v>11</v>
      </c>
      <c r="E6" s="250"/>
      <c r="F6" s="250"/>
    </row>
    <row r="7" spans="1:22" s="17" customFormat="1" x14ac:dyDescent="0.25">
      <c r="A7" s="248"/>
      <c r="B7" s="249"/>
      <c r="C7" s="249"/>
      <c r="D7" s="102" t="s">
        <v>12</v>
      </c>
      <c r="E7" s="102" t="s">
        <v>13</v>
      </c>
      <c r="F7" s="102" t="s">
        <v>14</v>
      </c>
      <c r="G7" s="103"/>
      <c r="H7" s="103"/>
      <c r="I7" s="103"/>
      <c r="J7" s="103"/>
      <c r="K7" s="103"/>
      <c r="L7" s="103"/>
      <c r="M7" s="103"/>
      <c r="N7" s="103"/>
    </row>
    <row r="8" spans="1:22" x14ac:dyDescent="0.25">
      <c r="A8" s="104">
        <v>1</v>
      </c>
      <c r="B8" s="105">
        <f>'Общие данные'!B80</f>
        <v>45691</v>
      </c>
      <c r="C8" s="55">
        <f>'Общие данные'!B76</f>
        <v>35000000</v>
      </c>
      <c r="D8" s="55">
        <f>IF(IF(C8=0,L8,IF(C8&gt;1,I8))="",0,(IF(C8=0,L8,IF(C8&gt;1,I8))))</f>
        <v>1458333.33</v>
      </c>
      <c r="E8" s="55">
        <f>IF(C8=0,N6,IF(C8&gt;1,L8))</f>
        <v>1610959</v>
      </c>
      <c r="F8" s="55">
        <f>IF(C8=0,O6,IF(C8&gt;1,M8))</f>
        <v>3069292.33</v>
      </c>
      <c r="G8" s="118">
        <f>B8-'Общие данные'!B67</f>
        <v>28</v>
      </c>
      <c r="H8" s="98">
        <f>DATE(YEAR(B8),12,31)-DATE(YEAR(B8),1,1)+1</f>
        <v>365</v>
      </c>
      <c r="I8" s="106">
        <f>IF('Общие данные'!B84=0,ROUND(C8/L5,2),"")</f>
        <v>1458333.33</v>
      </c>
      <c r="J8" s="106"/>
      <c r="K8" s="106"/>
      <c r="L8" s="100">
        <f>ROUND(C8*'Общие данные'!$B$85/H8,2)*G8</f>
        <v>1610959</v>
      </c>
      <c r="M8" s="100">
        <f t="shared" ref="M8:M31" si="0">D8+E8</f>
        <v>3069292.33</v>
      </c>
      <c r="N8" s="100"/>
      <c r="O8" s="115" t="str">
        <f>TEXT(B8,"ддд")</f>
        <v>Пн</v>
      </c>
      <c r="P8" s="117">
        <f>IF(O8=$U$8,2,IF(O8=$V$8,1,0))</f>
        <v>0</v>
      </c>
      <c r="Q8" s="117">
        <f>DAY('Общие данные'!$B$79)+P8</f>
        <v>1</v>
      </c>
      <c r="R8" s="112"/>
      <c r="S8" s="113" t="s">
        <v>32</v>
      </c>
      <c r="T8" s="113" t="s">
        <v>33</v>
      </c>
      <c r="U8" s="113" t="s">
        <v>34</v>
      </c>
      <c r="V8" s="114" t="s">
        <v>35</v>
      </c>
    </row>
    <row r="9" spans="1:22" x14ac:dyDescent="0.25">
      <c r="A9" s="104">
        <v>2</v>
      </c>
      <c r="B9" s="105">
        <f>IF(A9&lt;='Общие данные'!$B$82,DATE(YEAR(R9),MONTH(R9),DAY(IF(A9='Общие данные'!$B$82,'Общие данные'!$B$67,IF(A9&lt;'Общие данные'!$B$82,(Q9),IF(A9&gt;'Общие данные'!$B$82,$H$44,0))))))</f>
        <v>45719</v>
      </c>
      <c r="C9" s="55">
        <f t="shared" ref="C9:C30" si="1">C8-D8</f>
        <v>33541666.670000002</v>
      </c>
      <c r="D9" s="55">
        <f t="shared" ref="D9:D30" si="2">IF(C9=0,L9,IF(C9&gt;1,I9))</f>
        <v>1458333.33</v>
      </c>
      <c r="E9" s="55">
        <f t="shared" ref="E9:E30" si="3">IF(C9=0,N8,IF(C9&gt;1,L9))</f>
        <v>1543835.72</v>
      </c>
      <c r="F9" s="55">
        <f t="shared" ref="F9:F30" si="4">IF(C9=0,N8,IF(C9&gt;1,M9))</f>
        <v>3002169.05</v>
      </c>
      <c r="G9" s="98">
        <f>B9-B8</f>
        <v>28</v>
      </c>
      <c r="H9" s="98">
        <f t="shared" ref="H9:H31" si="5">DATE(YEAR(B9),12,31)-DATE(YEAR(B9),1,1)+1</f>
        <v>365</v>
      </c>
      <c r="I9" s="106">
        <f>IF(I8="",ROUND(C8/(L5-1),2),I8)</f>
        <v>1458333.33</v>
      </c>
      <c r="J9" s="106"/>
      <c r="K9" s="106"/>
      <c r="L9" s="100">
        <f>ROUND(C9*'Общие данные'!$B$85/H9,2)*G9</f>
        <v>1543835.72</v>
      </c>
      <c r="M9" s="100">
        <f t="shared" si="0"/>
        <v>3002169.05</v>
      </c>
      <c r="N9" s="100"/>
      <c r="O9" s="115" t="str">
        <f>TEXT(R9,"ддд")</f>
        <v>Сб</v>
      </c>
      <c r="P9" s="117">
        <f t="shared" ref="P9:P31" si="6">IF(O9=$U$8,2,IF(O9=$V$8,1,0))</f>
        <v>2</v>
      </c>
      <c r="Q9" s="117">
        <f>DAY('Общие данные'!$B$79)+P9</f>
        <v>3</v>
      </c>
      <c r="R9" s="112">
        <f>IF(A9&lt;='Общие данные'!$B$82,DATE(YEAR($B$8),MONTH($B$8)+A8,DAY('Общие данные'!$B$79)),0)</f>
        <v>45717</v>
      </c>
      <c r="S9" s="98"/>
      <c r="T9" s="98"/>
      <c r="U9" s="98"/>
      <c r="V9" s="98"/>
    </row>
    <row r="10" spans="1:22" x14ac:dyDescent="0.25">
      <c r="A10" s="104">
        <v>3</v>
      </c>
      <c r="B10" s="105">
        <f>IF(A10&lt;='Общие данные'!$B$82,DATE(YEAR(R10),MONTH(R10),DAY(IF(A10='Общие данные'!$B$82,'Общие данные'!$B$67,IF(A10&lt;'Общие данные'!$B$82,(Q10),IF(A10&gt;'Общие данные'!$B$82,$H$44,0))))))</f>
        <v>45748</v>
      </c>
      <c r="C10" s="55">
        <f t="shared" si="1"/>
        <v>32083333.340000004</v>
      </c>
      <c r="D10" s="55">
        <f t="shared" si="2"/>
        <v>1458333.33</v>
      </c>
      <c r="E10" s="55">
        <f t="shared" si="3"/>
        <v>1529452.1700000002</v>
      </c>
      <c r="F10" s="55">
        <f t="shared" si="4"/>
        <v>2987785.5</v>
      </c>
      <c r="G10" s="98">
        <f t="shared" ref="G10:G31" si="7">B10-B9</f>
        <v>29</v>
      </c>
      <c r="H10" s="98">
        <f t="shared" si="5"/>
        <v>365</v>
      </c>
      <c r="I10" s="106">
        <f>I9</f>
        <v>1458333.33</v>
      </c>
      <c r="J10" s="106"/>
      <c r="K10" s="106"/>
      <c r="L10" s="100">
        <f>ROUND(C10*'Общие данные'!$B$85/H10,2)*G10</f>
        <v>1529452.1700000002</v>
      </c>
      <c r="M10" s="100">
        <f t="shared" si="0"/>
        <v>2987785.5</v>
      </c>
      <c r="N10" s="100"/>
      <c r="O10" s="115" t="str">
        <f t="shared" ref="O10:O31" si="8">TEXT(R10,"ддд")</f>
        <v>Вт</v>
      </c>
      <c r="P10" s="117">
        <f t="shared" si="6"/>
        <v>0</v>
      </c>
      <c r="Q10" s="117">
        <f>DAY('Общие данные'!$B$79)+P10</f>
        <v>1</v>
      </c>
      <c r="R10" s="112">
        <f>IF(A10&lt;='Общие данные'!$B$82,DATE(YEAR($B$8),MONTH($B$8)+A9,DAY('Общие данные'!$B$79)),0)</f>
        <v>45748</v>
      </c>
      <c r="S10" s="98"/>
      <c r="T10" s="98"/>
      <c r="U10" s="98"/>
      <c r="V10" s="98"/>
    </row>
    <row r="11" spans="1:22" x14ac:dyDescent="0.25">
      <c r="A11" s="104">
        <v>4</v>
      </c>
      <c r="B11" s="105">
        <f>IF(A11&lt;='Общие данные'!$B$82,DATE(YEAR(R11),MONTH(R11),DAY(IF(A11='Общие данные'!$B$82,'Общие данные'!$B$67,IF(A11&lt;'Общие данные'!$B$82,(Q11),IF(A11&gt;'Общие данные'!$B$82,$H$44,0))))))</f>
        <v>45778</v>
      </c>
      <c r="C11" s="55">
        <f t="shared" si="1"/>
        <v>30625000.010000005</v>
      </c>
      <c r="D11" s="55">
        <f t="shared" si="2"/>
        <v>1458333.33</v>
      </c>
      <c r="E11" s="55">
        <f t="shared" si="3"/>
        <v>1510274.1</v>
      </c>
      <c r="F11" s="55">
        <f t="shared" si="4"/>
        <v>2968607.43</v>
      </c>
      <c r="G11" s="98">
        <f t="shared" si="7"/>
        <v>30</v>
      </c>
      <c r="H11" s="98">
        <f t="shared" si="5"/>
        <v>365</v>
      </c>
      <c r="I11" s="106">
        <f>I10</f>
        <v>1458333.33</v>
      </c>
      <c r="J11" s="106"/>
      <c r="K11" s="106"/>
      <c r="L11" s="100">
        <f>ROUND(C11*'Общие данные'!$B$85/H11,2)*G11</f>
        <v>1510274.1</v>
      </c>
      <c r="M11" s="100">
        <f t="shared" si="0"/>
        <v>2968607.43</v>
      </c>
      <c r="N11" s="100"/>
      <c r="O11" s="115" t="str">
        <f t="shared" si="8"/>
        <v>Чт</v>
      </c>
      <c r="P11" s="117">
        <f t="shared" si="6"/>
        <v>0</v>
      </c>
      <c r="Q11" s="117">
        <f>DAY('Общие данные'!$B$79)+P11</f>
        <v>1</v>
      </c>
      <c r="R11" s="112">
        <f>IF(A11&lt;='Общие данные'!$B$82,DATE(YEAR($B$8),MONTH($B$8)+A10,DAY('Общие данные'!$B$79)),0)</f>
        <v>45778</v>
      </c>
      <c r="S11" s="98"/>
      <c r="T11" s="98"/>
      <c r="U11" s="98"/>
      <c r="V11" s="98"/>
    </row>
    <row r="12" spans="1:22" x14ac:dyDescent="0.25">
      <c r="A12" s="104">
        <v>5</v>
      </c>
      <c r="B12" s="105">
        <f>IF(A12&lt;='Общие данные'!$B$82,DATE(YEAR(R12),MONTH(R12),DAY(IF(A12='Общие данные'!$B$82,'Общие данные'!$B$67,IF(A12&lt;'Общие данные'!$B$82,(Q12),IF(A12&gt;'Общие данные'!$B$82,$H$44,0))))))</f>
        <v>45810</v>
      </c>
      <c r="C12" s="55">
        <f t="shared" si="1"/>
        <v>29166666.680000007</v>
      </c>
      <c r="D12" s="55">
        <f t="shared" si="2"/>
        <v>1458333.33</v>
      </c>
      <c r="E12" s="55">
        <f t="shared" si="3"/>
        <v>1534246.72</v>
      </c>
      <c r="F12" s="55">
        <f t="shared" si="4"/>
        <v>2992580.05</v>
      </c>
      <c r="G12" s="98">
        <f t="shared" si="7"/>
        <v>32</v>
      </c>
      <c r="H12" s="98">
        <f t="shared" si="5"/>
        <v>365</v>
      </c>
      <c r="I12" s="106">
        <f>I11</f>
        <v>1458333.33</v>
      </c>
      <c r="J12" s="106">
        <f>'Общие данные'!B76</f>
        <v>35000000</v>
      </c>
      <c r="K12" s="106"/>
      <c r="L12" s="100">
        <f>ROUND(C12*'Общие данные'!$B$85/H12,2)*G12</f>
        <v>1534246.72</v>
      </c>
      <c r="M12" s="100">
        <f t="shared" si="0"/>
        <v>2992580.05</v>
      </c>
      <c r="N12" s="100"/>
      <c r="O12" s="115" t="str">
        <f t="shared" si="8"/>
        <v>Вс</v>
      </c>
      <c r="P12" s="117">
        <f t="shared" si="6"/>
        <v>1</v>
      </c>
      <c r="Q12" s="117">
        <f>DAY('Общие данные'!$B$79)+P12</f>
        <v>2</v>
      </c>
      <c r="R12" s="112">
        <f>IF(A12&lt;='Общие данные'!$B$82,DATE(YEAR($B$8),MONTH($B$8)+A11,DAY('Общие данные'!$B$79)),0)</f>
        <v>45809</v>
      </c>
      <c r="S12" s="98"/>
      <c r="T12" s="98"/>
      <c r="U12" s="98"/>
      <c r="V12" s="98"/>
    </row>
    <row r="13" spans="1:22" x14ac:dyDescent="0.25">
      <c r="A13" s="104">
        <v>6</v>
      </c>
      <c r="B13" s="105">
        <f>IF(A13&lt;='Общие данные'!$B$82,DATE(YEAR(R13),MONTH(R13),DAY(IF(A13='Общие данные'!$B$82,'Общие данные'!$B$67,IF(A13&lt;'Общие данные'!$B$82,(Q13),IF(A13&gt;'Общие данные'!$B$82,$H$44,0))))))</f>
        <v>45839</v>
      </c>
      <c r="C13" s="55">
        <f t="shared" si="1"/>
        <v>27708333.350000009</v>
      </c>
      <c r="D13" s="55">
        <f t="shared" si="2"/>
        <v>1458333.33</v>
      </c>
      <c r="E13" s="55">
        <f t="shared" si="3"/>
        <v>1320890.5499999998</v>
      </c>
      <c r="F13" s="55">
        <f t="shared" si="4"/>
        <v>2779223.88</v>
      </c>
      <c r="G13" s="98">
        <f t="shared" si="7"/>
        <v>29</v>
      </c>
      <c r="H13" s="98">
        <f t="shared" si="5"/>
        <v>365</v>
      </c>
      <c r="I13" s="106">
        <f>IF(L5=H1,K13,IF(L5&gt;H1,I12))</f>
        <v>1458333.33</v>
      </c>
      <c r="J13" s="106">
        <f>SUM($I$8:I12)</f>
        <v>7291666.6500000004</v>
      </c>
      <c r="K13" s="106">
        <f>$J$12-J13</f>
        <v>27708333.350000001</v>
      </c>
      <c r="L13" s="100">
        <f>ROUND(C13*'Общие данные'!$B$85/H13,2)*G13</f>
        <v>1320890.5499999998</v>
      </c>
      <c r="M13" s="100">
        <f t="shared" si="0"/>
        <v>2779223.88</v>
      </c>
      <c r="N13" s="100"/>
      <c r="O13" s="115" t="str">
        <f t="shared" si="8"/>
        <v>Вт</v>
      </c>
      <c r="P13" s="117">
        <f t="shared" si="6"/>
        <v>0</v>
      </c>
      <c r="Q13" s="117">
        <f>DAY('Общие данные'!$B$79)+P13</f>
        <v>1</v>
      </c>
      <c r="R13" s="112">
        <f>IF(A13&lt;='Общие данные'!$B$82,DATE(YEAR($B$8),MONTH($B$8)+A12,DAY('Общие данные'!$B$79)),0)</f>
        <v>45839</v>
      </c>
      <c r="S13" s="98"/>
      <c r="T13" s="98"/>
      <c r="U13" s="98"/>
      <c r="V13" s="98"/>
    </row>
    <row r="14" spans="1:22" x14ac:dyDescent="0.25">
      <c r="A14" s="104">
        <v>7</v>
      </c>
      <c r="B14" s="105">
        <f>IF(A14&lt;='Общие данные'!$B$82,DATE(YEAR(R14),MONTH(R14),DAY(IF(A14='Общие данные'!$B$82,'Общие данные'!$B$67,IF(A14&lt;'Общие данные'!$B$82,(Q14),IF(A14&gt;'Общие данные'!$B$82,$H$44,0))))))</f>
        <v>45870</v>
      </c>
      <c r="C14" s="55">
        <f t="shared" si="1"/>
        <v>26250000.020000011</v>
      </c>
      <c r="D14" s="55">
        <f t="shared" si="2"/>
        <v>1458333.33</v>
      </c>
      <c r="E14" s="55">
        <f t="shared" si="3"/>
        <v>1337671.08</v>
      </c>
      <c r="F14" s="55">
        <f t="shared" si="4"/>
        <v>2796004.41</v>
      </c>
      <c r="G14" s="98">
        <f t="shared" si="7"/>
        <v>31</v>
      </c>
      <c r="H14" s="98">
        <f t="shared" si="5"/>
        <v>365</v>
      </c>
      <c r="I14" s="106">
        <f>IF($L$5=A14,K14,IF($L$5&gt;A14,I13))</f>
        <v>1458333.33</v>
      </c>
      <c r="J14" s="106">
        <f>SUM($I$8:I13)</f>
        <v>8749999.9800000004</v>
      </c>
      <c r="K14" s="106">
        <f t="shared" ref="K14:K31" si="9">$J$12-J14</f>
        <v>26250000.02</v>
      </c>
      <c r="L14" s="100">
        <f>ROUND(C14*'Общие данные'!$B$85/H14,2)*G14</f>
        <v>1337671.08</v>
      </c>
      <c r="M14" s="100">
        <f t="shared" si="0"/>
        <v>2796004.41</v>
      </c>
      <c r="N14" s="100"/>
      <c r="O14" s="115" t="str">
        <f t="shared" si="8"/>
        <v>Пт</v>
      </c>
      <c r="P14" s="117">
        <f t="shared" si="6"/>
        <v>0</v>
      </c>
      <c r="Q14" s="117">
        <f>DAY('Общие данные'!$B$79)+P14</f>
        <v>1</v>
      </c>
      <c r="R14" s="112">
        <f>IF(A14&lt;='Общие данные'!$B$82,DATE(YEAR($B$8),MONTH($B$8)+A13,DAY('Общие данные'!$B$79)),0)</f>
        <v>45870</v>
      </c>
      <c r="S14" s="98"/>
      <c r="T14" s="98"/>
      <c r="U14" s="98"/>
      <c r="V14" s="98"/>
    </row>
    <row r="15" spans="1:22" x14ac:dyDescent="0.25">
      <c r="A15" s="104">
        <v>8</v>
      </c>
      <c r="B15" s="105">
        <f>IF(A15&lt;='Общие данные'!$B$82,DATE(YEAR(R15),MONTH(R15),DAY(IF(A15='Общие данные'!$B$82,'Общие данные'!$B$67,IF(A15&lt;'Общие данные'!$B$82,(Q15),IF(A15&gt;'Общие данные'!$B$82,$H$44,0))))))</f>
        <v>45901</v>
      </c>
      <c r="C15" s="55">
        <f t="shared" si="1"/>
        <v>24791666.690000013</v>
      </c>
      <c r="D15" s="55">
        <f t="shared" si="2"/>
        <v>1458333.33</v>
      </c>
      <c r="E15" s="55">
        <f t="shared" si="3"/>
        <v>1263356.02</v>
      </c>
      <c r="F15" s="55">
        <f t="shared" si="4"/>
        <v>2721689.35</v>
      </c>
      <c r="G15" s="98">
        <f t="shared" si="7"/>
        <v>31</v>
      </c>
      <c r="H15" s="98">
        <f t="shared" si="5"/>
        <v>365</v>
      </c>
      <c r="I15" s="106">
        <f t="shared" ref="I15:I31" si="10">IF($L$5=A15,K15,IF($L$5&gt;A15,I14))</f>
        <v>1458333.33</v>
      </c>
      <c r="J15" s="106">
        <f>SUM($I$8:I14)</f>
        <v>10208333.310000001</v>
      </c>
      <c r="K15" s="106">
        <f t="shared" si="9"/>
        <v>24791666.689999998</v>
      </c>
      <c r="L15" s="100">
        <f>ROUND(C15*'Общие данные'!$B$85/H15,2)*G15</f>
        <v>1263356.02</v>
      </c>
      <c r="M15" s="100">
        <f t="shared" si="0"/>
        <v>2721689.35</v>
      </c>
      <c r="N15" s="100"/>
      <c r="O15" s="115" t="str">
        <f t="shared" si="8"/>
        <v>Пн</v>
      </c>
      <c r="P15" s="117">
        <f t="shared" si="6"/>
        <v>0</v>
      </c>
      <c r="Q15" s="117">
        <f>DAY('Общие данные'!$B$79)+P15</f>
        <v>1</v>
      </c>
      <c r="R15" s="112">
        <f>IF(A15&lt;='Общие данные'!$B$82,DATE(YEAR($B$8),MONTH($B$8)+A14,DAY('Общие данные'!$B$79)),0)</f>
        <v>45901</v>
      </c>
      <c r="S15" s="98"/>
      <c r="T15" s="98"/>
      <c r="U15" s="98"/>
      <c r="V15" s="98"/>
    </row>
    <row r="16" spans="1:22" x14ac:dyDescent="0.25">
      <c r="A16" s="104">
        <v>9</v>
      </c>
      <c r="B16" s="105">
        <f>IF(A16&lt;='Общие данные'!$B$82,DATE(YEAR(R16),MONTH(R16),DAY(IF(A16='Общие данные'!$B$82,'Общие данные'!$B$67,IF(A16&lt;'Общие данные'!$B$82,(Q16),IF(A16&gt;'Общие данные'!$B$82,$H$44,0))))))</f>
        <v>45931</v>
      </c>
      <c r="C16" s="55">
        <f t="shared" si="1"/>
        <v>23333333.360000014</v>
      </c>
      <c r="D16" s="55">
        <f t="shared" si="2"/>
        <v>1458333.33</v>
      </c>
      <c r="E16" s="55">
        <f t="shared" si="3"/>
        <v>1150684.8</v>
      </c>
      <c r="F16" s="55">
        <f t="shared" si="4"/>
        <v>2609018.13</v>
      </c>
      <c r="G16" s="98">
        <f t="shared" si="7"/>
        <v>30</v>
      </c>
      <c r="H16" s="98">
        <f t="shared" si="5"/>
        <v>365</v>
      </c>
      <c r="I16" s="106">
        <f t="shared" si="10"/>
        <v>1458333.33</v>
      </c>
      <c r="J16" s="106">
        <f>SUM($I$8:I15)</f>
        <v>11666666.640000001</v>
      </c>
      <c r="K16" s="106">
        <f t="shared" si="9"/>
        <v>23333333.359999999</v>
      </c>
      <c r="L16" s="100">
        <f>ROUND(C16*'Общие данные'!$B$85/H16,2)*G16</f>
        <v>1150684.8</v>
      </c>
      <c r="M16" s="100">
        <f t="shared" si="0"/>
        <v>2609018.13</v>
      </c>
      <c r="N16" s="100"/>
      <c r="O16" s="115" t="str">
        <f t="shared" si="8"/>
        <v>Ср</v>
      </c>
      <c r="P16" s="117">
        <f t="shared" si="6"/>
        <v>0</v>
      </c>
      <c r="Q16" s="117">
        <f>DAY('Общие данные'!$B$79)+P16</f>
        <v>1</v>
      </c>
      <c r="R16" s="112">
        <f>IF(A16&lt;='Общие данные'!$B$82,DATE(YEAR($B$8),MONTH($B$8)+A15,DAY('Общие данные'!$B$79)),0)</f>
        <v>45931</v>
      </c>
      <c r="S16" s="98"/>
      <c r="T16" s="98"/>
      <c r="U16" s="98"/>
      <c r="V16" s="98"/>
    </row>
    <row r="17" spans="1:22" x14ac:dyDescent="0.25">
      <c r="A17" s="104">
        <v>10</v>
      </c>
      <c r="B17" s="105">
        <f>IF(A17&lt;='Общие данные'!$B$82,DATE(YEAR(R17),MONTH(R17),DAY(IF(A17='Общие данные'!$B$82,'Общие данные'!$B$67,IF(A17&lt;'Общие данные'!$B$82,(Q17),IF(A17&gt;'Общие данные'!$B$82,$H$44,0))))))</f>
        <v>45964</v>
      </c>
      <c r="C17" s="55">
        <f t="shared" si="1"/>
        <v>21875000.030000016</v>
      </c>
      <c r="D17" s="55">
        <f t="shared" si="2"/>
        <v>1458333.33</v>
      </c>
      <c r="E17" s="55">
        <f t="shared" si="3"/>
        <v>1186643.7</v>
      </c>
      <c r="F17" s="55">
        <f t="shared" si="4"/>
        <v>2644977.0300000003</v>
      </c>
      <c r="G17" s="98">
        <f t="shared" si="7"/>
        <v>33</v>
      </c>
      <c r="H17" s="98">
        <f t="shared" si="5"/>
        <v>365</v>
      </c>
      <c r="I17" s="106">
        <f t="shared" si="10"/>
        <v>1458333.33</v>
      </c>
      <c r="J17" s="106">
        <f>SUM($I$8:I16)</f>
        <v>13124999.970000001</v>
      </c>
      <c r="K17" s="106">
        <f>$J$12-J17</f>
        <v>21875000.030000001</v>
      </c>
      <c r="L17" s="100">
        <f>ROUND(C17*'Общие данные'!$B$85/H17,2)*G17</f>
        <v>1186643.7</v>
      </c>
      <c r="M17" s="100">
        <f t="shared" si="0"/>
        <v>2644977.0300000003</v>
      </c>
      <c r="N17" s="100"/>
      <c r="O17" s="115" t="str">
        <f t="shared" si="8"/>
        <v>Сб</v>
      </c>
      <c r="P17" s="117">
        <f t="shared" si="6"/>
        <v>2</v>
      </c>
      <c r="Q17" s="117">
        <f>DAY('Общие данные'!$B$79)+P17</f>
        <v>3</v>
      </c>
      <c r="R17" s="112">
        <f>IF(A17&lt;='Общие данные'!$B$82,DATE(YEAR($B$8),MONTH($B$8)+A16,DAY('Общие данные'!$B$79)),0)</f>
        <v>45962</v>
      </c>
      <c r="S17" s="98"/>
      <c r="T17" s="98"/>
      <c r="U17" s="98"/>
      <c r="V17" s="98"/>
    </row>
    <row r="18" spans="1:22" x14ac:dyDescent="0.25">
      <c r="A18" s="104">
        <v>11</v>
      </c>
      <c r="B18" s="105">
        <f>IF(A18&lt;='Общие данные'!$B$82,DATE(YEAR(R18),MONTH(R18),DAY(IF(A18='Общие данные'!$B$82,'Общие данные'!$B$67,IF(A18&lt;'Общие данные'!$B$82,(Q18),IF(A18&gt;'Общие данные'!$B$82,$H$44,0))))))</f>
        <v>45992</v>
      </c>
      <c r="C18" s="55">
        <f t="shared" si="1"/>
        <v>20416666.700000018</v>
      </c>
      <c r="D18" s="55">
        <f t="shared" si="2"/>
        <v>1458333.33</v>
      </c>
      <c r="E18" s="55">
        <f t="shared" si="3"/>
        <v>939725.91999999993</v>
      </c>
      <c r="F18" s="55">
        <f t="shared" si="4"/>
        <v>2398059.25</v>
      </c>
      <c r="G18" s="98">
        <f t="shared" si="7"/>
        <v>28</v>
      </c>
      <c r="H18" s="98">
        <f t="shared" si="5"/>
        <v>365</v>
      </c>
      <c r="I18" s="106">
        <f t="shared" si="10"/>
        <v>1458333.33</v>
      </c>
      <c r="J18" s="106">
        <f>SUM($I$8:I17)</f>
        <v>14583333.300000001</v>
      </c>
      <c r="K18" s="106">
        <f t="shared" si="9"/>
        <v>20416666.699999999</v>
      </c>
      <c r="L18" s="100">
        <f>ROUND(C18*'Общие данные'!$B$85/H18,2)*G18</f>
        <v>939725.91999999993</v>
      </c>
      <c r="M18" s="100">
        <f t="shared" si="0"/>
        <v>2398059.25</v>
      </c>
      <c r="N18" s="100"/>
      <c r="O18" s="115" t="str">
        <f t="shared" si="8"/>
        <v>Пн</v>
      </c>
      <c r="P18" s="117">
        <f t="shared" si="6"/>
        <v>0</v>
      </c>
      <c r="Q18" s="117">
        <f>DAY('Общие данные'!$B$79)+P18</f>
        <v>1</v>
      </c>
      <c r="R18" s="112">
        <f>IF(A18&lt;='Общие данные'!$B$82,DATE(YEAR($B$8),MONTH($B$8)+A17,DAY('Общие данные'!$B$79)),0)</f>
        <v>45992</v>
      </c>
      <c r="S18" s="98"/>
      <c r="T18" s="98"/>
      <c r="U18" s="98"/>
      <c r="V18" s="98"/>
    </row>
    <row r="19" spans="1:22" x14ac:dyDescent="0.25">
      <c r="A19" s="104">
        <v>12</v>
      </c>
      <c r="B19" s="105">
        <f>IF(A19&lt;='Общие данные'!$B$82,DATE(YEAR(R19),MONTH(R19),DAY(IF(A19='Общие данные'!$B$82,'Общие данные'!$B$67,IF(A19&lt;'Общие данные'!$B$82,(Q19),IF(A19&gt;'Общие данные'!$B$82,$H$44,0))))))</f>
        <v>46023</v>
      </c>
      <c r="C19" s="55">
        <f t="shared" si="1"/>
        <v>18958333.37000002</v>
      </c>
      <c r="D19" s="55">
        <f t="shared" si="2"/>
        <v>1458333.33</v>
      </c>
      <c r="E19" s="55">
        <f t="shared" si="3"/>
        <v>966095.78</v>
      </c>
      <c r="F19" s="55">
        <f t="shared" si="4"/>
        <v>2424429.1100000003</v>
      </c>
      <c r="G19" s="98">
        <f t="shared" si="7"/>
        <v>31</v>
      </c>
      <c r="H19" s="98">
        <f t="shared" si="5"/>
        <v>365</v>
      </c>
      <c r="I19" s="106">
        <f t="shared" si="10"/>
        <v>1458333.33</v>
      </c>
      <c r="J19" s="106">
        <f>SUM($I$8:I18)</f>
        <v>16041666.630000001</v>
      </c>
      <c r="K19" s="106">
        <f t="shared" si="9"/>
        <v>18958333.369999997</v>
      </c>
      <c r="L19" s="100">
        <f>ROUND(C19*'Общие данные'!$B$85/H19,2)*G19</f>
        <v>966095.78</v>
      </c>
      <c r="M19" s="100">
        <f t="shared" si="0"/>
        <v>2424429.1100000003</v>
      </c>
      <c r="N19" s="100"/>
      <c r="O19" s="115" t="str">
        <f t="shared" si="8"/>
        <v>Чт</v>
      </c>
      <c r="P19" s="117">
        <f t="shared" si="6"/>
        <v>0</v>
      </c>
      <c r="Q19" s="117">
        <f>DAY('Общие данные'!$B$79)+P19</f>
        <v>1</v>
      </c>
      <c r="R19" s="112">
        <f>IF(A19&lt;='Общие данные'!$B$82,DATE(YEAR($B$8),MONTH($B$8)+A18,DAY('Общие данные'!$B$79)),0)</f>
        <v>46023</v>
      </c>
      <c r="S19" s="98"/>
      <c r="T19" s="98"/>
      <c r="U19" s="98"/>
      <c r="V19" s="98"/>
    </row>
    <row r="20" spans="1:22" x14ac:dyDescent="0.25">
      <c r="A20" s="104">
        <v>13</v>
      </c>
      <c r="B20" s="105">
        <f>IF(A20&lt;='Общие данные'!$B$82,DATE(YEAR(R20),MONTH(R20),DAY(IF(A20='Общие данные'!$B$82,'Общие данные'!$B$67,IF(A20&lt;'Общие данные'!$B$82,(Q20),IF(A20&gt;'Общие данные'!$B$82,$H$44,0))))))</f>
        <v>46055</v>
      </c>
      <c r="C20" s="55">
        <f t="shared" si="1"/>
        <v>17500000.040000021</v>
      </c>
      <c r="D20" s="55">
        <f t="shared" si="2"/>
        <v>1458333.33</v>
      </c>
      <c r="E20" s="55">
        <f t="shared" si="3"/>
        <v>920547.83999999997</v>
      </c>
      <c r="F20" s="55">
        <f t="shared" si="4"/>
        <v>2378881.17</v>
      </c>
      <c r="G20" s="98">
        <f t="shared" si="7"/>
        <v>32</v>
      </c>
      <c r="H20" s="98">
        <f t="shared" si="5"/>
        <v>365</v>
      </c>
      <c r="I20" s="106">
        <f t="shared" si="10"/>
        <v>1458333.33</v>
      </c>
      <c r="J20" s="106">
        <f>SUM($I$8:I19)</f>
        <v>17499999.960000001</v>
      </c>
      <c r="K20" s="106">
        <f>$J$12-J20</f>
        <v>17500000.039999999</v>
      </c>
      <c r="L20" s="100">
        <f>ROUND(C20*'Общие данные'!$B$85/H20,2)*G20</f>
        <v>920547.83999999997</v>
      </c>
      <c r="M20" s="100">
        <f t="shared" si="0"/>
        <v>2378881.17</v>
      </c>
      <c r="N20" s="100"/>
      <c r="O20" s="115" t="str">
        <f t="shared" si="8"/>
        <v>Вс</v>
      </c>
      <c r="P20" s="117">
        <f t="shared" si="6"/>
        <v>1</v>
      </c>
      <c r="Q20" s="117">
        <f>DAY('Общие данные'!$B$79)+P20</f>
        <v>2</v>
      </c>
      <c r="R20" s="112">
        <f>IF(A20&lt;='Общие данные'!$B$82,DATE(YEAR($B$8),MONTH($B$8)+A19,DAY('Общие данные'!$B$79)),0)</f>
        <v>46054</v>
      </c>
      <c r="S20" s="98"/>
      <c r="T20" s="98"/>
      <c r="U20" s="98"/>
      <c r="V20" s="98"/>
    </row>
    <row r="21" spans="1:22" x14ac:dyDescent="0.25">
      <c r="A21" s="104">
        <v>14</v>
      </c>
      <c r="B21" s="105">
        <f>IF(A21&lt;='Общие данные'!$B$82,DATE(YEAR(R21),MONTH(R21),DAY(IF(A21='Общие данные'!$B$82,'Общие данные'!$B$67,IF(A21&lt;'Общие данные'!$B$82,(Q21),IF(A21&gt;'Общие данные'!$B$82,$H$44,0))))))</f>
        <v>46083</v>
      </c>
      <c r="C21" s="55">
        <f t="shared" si="1"/>
        <v>16041666.710000021</v>
      </c>
      <c r="D21" s="55">
        <f t="shared" si="2"/>
        <v>1458333.33</v>
      </c>
      <c r="E21" s="55">
        <f t="shared" si="3"/>
        <v>738356.08000000007</v>
      </c>
      <c r="F21" s="55">
        <f t="shared" si="4"/>
        <v>2196689.41</v>
      </c>
      <c r="G21" s="98">
        <f t="shared" si="7"/>
        <v>28</v>
      </c>
      <c r="H21" s="98">
        <f t="shared" si="5"/>
        <v>365</v>
      </c>
      <c r="I21" s="106">
        <f t="shared" si="10"/>
        <v>1458333.33</v>
      </c>
      <c r="J21" s="106">
        <f>SUM($I$8:I20)</f>
        <v>18958333.289999999</v>
      </c>
      <c r="K21" s="106">
        <f t="shared" si="9"/>
        <v>16041666.710000001</v>
      </c>
      <c r="L21" s="100">
        <f>ROUND(C21*'Общие данные'!$B$85/H21,2)*G21</f>
        <v>738356.08000000007</v>
      </c>
      <c r="M21" s="100">
        <f t="shared" si="0"/>
        <v>2196689.41</v>
      </c>
      <c r="N21" s="100"/>
      <c r="O21" s="115" t="str">
        <f t="shared" si="8"/>
        <v>Вс</v>
      </c>
      <c r="P21" s="117">
        <f t="shared" si="6"/>
        <v>1</v>
      </c>
      <c r="Q21" s="117">
        <f>DAY('Общие данные'!$B$79)+P21</f>
        <v>2</v>
      </c>
      <c r="R21" s="112">
        <f>IF(A21&lt;='Общие данные'!$B$82,DATE(YEAR($B$8),MONTH($B$8)+A20,DAY('Общие данные'!$B$79)),0)</f>
        <v>46082</v>
      </c>
      <c r="S21" s="98"/>
      <c r="T21" s="98"/>
      <c r="U21" s="98"/>
      <c r="V21" s="98"/>
    </row>
    <row r="22" spans="1:22" x14ac:dyDescent="0.25">
      <c r="A22" s="104">
        <v>15</v>
      </c>
      <c r="B22" s="105">
        <f>IF(A22&lt;='Общие данные'!$B$82,DATE(YEAR(R22),MONTH(R22),DAY(IF(A22='Общие данные'!$B$82,'Общие данные'!$B$67,IF(A22&lt;'Общие данные'!$B$82,(Q22),IF(A22&gt;'Общие данные'!$B$82,$H$44,0))))))</f>
        <v>46113</v>
      </c>
      <c r="C22" s="55">
        <f t="shared" si="1"/>
        <v>14583333.380000021</v>
      </c>
      <c r="D22" s="55">
        <f t="shared" si="2"/>
        <v>1458333.33</v>
      </c>
      <c r="E22" s="55">
        <f t="shared" si="3"/>
        <v>719178</v>
      </c>
      <c r="F22" s="55">
        <f t="shared" si="4"/>
        <v>2177511.33</v>
      </c>
      <c r="G22" s="98">
        <f t="shared" si="7"/>
        <v>30</v>
      </c>
      <c r="H22" s="98">
        <f t="shared" si="5"/>
        <v>365</v>
      </c>
      <c r="I22" s="106">
        <f t="shared" si="10"/>
        <v>1458333.33</v>
      </c>
      <c r="J22" s="106">
        <f>SUM($I$8:I21)</f>
        <v>20416666.619999997</v>
      </c>
      <c r="K22" s="106">
        <f t="shared" si="9"/>
        <v>14583333.380000003</v>
      </c>
      <c r="L22" s="100">
        <f>ROUND(C22*'Общие данные'!$B$85/H22,2)*G22</f>
        <v>719178</v>
      </c>
      <c r="M22" s="100">
        <f t="shared" si="0"/>
        <v>2177511.33</v>
      </c>
      <c r="N22" s="100"/>
      <c r="O22" s="115" t="str">
        <f t="shared" si="8"/>
        <v>Ср</v>
      </c>
      <c r="P22" s="117">
        <f t="shared" si="6"/>
        <v>0</v>
      </c>
      <c r="Q22" s="117">
        <f>DAY('Общие данные'!$B$79)+P22</f>
        <v>1</v>
      </c>
      <c r="R22" s="112">
        <f>IF(A22&lt;='Общие данные'!$B$82,DATE(YEAR($B$8),MONTH($B$8)+A21,DAY('Общие данные'!$B$79)),0)</f>
        <v>46113</v>
      </c>
      <c r="S22" s="98"/>
      <c r="T22" s="98"/>
      <c r="U22" s="98"/>
      <c r="V22" s="98"/>
    </row>
    <row r="23" spans="1:22" x14ac:dyDescent="0.25">
      <c r="A23" s="104">
        <v>16</v>
      </c>
      <c r="B23" s="105">
        <f>IF(A23&lt;='Общие данные'!$B$82,DATE(YEAR(R23),MONTH(R23),DAY(IF(A23='Общие данные'!$B$82,'Общие данные'!$B$67,IF(A23&lt;'Общие данные'!$B$82,(Q23),IF(A23&gt;'Общие данные'!$B$82,$H$44,0))))))</f>
        <v>46143</v>
      </c>
      <c r="C23" s="55">
        <f t="shared" si="1"/>
        <v>13125000.050000021</v>
      </c>
      <c r="D23" s="55">
        <f t="shared" si="2"/>
        <v>1458333.33</v>
      </c>
      <c r="E23" s="55">
        <f t="shared" si="3"/>
        <v>647260.19999999995</v>
      </c>
      <c r="F23" s="55">
        <f t="shared" si="4"/>
        <v>2105593.5300000003</v>
      </c>
      <c r="G23" s="98">
        <f t="shared" si="7"/>
        <v>30</v>
      </c>
      <c r="H23" s="98">
        <f t="shared" si="5"/>
        <v>365</v>
      </c>
      <c r="I23" s="106">
        <f t="shared" si="10"/>
        <v>1458333.33</v>
      </c>
      <c r="J23" s="106">
        <f>SUM($I$8:I22)</f>
        <v>21874999.949999996</v>
      </c>
      <c r="K23" s="106">
        <f t="shared" si="9"/>
        <v>13125000.050000004</v>
      </c>
      <c r="L23" s="100">
        <f>ROUND(C23*'Общие данные'!$B$85/H23,2)*G23</f>
        <v>647260.19999999995</v>
      </c>
      <c r="M23" s="100">
        <f t="shared" si="0"/>
        <v>2105593.5300000003</v>
      </c>
      <c r="N23" s="100"/>
      <c r="O23" s="115" t="str">
        <f t="shared" si="8"/>
        <v>Пт</v>
      </c>
      <c r="P23" s="117">
        <f t="shared" si="6"/>
        <v>0</v>
      </c>
      <c r="Q23" s="117">
        <f>DAY('Общие данные'!$B$79)+P23</f>
        <v>1</v>
      </c>
      <c r="R23" s="112">
        <f>IF(A23&lt;='Общие данные'!$B$82,DATE(YEAR($B$8),MONTH($B$8)+A22,DAY('Общие данные'!$B$79)),0)</f>
        <v>46143</v>
      </c>
      <c r="S23" s="98"/>
      <c r="T23" s="98"/>
      <c r="U23" s="98"/>
      <c r="V23" s="98"/>
    </row>
    <row r="24" spans="1:22" x14ac:dyDescent="0.25">
      <c r="A24" s="104">
        <v>17</v>
      </c>
      <c r="B24" s="105">
        <f>IF(A24&lt;='Общие данные'!$B$82,DATE(YEAR(R24),MONTH(R24),DAY(IF(A24='Общие данные'!$B$82,'Общие данные'!$B$67,IF(A24&lt;'Общие данные'!$B$82,(Q24),IF(A24&gt;'Общие данные'!$B$82,$H$44,0))))))</f>
        <v>46174</v>
      </c>
      <c r="C24" s="55">
        <f t="shared" si="1"/>
        <v>11666666.720000021</v>
      </c>
      <c r="D24" s="55">
        <f t="shared" si="2"/>
        <v>1458333.33</v>
      </c>
      <c r="E24" s="55">
        <f t="shared" si="3"/>
        <v>594520.4800000001</v>
      </c>
      <c r="F24" s="55">
        <f t="shared" si="4"/>
        <v>2052853.81</v>
      </c>
      <c r="G24" s="98">
        <f t="shared" si="7"/>
        <v>31</v>
      </c>
      <c r="H24" s="98">
        <f t="shared" si="5"/>
        <v>365</v>
      </c>
      <c r="I24" s="106">
        <f t="shared" si="10"/>
        <v>1458333.33</v>
      </c>
      <c r="J24" s="106">
        <f>SUM($I$8:I23)</f>
        <v>23333333.279999994</v>
      </c>
      <c r="K24" s="106">
        <f t="shared" si="9"/>
        <v>11666666.720000006</v>
      </c>
      <c r="L24" s="100">
        <f>ROUND(C24*'Общие данные'!$B$85/H24,2)*G24</f>
        <v>594520.4800000001</v>
      </c>
      <c r="M24" s="100">
        <f t="shared" si="0"/>
        <v>2052853.81</v>
      </c>
      <c r="N24" s="100"/>
      <c r="O24" s="115" t="str">
        <f t="shared" si="8"/>
        <v>Пн</v>
      </c>
      <c r="P24" s="117">
        <f t="shared" si="6"/>
        <v>0</v>
      </c>
      <c r="Q24" s="117">
        <f>DAY('Общие данные'!$B$79)+P24</f>
        <v>1</v>
      </c>
      <c r="R24" s="112">
        <f>IF(A24&lt;='Общие данные'!$B$82,DATE(YEAR($B$8),MONTH($B$8)+A23,DAY('Общие данные'!$B$79)),0)</f>
        <v>46174</v>
      </c>
      <c r="S24" s="98"/>
      <c r="T24" s="98"/>
      <c r="U24" s="98"/>
      <c r="V24" s="98"/>
    </row>
    <row r="25" spans="1:22" x14ac:dyDescent="0.25">
      <c r="A25" s="104">
        <v>18</v>
      </c>
      <c r="B25" s="105">
        <f>IF(A25&lt;='Общие данные'!$B$82,DATE(YEAR(R25),MONTH(R25),DAY(IF(A25='Общие данные'!$B$82,'Общие данные'!$B$67,IF(A25&lt;'Общие данные'!$B$82,(Q25),IF(A25&gt;'Общие данные'!$B$82,$H$44,0))))))</f>
        <v>46204</v>
      </c>
      <c r="C25" s="55">
        <f t="shared" si="1"/>
        <v>10208333.390000021</v>
      </c>
      <c r="D25" s="55">
        <f t="shared" si="2"/>
        <v>1458333.33</v>
      </c>
      <c r="E25" s="55">
        <f t="shared" si="3"/>
        <v>503424.6</v>
      </c>
      <c r="F25" s="55">
        <f t="shared" si="4"/>
        <v>1961757.9300000002</v>
      </c>
      <c r="G25" s="98">
        <f t="shared" si="7"/>
        <v>30</v>
      </c>
      <c r="H25" s="98">
        <f t="shared" si="5"/>
        <v>365</v>
      </c>
      <c r="I25" s="106">
        <f t="shared" si="10"/>
        <v>1458333.33</v>
      </c>
      <c r="J25" s="106">
        <f>SUM($I$8:I24)</f>
        <v>24791666.609999992</v>
      </c>
      <c r="K25" s="106">
        <f t="shared" si="9"/>
        <v>10208333.390000008</v>
      </c>
      <c r="L25" s="100">
        <f>ROUND(C25*'Общие данные'!$B$85/H25,2)*G25</f>
        <v>503424.6</v>
      </c>
      <c r="M25" s="100">
        <f t="shared" si="0"/>
        <v>1961757.9300000002</v>
      </c>
      <c r="N25" s="100"/>
      <c r="O25" s="115" t="str">
        <f t="shared" si="8"/>
        <v>Ср</v>
      </c>
      <c r="P25" s="117">
        <f t="shared" si="6"/>
        <v>0</v>
      </c>
      <c r="Q25" s="117">
        <f>DAY('Общие данные'!$B$79)+P25</f>
        <v>1</v>
      </c>
      <c r="R25" s="112">
        <f>IF(A25&lt;='Общие данные'!$B$82,DATE(YEAR($B$8),MONTH($B$8)+A24,DAY('Общие данные'!$B$79)),0)</f>
        <v>46204</v>
      </c>
      <c r="S25" s="98"/>
      <c r="T25" s="98"/>
      <c r="U25" s="98"/>
      <c r="V25" s="98"/>
    </row>
    <row r="26" spans="1:22" x14ac:dyDescent="0.25">
      <c r="A26" s="104">
        <v>19</v>
      </c>
      <c r="B26" s="105">
        <f>IF(A26&lt;='Общие данные'!$B$82,DATE(YEAR(R26),MONTH(R26),DAY(IF(A26='Общие данные'!$B$82,'Общие данные'!$B$67,IF(A26&lt;'Общие данные'!$B$82,(Q26),IF(A26&gt;'Общие данные'!$B$82,$H$44,0))))))</f>
        <v>46237</v>
      </c>
      <c r="C26" s="55">
        <f t="shared" si="1"/>
        <v>8750000.060000021</v>
      </c>
      <c r="D26" s="55">
        <f t="shared" si="2"/>
        <v>1458333.33</v>
      </c>
      <c r="E26" s="55">
        <f t="shared" si="3"/>
        <v>474657.48</v>
      </c>
      <c r="F26" s="55">
        <f t="shared" si="4"/>
        <v>1932990.81</v>
      </c>
      <c r="G26" s="98">
        <f t="shared" si="7"/>
        <v>33</v>
      </c>
      <c r="H26" s="98">
        <f t="shared" si="5"/>
        <v>365</v>
      </c>
      <c r="I26" s="106">
        <f t="shared" si="10"/>
        <v>1458333.33</v>
      </c>
      <c r="J26" s="106">
        <f>SUM($I$8:I25)</f>
        <v>26249999.93999999</v>
      </c>
      <c r="K26" s="106">
        <f t="shared" si="9"/>
        <v>8750000.0600000098</v>
      </c>
      <c r="L26" s="100">
        <f>ROUND(C26*'Общие данные'!$B$85/H26,2)*G26</f>
        <v>474657.48</v>
      </c>
      <c r="M26" s="100">
        <f t="shared" si="0"/>
        <v>1932990.81</v>
      </c>
      <c r="N26" s="100"/>
      <c r="O26" s="115" t="str">
        <f t="shared" si="8"/>
        <v>Сб</v>
      </c>
      <c r="P26" s="117">
        <f t="shared" si="6"/>
        <v>2</v>
      </c>
      <c r="Q26" s="117">
        <f>DAY('Общие данные'!$B$79)+P26</f>
        <v>3</v>
      </c>
      <c r="R26" s="112">
        <f>IF(A26&lt;='Общие данные'!$B$82,DATE(YEAR($B$8),MONTH($B$8)+A25,DAY('Общие данные'!$B$79)),0)</f>
        <v>46235</v>
      </c>
      <c r="S26" s="98"/>
      <c r="T26" s="98"/>
      <c r="U26" s="98"/>
      <c r="V26" s="98"/>
    </row>
    <row r="27" spans="1:22" x14ac:dyDescent="0.25">
      <c r="A27" s="104">
        <v>20</v>
      </c>
      <c r="B27" s="105">
        <f>IF(A27&lt;='Общие данные'!$B$82,DATE(YEAR(R27),MONTH(R27),DAY(IF(A27='Общие данные'!$B$82,'Общие данные'!$B$67,IF(A27&lt;'Общие данные'!$B$82,(Q27),IF(A27&gt;'Общие данные'!$B$82,$H$44,0))))))</f>
        <v>46266</v>
      </c>
      <c r="C27" s="55">
        <f t="shared" si="1"/>
        <v>7291666.7300000209</v>
      </c>
      <c r="D27" s="55">
        <f t="shared" si="2"/>
        <v>1458333.33</v>
      </c>
      <c r="E27" s="55">
        <f t="shared" si="3"/>
        <v>347602.69999999995</v>
      </c>
      <c r="F27" s="55">
        <f t="shared" si="4"/>
        <v>1805936.03</v>
      </c>
      <c r="G27" s="98">
        <f t="shared" si="7"/>
        <v>29</v>
      </c>
      <c r="H27" s="98">
        <f t="shared" si="5"/>
        <v>365</v>
      </c>
      <c r="I27" s="106">
        <f t="shared" si="10"/>
        <v>1458333.33</v>
      </c>
      <c r="J27" s="106">
        <f>SUM($I$8:I26)</f>
        <v>27708333.269999988</v>
      </c>
      <c r="K27" s="106">
        <f t="shared" si="9"/>
        <v>7291666.7300000116</v>
      </c>
      <c r="L27" s="100">
        <f>ROUND(C27*'Общие данные'!$B$85/H27,2)*G27</f>
        <v>347602.69999999995</v>
      </c>
      <c r="M27" s="100">
        <f t="shared" si="0"/>
        <v>1805936.03</v>
      </c>
      <c r="N27" s="100"/>
      <c r="O27" s="115" t="str">
        <f t="shared" si="8"/>
        <v>Вт</v>
      </c>
      <c r="P27" s="117">
        <f t="shared" si="6"/>
        <v>0</v>
      </c>
      <c r="Q27" s="117">
        <f>DAY('Общие данные'!$B$79)+P27</f>
        <v>1</v>
      </c>
      <c r="R27" s="112">
        <f>IF(A27&lt;='Общие данные'!$B$82,DATE(YEAR($B$8),MONTH($B$8)+A26,DAY('Общие данные'!$B$79)),0)</f>
        <v>46266</v>
      </c>
      <c r="S27" s="98"/>
      <c r="T27" s="98"/>
      <c r="U27" s="98"/>
      <c r="V27" s="98"/>
    </row>
    <row r="28" spans="1:22" x14ac:dyDescent="0.25">
      <c r="A28" s="104">
        <v>21</v>
      </c>
      <c r="B28" s="105">
        <f>IF(A28&lt;='Общие данные'!$B$82,DATE(YEAR(R28),MONTH(R28),DAY(IF(A28='Общие данные'!$B$82,'Общие данные'!$B$67,IF(A28&lt;'Общие данные'!$B$82,(Q28),IF(A28&gt;'Общие данные'!$B$82,$H$44,0))))))</f>
        <v>46296</v>
      </c>
      <c r="C28" s="55">
        <f t="shared" si="1"/>
        <v>5833333.4000000209</v>
      </c>
      <c r="D28" s="55">
        <f t="shared" si="2"/>
        <v>1458333.33</v>
      </c>
      <c r="E28" s="55">
        <f t="shared" si="3"/>
        <v>287671.2</v>
      </c>
      <c r="F28" s="55">
        <f t="shared" si="4"/>
        <v>1746004.53</v>
      </c>
      <c r="G28" s="98">
        <f t="shared" si="7"/>
        <v>30</v>
      </c>
      <c r="H28" s="98">
        <f t="shared" si="5"/>
        <v>365</v>
      </c>
      <c r="I28" s="106">
        <f t="shared" si="10"/>
        <v>1458333.33</v>
      </c>
      <c r="J28" s="106">
        <f>SUM($I$8:I27)</f>
        <v>29166666.599999987</v>
      </c>
      <c r="K28" s="106">
        <f t="shared" si="9"/>
        <v>5833333.4000000134</v>
      </c>
      <c r="L28" s="100">
        <f>ROUND(C28*'Общие данные'!$B$85/H28,2)*G28</f>
        <v>287671.2</v>
      </c>
      <c r="M28" s="100">
        <f t="shared" si="0"/>
        <v>1746004.53</v>
      </c>
      <c r="N28" s="100"/>
      <c r="O28" s="115" t="str">
        <f t="shared" si="8"/>
        <v>Чт</v>
      </c>
      <c r="P28" s="117">
        <f t="shared" si="6"/>
        <v>0</v>
      </c>
      <c r="Q28" s="117">
        <f>DAY('Общие данные'!$B$79)+P28</f>
        <v>1</v>
      </c>
      <c r="R28" s="112">
        <f>IF(A28&lt;='Общие данные'!$B$82,DATE(YEAR($B$8),MONTH($B$8)+A27,DAY('Общие данные'!$B$79)),0)</f>
        <v>46296</v>
      </c>
      <c r="S28" s="98"/>
      <c r="T28" s="98"/>
      <c r="U28" s="98"/>
      <c r="V28" s="98"/>
    </row>
    <row r="29" spans="1:22" x14ac:dyDescent="0.25">
      <c r="A29" s="104">
        <v>22</v>
      </c>
      <c r="B29" s="105">
        <f>IF(A29&lt;='Общие данные'!$B$82,DATE(YEAR(R29),MONTH(R29),DAY(IF(A29='Общие данные'!$B$82,'Общие данные'!$B$67,IF(A29&lt;'Общие данные'!$B$82,(Q29),IF(A29&gt;'Общие данные'!$B$82,$H$44,0))))))</f>
        <v>46328</v>
      </c>
      <c r="C29" s="55">
        <f t="shared" si="1"/>
        <v>4375000.0700000208</v>
      </c>
      <c r="D29" s="55">
        <f t="shared" si="2"/>
        <v>1458333.33</v>
      </c>
      <c r="E29" s="55">
        <f t="shared" si="3"/>
        <v>230136.95999999999</v>
      </c>
      <c r="F29" s="55">
        <f t="shared" si="4"/>
        <v>1688470.29</v>
      </c>
      <c r="G29" s="98">
        <f t="shared" si="7"/>
        <v>32</v>
      </c>
      <c r="H29" s="98">
        <f t="shared" si="5"/>
        <v>365</v>
      </c>
      <c r="I29" s="106">
        <f t="shared" si="10"/>
        <v>1458333.33</v>
      </c>
      <c r="J29" s="106">
        <f>SUM($I$8:I28)</f>
        <v>30624999.929999985</v>
      </c>
      <c r="K29" s="106">
        <f t="shared" si="9"/>
        <v>4375000.0700000152</v>
      </c>
      <c r="L29" s="100">
        <f>ROUND(C29*'Общие данные'!$B$85/H29,2)*G29</f>
        <v>230136.95999999999</v>
      </c>
      <c r="M29" s="100">
        <f t="shared" si="0"/>
        <v>1688470.29</v>
      </c>
      <c r="N29" s="100"/>
      <c r="O29" s="115" t="str">
        <f t="shared" si="8"/>
        <v>Вс</v>
      </c>
      <c r="P29" s="117">
        <f t="shared" si="6"/>
        <v>1</v>
      </c>
      <c r="Q29" s="117">
        <f>DAY('Общие данные'!$B$79)+P29</f>
        <v>2</v>
      </c>
      <c r="R29" s="112">
        <f>IF(A29&lt;='Общие данные'!$B$82,DATE(YEAR($B$8),MONTH($B$8)+A28,DAY('Общие данные'!$B$79)),0)</f>
        <v>46327</v>
      </c>
      <c r="S29" s="98"/>
      <c r="T29" s="98"/>
      <c r="U29" s="98"/>
      <c r="V29" s="98"/>
    </row>
    <row r="30" spans="1:22" x14ac:dyDescent="0.25">
      <c r="A30" s="104">
        <v>23</v>
      </c>
      <c r="B30" s="105">
        <f>IF(A30&lt;='Общие данные'!$B$82,DATE(YEAR(R30),MONTH(R30),DAY(IF(A30='Общие данные'!$B$82,'Общие данные'!$B$67,IF(A30&lt;'Общие данные'!$B$82,(Q30),IF(A30&gt;'Общие данные'!$B$82,$H$44,0))))))</f>
        <v>46357</v>
      </c>
      <c r="C30" s="55">
        <f t="shared" si="1"/>
        <v>2916666.7400000207</v>
      </c>
      <c r="D30" s="55">
        <f t="shared" si="2"/>
        <v>1458333.33</v>
      </c>
      <c r="E30" s="55">
        <f t="shared" si="3"/>
        <v>139041.08000000002</v>
      </c>
      <c r="F30" s="55">
        <f t="shared" si="4"/>
        <v>1597374.4100000001</v>
      </c>
      <c r="G30" s="98">
        <f t="shared" si="7"/>
        <v>29</v>
      </c>
      <c r="H30" s="98">
        <f t="shared" si="5"/>
        <v>365</v>
      </c>
      <c r="I30" s="106">
        <f t="shared" si="10"/>
        <v>1458333.33</v>
      </c>
      <c r="J30" s="106">
        <f>SUM($I$8:I29)</f>
        <v>32083333.259999983</v>
      </c>
      <c r="K30" s="106">
        <f t="shared" si="9"/>
        <v>2916666.740000017</v>
      </c>
      <c r="L30" s="100">
        <f>ROUND(C30*'Общие данные'!$B$85/H30,2)*G30</f>
        <v>139041.08000000002</v>
      </c>
      <c r="M30" s="100">
        <f t="shared" si="0"/>
        <v>1597374.4100000001</v>
      </c>
      <c r="N30" s="100"/>
      <c r="O30" s="115" t="str">
        <f t="shared" si="8"/>
        <v>Вт</v>
      </c>
      <c r="P30" s="117">
        <f t="shared" si="6"/>
        <v>0</v>
      </c>
      <c r="Q30" s="117">
        <f>DAY('Общие данные'!$B$79)+P30</f>
        <v>1</v>
      </c>
      <c r="R30" s="112">
        <f>IF(A30&lt;='Общие данные'!$B$82,DATE(YEAR($B$8),MONTH($B$8)+A29,DAY('Общие данные'!$B$79)),0)</f>
        <v>46357</v>
      </c>
      <c r="S30" s="98"/>
      <c r="T30" s="98"/>
      <c r="U30" s="98"/>
      <c r="V30" s="98"/>
    </row>
    <row r="31" spans="1:22" x14ac:dyDescent="0.25">
      <c r="A31" s="104">
        <v>24</v>
      </c>
      <c r="B31" s="105">
        <f>IF(A31&lt;='Общие данные'!$B$82,DATE(YEAR(R31),MONTH(R31),DAY(IF(A31='Общие данные'!$B$82,'Общие данные'!$B$67,IF(A31&lt;'Общие данные'!$B$82,(Q31),IF(A31&gt;'Общие данные'!$B$82,$H$44,0))))))</f>
        <v>46393</v>
      </c>
      <c r="C31" s="55">
        <f t="shared" ref="C31" si="11">C30-D30</f>
        <v>1458333.4100000206</v>
      </c>
      <c r="D31" s="55">
        <f t="shared" ref="D31" si="12">IF(C31=0,L31,IF(C31&gt;1,I31))</f>
        <v>1458333.4100000188</v>
      </c>
      <c r="E31" s="55">
        <f t="shared" ref="E31" si="13">IF(C31=0,N30,IF(C31&gt;1,L31))</f>
        <v>86301.360000000015</v>
      </c>
      <c r="F31" s="55">
        <f t="shared" ref="F31" si="14">IF(C31=0,N30,IF(C31&gt;1,M31))</f>
        <v>1544634.7700000189</v>
      </c>
      <c r="G31" s="98">
        <f t="shared" si="7"/>
        <v>36</v>
      </c>
      <c r="H31" s="98">
        <f t="shared" si="5"/>
        <v>365</v>
      </c>
      <c r="I31" s="106">
        <f t="shared" si="10"/>
        <v>1458333.4100000188</v>
      </c>
      <c r="J31" s="106">
        <f>SUM($I$8:I30)</f>
        <v>33541666.589999981</v>
      </c>
      <c r="K31" s="106">
        <f t="shared" si="9"/>
        <v>1458333.4100000188</v>
      </c>
      <c r="L31" s="100">
        <f>ROUND(C31*'Общие данные'!$B$85/H31,2)*G31</f>
        <v>86301.360000000015</v>
      </c>
      <c r="M31" s="100">
        <f t="shared" si="0"/>
        <v>1544634.7700000189</v>
      </c>
      <c r="N31" s="100"/>
      <c r="O31" s="115" t="str">
        <f t="shared" si="8"/>
        <v>Пт</v>
      </c>
      <c r="P31" s="117">
        <f t="shared" si="6"/>
        <v>0</v>
      </c>
      <c r="Q31" s="117">
        <f>DAY('Общие данные'!$B$79)+P31</f>
        <v>1</v>
      </c>
      <c r="R31" s="112">
        <f>IF(A31&lt;='Общие данные'!$B$82,DATE(YEAR($B$8),MONTH($B$8)+A30,DAY('Общие данные'!$B$79)),0)</f>
        <v>46388</v>
      </c>
      <c r="S31" s="98"/>
      <c r="T31" s="98"/>
      <c r="U31" s="98"/>
      <c r="V31" s="98"/>
    </row>
    <row r="32" spans="1:22" x14ac:dyDescent="0.25">
      <c r="A32" s="104">
        <f>1+A31</f>
        <v>25</v>
      </c>
      <c r="B32" s="105" t="b">
        <f>IF(A32&lt;='Общие данные'!$B$82,DATE(YEAR(R32),MONTH(R32),DAY(IF(A32='Общие данные'!$B$82,'Общие данные'!$B$67,IF(A32&lt;'Общие данные'!$B$82,(Q32),IF(A32&gt;'Общие данные'!$B$82,$H$44,0))))))</f>
        <v>0</v>
      </c>
      <c r="C32" s="55">
        <f t="shared" ref="C32:C42" si="15">C31-D31</f>
        <v>1.862645149230957E-9</v>
      </c>
      <c r="D32" s="55" t="b">
        <f t="shared" ref="D32:D42" si="16">IF(C32=0,L32,IF(C32&gt;1,I32))</f>
        <v>0</v>
      </c>
      <c r="E32" s="55" t="b">
        <f t="shared" ref="E32:E42" si="17">IF(C32=0,N31,IF(C32&gt;1,L32))</f>
        <v>0</v>
      </c>
      <c r="F32" s="55" t="b">
        <f t="shared" ref="F32:F42" si="18">IF(C32=0,N31,IF(C32&gt;1,M32))</f>
        <v>0</v>
      </c>
      <c r="G32" s="98">
        <f t="shared" ref="G32:G42" si="19">B32-B31</f>
        <v>-46393</v>
      </c>
      <c r="H32" s="98">
        <f t="shared" ref="H32:H42" si="20">DATE(YEAR(B32),12,31)-DATE(YEAR(B32),1,1)+1</f>
        <v>366</v>
      </c>
      <c r="I32" s="106" t="b">
        <f t="shared" ref="I32:I42" si="21">IF($L$5=A32,K32,IF($L$5&gt;A32,I31))</f>
        <v>0</v>
      </c>
      <c r="J32" s="106">
        <f>SUM($I$8:I31)</f>
        <v>35000000</v>
      </c>
      <c r="K32" s="106">
        <f t="shared" ref="K32:K42" si="22">$J$12-J32</f>
        <v>0</v>
      </c>
      <c r="L32" s="100">
        <f>ROUND(C32*'Общие данные'!$B$85/H32,2)*G32</f>
        <v>0</v>
      </c>
      <c r="M32" s="100">
        <f t="shared" ref="M32:M42" si="23">D32+E32</f>
        <v>0</v>
      </c>
      <c r="N32" s="100"/>
      <c r="O32" s="115" t="str">
        <f t="shared" ref="O32:O42" si="24">TEXT(R32,"ддд")</f>
        <v>Сб</v>
      </c>
      <c r="P32" s="117">
        <f t="shared" ref="P32:P42" si="25">IF(O32=$U$8,2,IF(O32=$V$8,1,0))</f>
        <v>2</v>
      </c>
      <c r="Q32" s="117">
        <f>DAY('Общие данные'!$B$79)+P32</f>
        <v>3</v>
      </c>
      <c r="R32" s="112">
        <f>IF(A32&lt;='Общие данные'!$B$82,DATE(YEAR($B$8),MONTH($B$8)+A31,DAY('Общие данные'!$B$79)),0)</f>
        <v>0</v>
      </c>
      <c r="S32" s="98"/>
      <c r="T32" s="98"/>
      <c r="U32" s="98"/>
      <c r="V32" s="98"/>
    </row>
    <row r="33" spans="1:22" x14ac:dyDescent="0.25">
      <c r="A33" s="104">
        <f t="shared" ref="A33:A42" si="26">1+A32</f>
        <v>26</v>
      </c>
      <c r="B33" s="105" t="b">
        <f>IF(A33&lt;='Общие данные'!$B$82,DATE(YEAR(R33),MONTH(R33),DAY(IF(A33='Общие данные'!$B$82,'Общие данные'!$B$67,IF(A33&lt;'Общие данные'!$B$82,(Q33),IF(A33&gt;'Общие данные'!$B$82,$H$44,0))))))</f>
        <v>0</v>
      </c>
      <c r="C33" s="55">
        <f t="shared" si="15"/>
        <v>1.862645149230957E-9</v>
      </c>
      <c r="D33" s="55" t="b">
        <f t="shared" si="16"/>
        <v>0</v>
      </c>
      <c r="E33" s="55" t="b">
        <f t="shared" si="17"/>
        <v>0</v>
      </c>
      <c r="F33" s="55" t="b">
        <f t="shared" si="18"/>
        <v>0</v>
      </c>
      <c r="G33" s="98">
        <f t="shared" si="19"/>
        <v>0</v>
      </c>
      <c r="H33" s="98">
        <f t="shared" si="20"/>
        <v>366</v>
      </c>
      <c r="I33" s="106" t="b">
        <f t="shared" si="21"/>
        <v>0</v>
      </c>
      <c r="J33" s="106">
        <f>SUM($I$8:I32)</f>
        <v>35000000</v>
      </c>
      <c r="K33" s="106">
        <f t="shared" si="22"/>
        <v>0</v>
      </c>
      <c r="L33" s="100">
        <f>ROUND(C33*'Общие данные'!$B$85/H33,2)*G33</f>
        <v>0</v>
      </c>
      <c r="M33" s="100">
        <f t="shared" si="23"/>
        <v>0</v>
      </c>
      <c r="N33" s="100"/>
      <c r="O33" s="115" t="str">
        <f t="shared" si="24"/>
        <v>Сб</v>
      </c>
      <c r="P33" s="117">
        <f t="shared" si="25"/>
        <v>2</v>
      </c>
      <c r="Q33" s="117">
        <f>DAY('Общие данные'!$B$79)+P33</f>
        <v>3</v>
      </c>
      <c r="R33" s="112">
        <f>IF(A33&lt;='Общие данные'!$B$82,DATE(YEAR($B$8),MONTH($B$8)+A32,DAY('Общие данные'!$B$79)),0)</f>
        <v>0</v>
      </c>
      <c r="S33" s="98"/>
      <c r="T33" s="98"/>
      <c r="U33" s="98"/>
      <c r="V33" s="98"/>
    </row>
    <row r="34" spans="1:22" x14ac:dyDescent="0.25">
      <c r="A34" s="104">
        <f t="shared" si="26"/>
        <v>27</v>
      </c>
      <c r="B34" s="105" t="b">
        <f>IF(A34&lt;='Общие данные'!$B$82,DATE(YEAR(R34),MONTH(R34),DAY(IF(A34='Общие данные'!$B$82,'Общие данные'!$B$67,IF(A34&lt;'Общие данные'!$B$82,(Q34),IF(A34&gt;'Общие данные'!$B$82,$H$44,0))))))</f>
        <v>0</v>
      </c>
      <c r="C34" s="55">
        <f t="shared" si="15"/>
        <v>1.862645149230957E-9</v>
      </c>
      <c r="D34" s="55" t="b">
        <f t="shared" si="16"/>
        <v>0</v>
      </c>
      <c r="E34" s="55" t="b">
        <f t="shared" si="17"/>
        <v>0</v>
      </c>
      <c r="F34" s="55" t="b">
        <f t="shared" si="18"/>
        <v>0</v>
      </c>
      <c r="G34" s="98">
        <f t="shared" si="19"/>
        <v>0</v>
      </c>
      <c r="H34" s="98">
        <f t="shared" si="20"/>
        <v>366</v>
      </c>
      <c r="I34" s="106" t="b">
        <f t="shared" si="21"/>
        <v>0</v>
      </c>
      <c r="J34" s="106">
        <f>SUM($I$8:I33)</f>
        <v>35000000</v>
      </c>
      <c r="K34" s="106">
        <f t="shared" si="22"/>
        <v>0</v>
      </c>
      <c r="L34" s="100">
        <f>ROUND(C34*'Общие данные'!$B$85/H34,2)*G34</f>
        <v>0</v>
      </c>
      <c r="M34" s="100">
        <f t="shared" si="23"/>
        <v>0</v>
      </c>
      <c r="N34" s="100"/>
      <c r="O34" s="115" t="str">
        <f t="shared" si="24"/>
        <v>Сб</v>
      </c>
      <c r="P34" s="117">
        <f t="shared" si="25"/>
        <v>2</v>
      </c>
      <c r="Q34" s="117">
        <f>DAY('Общие данные'!$B$79)+P34</f>
        <v>3</v>
      </c>
      <c r="R34" s="112">
        <f>IF(A34&lt;='Общие данные'!$B$82,DATE(YEAR($B$8),MONTH($B$8)+A33,DAY('Общие данные'!$B$79)),0)</f>
        <v>0</v>
      </c>
      <c r="S34" s="98"/>
      <c r="T34" s="98"/>
      <c r="U34" s="98"/>
      <c r="V34" s="98"/>
    </row>
    <row r="35" spans="1:22" x14ac:dyDescent="0.25">
      <c r="A35" s="104">
        <f t="shared" si="26"/>
        <v>28</v>
      </c>
      <c r="B35" s="105" t="b">
        <f>IF(A35&lt;='Общие данные'!$B$82,DATE(YEAR(R35),MONTH(R35),DAY(IF(A35='Общие данные'!$B$82,'Общие данные'!$B$67,IF(A35&lt;'Общие данные'!$B$82,(Q35),IF(A35&gt;'Общие данные'!$B$82,$H$44,0))))))</f>
        <v>0</v>
      </c>
      <c r="C35" s="55">
        <f t="shared" si="15"/>
        <v>1.862645149230957E-9</v>
      </c>
      <c r="D35" s="55" t="b">
        <f t="shared" si="16"/>
        <v>0</v>
      </c>
      <c r="E35" s="55" t="b">
        <f t="shared" si="17"/>
        <v>0</v>
      </c>
      <c r="F35" s="55" t="b">
        <f t="shared" si="18"/>
        <v>0</v>
      </c>
      <c r="G35" s="98">
        <f t="shared" si="19"/>
        <v>0</v>
      </c>
      <c r="H35" s="98">
        <f t="shared" si="20"/>
        <v>366</v>
      </c>
      <c r="I35" s="106" t="b">
        <f t="shared" si="21"/>
        <v>0</v>
      </c>
      <c r="J35" s="106">
        <f>SUM($I$8:I34)</f>
        <v>35000000</v>
      </c>
      <c r="K35" s="106">
        <f t="shared" si="22"/>
        <v>0</v>
      </c>
      <c r="L35" s="100">
        <f>ROUND(C35*'Общие данные'!$B$85/H35,2)*G35</f>
        <v>0</v>
      </c>
      <c r="M35" s="100">
        <f t="shared" si="23"/>
        <v>0</v>
      </c>
      <c r="N35" s="100"/>
      <c r="O35" s="115" t="str">
        <f t="shared" si="24"/>
        <v>Сб</v>
      </c>
      <c r="P35" s="117">
        <f t="shared" si="25"/>
        <v>2</v>
      </c>
      <c r="Q35" s="117">
        <f>DAY('Общие данные'!$B$79)+P35</f>
        <v>3</v>
      </c>
      <c r="R35" s="112">
        <f>IF(A35&lt;='Общие данные'!$B$82,DATE(YEAR($B$8),MONTH($B$8)+A34,DAY('Общие данные'!$B$79)),0)</f>
        <v>0</v>
      </c>
      <c r="S35" s="98"/>
      <c r="T35" s="98"/>
      <c r="U35" s="98"/>
      <c r="V35" s="98"/>
    </row>
    <row r="36" spans="1:22" x14ac:dyDescent="0.25">
      <c r="A36" s="104">
        <f t="shared" si="26"/>
        <v>29</v>
      </c>
      <c r="B36" s="105" t="b">
        <f>IF(A36&lt;='Общие данные'!$B$82,DATE(YEAR(R36),MONTH(R36),DAY(IF(A36='Общие данные'!$B$82,'Общие данные'!$B$67,IF(A36&lt;'Общие данные'!$B$82,(Q36),IF(A36&gt;'Общие данные'!$B$82,$H$44,0))))))</f>
        <v>0</v>
      </c>
      <c r="C36" s="55">
        <f t="shared" si="15"/>
        <v>1.862645149230957E-9</v>
      </c>
      <c r="D36" s="55" t="b">
        <f t="shared" si="16"/>
        <v>0</v>
      </c>
      <c r="E36" s="55" t="b">
        <f t="shared" si="17"/>
        <v>0</v>
      </c>
      <c r="F36" s="55" t="b">
        <f t="shared" si="18"/>
        <v>0</v>
      </c>
      <c r="G36" s="98">
        <f t="shared" si="19"/>
        <v>0</v>
      </c>
      <c r="H36" s="98">
        <f t="shared" si="20"/>
        <v>366</v>
      </c>
      <c r="I36" s="106" t="b">
        <f t="shared" si="21"/>
        <v>0</v>
      </c>
      <c r="J36" s="106">
        <f>SUM($I$8:I35)</f>
        <v>35000000</v>
      </c>
      <c r="K36" s="106">
        <f t="shared" si="22"/>
        <v>0</v>
      </c>
      <c r="L36" s="100">
        <f>ROUND(C36*'Общие данные'!$B$85/H36,2)*G36</f>
        <v>0</v>
      </c>
      <c r="M36" s="100">
        <f t="shared" si="23"/>
        <v>0</v>
      </c>
      <c r="N36" s="100"/>
      <c r="O36" s="115" t="str">
        <f t="shared" si="24"/>
        <v>Сб</v>
      </c>
      <c r="P36" s="117">
        <f t="shared" si="25"/>
        <v>2</v>
      </c>
      <c r="Q36" s="117">
        <f>DAY('Общие данные'!$B$79)+P36</f>
        <v>3</v>
      </c>
      <c r="R36" s="112">
        <f>IF(A36&lt;='Общие данные'!$B$82,DATE(YEAR($B$8),MONTH($B$8)+A35,DAY('Общие данные'!$B$79)),0)</f>
        <v>0</v>
      </c>
      <c r="S36" s="98"/>
      <c r="T36" s="98"/>
      <c r="U36" s="98"/>
      <c r="V36" s="98"/>
    </row>
    <row r="37" spans="1:22" x14ac:dyDescent="0.25">
      <c r="A37" s="104">
        <f t="shared" si="26"/>
        <v>30</v>
      </c>
      <c r="B37" s="105" t="b">
        <f>IF(A37&lt;='Общие данные'!$B$82,DATE(YEAR(R37),MONTH(R37),DAY(IF(A37='Общие данные'!$B$82,'Общие данные'!$B$67,IF(A37&lt;'Общие данные'!$B$82,(Q37),IF(A37&gt;'Общие данные'!$B$82,$H$44,0))))))</f>
        <v>0</v>
      </c>
      <c r="C37" s="55">
        <f t="shared" si="15"/>
        <v>1.862645149230957E-9</v>
      </c>
      <c r="D37" s="55" t="b">
        <f t="shared" si="16"/>
        <v>0</v>
      </c>
      <c r="E37" s="55" t="b">
        <f t="shared" si="17"/>
        <v>0</v>
      </c>
      <c r="F37" s="55" t="b">
        <f t="shared" si="18"/>
        <v>0</v>
      </c>
      <c r="G37" s="98">
        <f t="shared" si="19"/>
        <v>0</v>
      </c>
      <c r="H37" s="98">
        <f t="shared" si="20"/>
        <v>366</v>
      </c>
      <c r="I37" s="106" t="b">
        <f t="shared" si="21"/>
        <v>0</v>
      </c>
      <c r="J37" s="106">
        <f>SUM($I$8:I36)</f>
        <v>35000000</v>
      </c>
      <c r="K37" s="106">
        <f t="shared" si="22"/>
        <v>0</v>
      </c>
      <c r="L37" s="100">
        <f>ROUND(C37*'Общие данные'!$B$85/H37,2)*G37</f>
        <v>0</v>
      </c>
      <c r="M37" s="100">
        <f t="shared" si="23"/>
        <v>0</v>
      </c>
      <c r="N37" s="100"/>
      <c r="O37" s="115" t="str">
        <f t="shared" si="24"/>
        <v>Сб</v>
      </c>
      <c r="P37" s="117">
        <f t="shared" si="25"/>
        <v>2</v>
      </c>
      <c r="Q37" s="117">
        <f>DAY('Общие данные'!$B$79)+P37</f>
        <v>3</v>
      </c>
      <c r="R37" s="112">
        <f>IF(A37&lt;='Общие данные'!$B$82,DATE(YEAR($B$8),MONTH($B$8)+A36,DAY('Общие данные'!$B$79)),0)</f>
        <v>0</v>
      </c>
      <c r="S37" s="98"/>
      <c r="T37" s="98"/>
      <c r="U37" s="98"/>
      <c r="V37" s="98"/>
    </row>
    <row r="38" spans="1:22" x14ac:dyDescent="0.25">
      <c r="A38" s="104">
        <f t="shared" si="26"/>
        <v>31</v>
      </c>
      <c r="B38" s="105" t="b">
        <f>IF(A38&lt;='Общие данные'!$B$82,DATE(YEAR(R38),MONTH(R38),DAY(IF(A38='Общие данные'!$B$82,'Общие данные'!$B$67,IF(A38&lt;'Общие данные'!$B$82,(Q38),IF(A38&gt;'Общие данные'!$B$82,$H$44,0))))))</f>
        <v>0</v>
      </c>
      <c r="C38" s="55">
        <f t="shared" si="15"/>
        <v>1.862645149230957E-9</v>
      </c>
      <c r="D38" s="55" t="b">
        <f t="shared" si="16"/>
        <v>0</v>
      </c>
      <c r="E38" s="55" t="b">
        <f t="shared" si="17"/>
        <v>0</v>
      </c>
      <c r="F38" s="55" t="b">
        <f t="shared" si="18"/>
        <v>0</v>
      </c>
      <c r="G38" s="98">
        <f t="shared" si="19"/>
        <v>0</v>
      </c>
      <c r="H38" s="98">
        <f t="shared" si="20"/>
        <v>366</v>
      </c>
      <c r="I38" s="106" t="b">
        <f t="shared" si="21"/>
        <v>0</v>
      </c>
      <c r="J38" s="106">
        <f>SUM($I$8:I37)</f>
        <v>35000000</v>
      </c>
      <c r="K38" s="106">
        <f t="shared" si="22"/>
        <v>0</v>
      </c>
      <c r="L38" s="100">
        <f>ROUND(C38*'Общие данные'!$B$85/H38,2)*G38</f>
        <v>0</v>
      </c>
      <c r="M38" s="100">
        <f t="shared" si="23"/>
        <v>0</v>
      </c>
      <c r="N38" s="100"/>
      <c r="O38" s="115" t="str">
        <f t="shared" si="24"/>
        <v>Сб</v>
      </c>
      <c r="P38" s="117">
        <f t="shared" si="25"/>
        <v>2</v>
      </c>
      <c r="Q38" s="117">
        <f>DAY('Общие данные'!$B$79)+P38</f>
        <v>3</v>
      </c>
      <c r="R38" s="112">
        <f>IF(A38&lt;='Общие данные'!$B$82,DATE(YEAR($B$8),MONTH($B$8)+A37,DAY('Общие данные'!$B$79)),0)</f>
        <v>0</v>
      </c>
      <c r="S38" s="98"/>
      <c r="T38" s="98"/>
      <c r="U38" s="98"/>
      <c r="V38" s="98"/>
    </row>
    <row r="39" spans="1:22" x14ac:dyDescent="0.25">
      <c r="A39" s="104">
        <f t="shared" si="26"/>
        <v>32</v>
      </c>
      <c r="B39" s="105" t="b">
        <f>IF(A39&lt;='Общие данные'!$B$82,DATE(YEAR(R39),MONTH(R39),DAY(IF(A39='Общие данные'!$B$82,'Общие данные'!$B$67,IF(A39&lt;'Общие данные'!$B$82,(Q39),IF(A39&gt;'Общие данные'!$B$82,$H$44,0))))))</f>
        <v>0</v>
      </c>
      <c r="C39" s="55">
        <f t="shared" si="15"/>
        <v>1.862645149230957E-9</v>
      </c>
      <c r="D39" s="55" t="b">
        <f t="shared" si="16"/>
        <v>0</v>
      </c>
      <c r="E39" s="55" t="b">
        <f t="shared" si="17"/>
        <v>0</v>
      </c>
      <c r="F39" s="55" t="b">
        <f t="shared" si="18"/>
        <v>0</v>
      </c>
      <c r="G39" s="98">
        <f t="shared" si="19"/>
        <v>0</v>
      </c>
      <c r="H39" s="98">
        <f t="shared" si="20"/>
        <v>366</v>
      </c>
      <c r="I39" s="106" t="b">
        <f t="shared" si="21"/>
        <v>0</v>
      </c>
      <c r="J39" s="106">
        <f>SUM($I$8:I38)</f>
        <v>35000000</v>
      </c>
      <c r="K39" s="106">
        <f t="shared" si="22"/>
        <v>0</v>
      </c>
      <c r="L39" s="100">
        <f>ROUND(C39*'Общие данные'!$B$85/H39,2)*G39</f>
        <v>0</v>
      </c>
      <c r="M39" s="100">
        <f t="shared" si="23"/>
        <v>0</v>
      </c>
      <c r="N39" s="100"/>
      <c r="O39" s="115" t="str">
        <f t="shared" si="24"/>
        <v>Сб</v>
      </c>
      <c r="P39" s="117">
        <f t="shared" si="25"/>
        <v>2</v>
      </c>
      <c r="Q39" s="117">
        <f>DAY('Общие данные'!$B$79)+P39</f>
        <v>3</v>
      </c>
      <c r="R39" s="112">
        <f>IF(A39&lt;='Общие данные'!$B$82,DATE(YEAR($B$8),MONTH($B$8)+A38,DAY('Общие данные'!$B$79)),0)</f>
        <v>0</v>
      </c>
      <c r="S39" s="98"/>
      <c r="T39" s="98"/>
      <c r="U39" s="98"/>
      <c r="V39" s="98"/>
    </row>
    <row r="40" spans="1:22" x14ac:dyDescent="0.25">
      <c r="A40" s="104">
        <f t="shared" si="26"/>
        <v>33</v>
      </c>
      <c r="B40" s="105" t="b">
        <f>IF(A40&lt;='Общие данные'!$B$82,DATE(YEAR(R40),MONTH(R40),DAY(IF(A40='Общие данные'!$B$82,'Общие данные'!$B$67,IF(A40&lt;'Общие данные'!$B$82,(Q40),IF(A40&gt;'Общие данные'!$B$82,$H$44,0))))))</f>
        <v>0</v>
      </c>
      <c r="C40" s="55">
        <f t="shared" si="15"/>
        <v>1.862645149230957E-9</v>
      </c>
      <c r="D40" s="55" t="b">
        <f t="shared" si="16"/>
        <v>0</v>
      </c>
      <c r="E40" s="55" t="b">
        <f t="shared" si="17"/>
        <v>0</v>
      </c>
      <c r="F40" s="55" t="b">
        <f t="shared" si="18"/>
        <v>0</v>
      </c>
      <c r="G40" s="98">
        <f t="shared" si="19"/>
        <v>0</v>
      </c>
      <c r="H40" s="98">
        <f t="shared" si="20"/>
        <v>366</v>
      </c>
      <c r="I40" s="106" t="b">
        <f t="shared" si="21"/>
        <v>0</v>
      </c>
      <c r="J40" s="106">
        <f>SUM($I$8:I39)</f>
        <v>35000000</v>
      </c>
      <c r="K40" s="106">
        <f t="shared" si="22"/>
        <v>0</v>
      </c>
      <c r="L40" s="100">
        <f>ROUND(C40*'Общие данные'!$B$85/H40,2)*G40</f>
        <v>0</v>
      </c>
      <c r="M40" s="100">
        <f t="shared" si="23"/>
        <v>0</v>
      </c>
      <c r="N40" s="100"/>
      <c r="O40" s="115" t="str">
        <f t="shared" si="24"/>
        <v>Сб</v>
      </c>
      <c r="P40" s="117">
        <f t="shared" si="25"/>
        <v>2</v>
      </c>
      <c r="Q40" s="117">
        <f>DAY('Общие данные'!$B$79)+P40</f>
        <v>3</v>
      </c>
      <c r="R40" s="112">
        <f>IF(A40&lt;='Общие данные'!$B$82,DATE(YEAR($B$8),MONTH($B$8)+A39,DAY('Общие данные'!$B$79)),0)</f>
        <v>0</v>
      </c>
      <c r="S40" s="98"/>
      <c r="T40" s="98"/>
      <c r="U40" s="98"/>
      <c r="V40" s="98"/>
    </row>
    <row r="41" spans="1:22" x14ac:dyDescent="0.25">
      <c r="A41" s="104">
        <f t="shared" si="26"/>
        <v>34</v>
      </c>
      <c r="B41" s="105" t="b">
        <f>IF(A41&lt;='Общие данные'!$B$82,DATE(YEAR(R41),MONTH(R41),DAY(IF(A41='Общие данные'!$B$82,'Общие данные'!$B$67,IF(A41&lt;'Общие данные'!$B$82,(Q41),IF(A41&gt;'Общие данные'!$B$82,$H$44,0))))))</f>
        <v>0</v>
      </c>
      <c r="C41" s="55">
        <f t="shared" si="15"/>
        <v>1.862645149230957E-9</v>
      </c>
      <c r="D41" s="55" t="b">
        <f t="shared" si="16"/>
        <v>0</v>
      </c>
      <c r="E41" s="55" t="b">
        <f t="shared" si="17"/>
        <v>0</v>
      </c>
      <c r="F41" s="55" t="b">
        <f t="shared" si="18"/>
        <v>0</v>
      </c>
      <c r="G41" s="98">
        <f t="shared" si="19"/>
        <v>0</v>
      </c>
      <c r="H41" s="98">
        <f t="shared" si="20"/>
        <v>366</v>
      </c>
      <c r="I41" s="106" t="b">
        <f t="shared" si="21"/>
        <v>0</v>
      </c>
      <c r="J41" s="106">
        <f>SUM($I$8:I40)</f>
        <v>35000000</v>
      </c>
      <c r="K41" s="106">
        <f t="shared" si="22"/>
        <v>0</v>
      </c>
      <c r="L41" s="100">
        <f>ROUND(C41*'Общие данные'!$B$85/H41,2)*G41</f>
        <v>0</v>
      </c>
      <c r="M41" s="100">
        <f t="shared" si="23"/>
        <v>0</v>
      </c>
      <c r="N41" s="100"/>
      <c r="O41" s="115" t="str">
        <f t="shared" si="24"/>
        <v>Сб</v>
      </c>
      <c r="P41" s="117">
        <f t="shared" si="25"/>
        <v>2</v>
      </c>
      <c r="Q41" s="117">
        <f>DAY('Общие данные'!$B$79)+P41</f>
        <v>3</v>
      </c>
      <c r="R41" s="112">
        <f>IF(A41&lt;='Общие данные'!$B$82,DATE(YEAR($B$8),MONTH($B$8)+A40,DAY('Общие данные'!$B$79)),0)</f>
        <v>0</v>
      </c>
      <c r="S41" s="98"/>
      <c r="T41" s="98"/>
      <c r="U41" s="98"/>
      <c r="V41" s="98"/>
    </row>
    <row r="42" spans="1:22" x14ac:dyDescent="0.25">
      <c r="A42" s="104">
        <f t="shared" si="26"/>
        <v>35</v>
      </c>
      <c r="B42" s="105" t="b">
        <f>IF(A42&lt;='Общие данные'!$B$82,DATE(YEAR(R42),MONTH(R42),DAY(IF(A42='Общие данные'!$B$82,'Общие данные'!$B$67,IF(A42&lt;'Общие данные'!$B$82,(Q42),IF(A42&gt;'Общие данные'!$B$82,$H$44,0))))))</f>
        <v>0</v>
      </c>
      <c r="C42" s="55">
        <f t="shared" si="15"/>
        <v>1.862645149230957E-9</v>
      </c>
      <c r="D42" s="55" t="b">
        <f t="shared" si="16"/>
        <v>0</v>
      </c>
      <c r="E42" s="55" t="b">
        <f t="shared" si="17"/>
        <v>0</v>
      </c>
      <c r="F42" s="55" t="b">
        <f t="shared" si="18"/>
        <v>0</v>
      </c>
      <c r="G42" s="98">
        <f t="shared" si="19"/>
        <v>0</v>
      </c>
      <c r="H42" s="98">
        <f t="shared" si="20"/>
        <v>366</v>
      </c>
      <c r="I42" s="106" t="b">
        <f t="shared" si="21"/>
        <v>0</v>
      </c>
      <c r="J42" s="106">
        <f>SUM($I$8:I41)</f>
        <v>35000000</v>
      </c>
      <c r="K42" s="106">
        <f t="shared" si="22"/>
        <v>0</v>
      </c>
      <c r="L42" s="100">
        <f>ROUND(C42*'Общие данные'!$B$85/H42,2)*G42</f>
        <v>0</v>
      </c>
      <c r="M42" s="100">
        <f t="shared" si="23"/>
        <v>0</v>
      </c>
      <c r="N42" s="100"/>
      <c r="O42" s="115" t="str">
        <f t="shared" si="24"/>
        <v>Сб</v>
      </c>
      <c r="P42" s="117">
        <f t="shared" si="25"/>
        <v>2</v>
      </c>
      <c r="Q42" s="117">
        <f>DAY('Общие данные'!$B$79)+P42</f>
        <v>3</v>
      </c>
      <c r="R42" s="112">
        <f>IF(A42&lt;='Общие данные'!$B$82,DATE(YEAR($B$8),MONTH($B$8)+A41,DAY('Общие данные'!$B$79)),0)</f>
        <v>0</v>
      </c>
      <c r="S42" s="98"/>
      <c r="T42" s="98"/>
      <c r="U42" s="98"/>
      <c r="V42" s="98"/>
    </row>
    <row r="43" spans="1:22" x14ac:dyDescent="0.25">
      <c r="A43" s="104">
        <f t="shared" ref="A43" si="27">1+A42</f>
        <v>36</v>
      </c>
      <c r="B43" s="105" t="b">
        <f>IF(A43&lt;='Общие данные'!$B$82,DATE(YEAR(R43),MONTH(R43),DAY(IF(A43='Общие данные'!$B$82,'Общие данные'!$B$67,IF(A43&lt;'Общие данные'!$B$82,(Q43),IF(A43&gt;'Общие данные'!$B$82,$H$44,0))))))</f>
        <v>0</v>
      </c>
      <c r="C43" s="55">
        <f t="shared" ref="C43" si="28">C42-D42</f>
        <v>1.862645149230957E-9</v>
      </c>
      <c r="D43" s="55" t="b">
        <f t="shared" ref="D43" si="29">IF(C43=0,L43,IF(C43&gt;1,I43))</f>
        <v>0</v>
      </c>
      <c r="E43" s="55" t="b">
        <f t="shared" ref="E43" si="30">IF(C43=0,N42,IF(C43&gt;1,L43))</f>
        <v>0</v>
      </c>
      <c r="F43" s="55" t="b">
        <f t="shared" ref="F43" si="31">IF(C43=0,N42,IF(C43&gt;1,M43))</f>
        <v>0</v>
      </c>
      <c r="G43" s="98">
        <f t="shared" ref="G43" si="32">B43-B42</f>
        <v>0</v>
      </c>
      <c r="H43" s="98">
        <f t="shared" ref="H43" si="33">DATE(YEAR(B43),12,31)-DATE(YEAR(B43),1,1)+1</f>
        <v>366</v>
      </c>
      <c r="I43" s="106" t="b">
        <f t="shared" ref="I43" si="34">IF($L$5=A43,K43,IF($L$5&gt;A43,I42))</f>
        <v>0</v>
      </c>
      <c r="J43" s="106">
        <f>SUM($I$8:I42)</f>
        <v>35000000</v>
      </c>
      <c r="K43" s="106">
        <f t="shared" ref="K43" si="35">$J$12-J43</f>
        <v>0</v>
      </c>
      <c r="L43" s="100">
        <f>ROUND(C43*'Общие данные'!$B$85/H43,2)*G43</f>
        <v>0</v>
      </c>
      <c r="M43" s="100">
        <f t="shared" ref="M43" si="36">D43+E43</f>
        <v>0</v>
      </c>
      <c r="N43" s="100"/>
      <c r="O43" s="115" t="str">
        <f t="shared" ref="O43" si="37">TEXT(R43,"ддд")</f>
        <v>Сб</v>
      </c>
      <c r="P43" s="117">
        <f t="shared" ref="P43" si="38">IF(O43=$U$8,2,IF(O43=$V$8,1,0))</f>
        <v>2</v>
      </c>
      <c r="Q43" s="117">
        <f>DAY('Общие данные'!$B$79)+P43</f>
        <v>3</v>
      </c>
      <c r="R43" s="112">
        <f>IF(A43&lt;='Общие данные'!$B$82,DATE(YEAR($B$8),MONTH($B$8)+A42,DAY('Общие данные'!$B$79)),0)</f>
        <v>0</v>
      </c>
      <c r="S43" s="98"/>
      <c r="T43" s="98"/>
      <c r="U43" s="98"/>
      <c r="V43" s="98"/>
    </row>
    <row r="44" spans="1:22" x14ac:dyDescent="0.25">
      <c r="A44" s="107"/>
      <c r="B44" s="108" t="s">
        <v>7</v>
      </c>
      <c r="C44" s="109"/>
      <c r="D44" s="109">
        <f>SUM(D8:D43)</f>
        <v>35000000</v>
      </c>
      <c r="E44" s="109">
        <f t="shared" ref="E44:F44" si="39">SUM(E8:E43)</f>
        <v>21582533.539999995</v>
      </c>
      <c r="F44" s="109">
        <f t="shared" si="39"/>
        <v>56582533.540000014</v>
      </c>
    </row>
    <row r="45" spans="1:22" ht="9" customHeight="1" x14ac:dyDescent="0.25">
      <c r="B45" s="110"/>
      <c r="C45" s="111"/>
      <c r="D45" s="111"/>
      <c r="E45" s="111"/>
      <c r="F45" s="111"/>
    </row>
    <row r="46" spans="1:22" ht="47.25" customHeight="1" x14ac:dyDescent="0.25">
      <c r="A46" s="243" t="s">
        <v>18</v>
      </c>
      <c r="B46" s="243"/>
      <c r="C46" s="243"/>
      <c r="D46" s="243"/>
      <c r="E46" s="243"/>
      <c r="F46" s="243"/>
    </row>
    <row r="47" spans="1:22" ht="7.5" customHeight="1" x14ac:dyDescent="0.25"/>
    <row r="48" spans="1:22" x14ac:dyDescent="0.25">
      <c r="A48" s="244" t="e">
        <f>#REF!</f>
        <v>#REF!</v>
      </c>
      <c r="B48" s="244"/>
      <c r="C48" s="244"/>
      <c r="D48" s="244" t="e">
        <f>#REF!</f>
        <v>#REF!</v>
      </c>
      <c r="E48" s="244"/>
      <c r="F48" s="244"/>
    </row>
    <row r="49" spans="1:6" ht="11.25" customHeight="1" x14ac:dyDescent="0.25">
      <c r="A49" s="245"/>
      <c r="B49" s="245"/>
      <c r="C49" s="245"/>
      <c r="D49" s="245"/>
      <c r="E49" s="245"/>
      <c r="F49" s="245"/>
    </row>
    <row r="50" spans="1:6" ht="30" customHeight="1" x14ac:dyDescent="0.25">
      <c r="A50" s="242" t="e">
        <f>#REF!</f>
        <v>#REF!</v>
      </c>
      <c r="B50" s="242"/>
      <c r="C50" s="242"/>
      <c r="D50" s="242" t="e">
        <f>#REF!</f>
        <v>#REF!</v>
      </c>
      <c r="E50" s="242"/>
      <c r="F50" s="242"/>
    </row>
    <row r="51" spans="1:6" ht="32.25" customHeight="1" x14ac:dyDescent="0.25">
      <c r="A51" s="238" t="e">
        <f>#REF!</f>
        <v>#REF!</v>
      </c>
      <c r="B51" s="238"/>
      <c r="C51" s="238"/>
      <c r="D51" s="238" t="e">
        <f>#REF!</f>
        <v>#REF!</v>
      </c>
      <c r="E51" s="238"/>
      <c r="F51" s="238"/>
    </row>
    <row r="52" spans="1:6" x14ac:dyDescent="0.25">
      <c r="A52" s="238" t="e">
        <f>#REF!</f>
        <v>#REF!</v>
      </c>
      <c r="B52" s="238"/>
      <c r="C52" s="238"/>
      <c r="D52" s="238" t="str">
        <f>"паспорт серии "&amp;'Общие данные'!B16&amp;", "&amp;'Общие данные'!B20&amp;""</f>
        <v>паспорт серии KA 1247502, QORAQALPOG'ISTON RESPUBLIKASI TO'RTKO'L TUMANI IIB tomonidan 02.01.2019 yilda berilgan</v>
      </c>
      <c r="E52" s="238"/>
      <c r="F52" s="238"/>
    </row>
    <row r="53" spans="1:6" ht="32.25" customHeight="1" x14ac:dyDescent="0.25">
      <c r="A53" s="238" t="e">
        <f>#REF!</f>
        <v>#REF!</v>
      </c>
      <c r="B53" s="238"/>
      <c r="C53" s="238"/>
      <c r="D53" s="238"/>
      <c r="E53" s="238"/>
      <c r="F53" s="238"/>
    </row>
    <row r="54" spans="1:6" x14ac:dyDescent="0.25">
      <c r="A54" s="238" t="e">
        <f>#REF!</f>
        <v>#REF!</v>
      </c>
      <c r="B54" s="238"/>
      <c r="C54" s="238"/>
      <c r="D54" s="238" t="e">
        <f>#REF!</f>
        <v>#REF!</v>
      </c>
      <c r="E54" s="238"/>
      <c r="F54" s="238"/>
    </row>
    <row r="55" spans="1:6" x14ac:dyDescent="0.25">
      <c r="A55" s="238" t="e">
        <f>#REF!</f>
        <v>#REF!</v>
      </c>
      <c r="B55" s="238"/>
      <c r="C55" s="238"/>
      <c r="D55" s="238" t="e">
        <f>#REF!</f>
        <v>#REF!</v>
      </c>
      <c r="E55" s="238"/>
      <c r="F55" s="238"/>
    </row>
    <row r="56" spans="1:6" x14ac:dyDescent="0.25">
      <c r="A56" s="238" t="e">
        <f>#REF!</f>
        <v>#REF!</v>
      </c>
      <c r="B56" s="238"/>
      <c r="C56" s="238"/>
      <c r="D56" s="238" t="e">
        <f>#REF!</f>
        <v>#REF!</v>
      </c>
      <c r="E56" s="238"/>
      <c r="F56" s="238"/>
    </row>
    <row r="57" spans="1:6" ht="8.25" customHeight="1" x14ac:dyDescent="0.25">
      <c r="A57" s="238"/>
      <c r="B57" s="238"/>
      <c r="C57" s="238"/>
      <c r="D57" s="238"/>
      <c r="E57" s="238"/>
      <c r="F57" s="238"/>
    </row>
    <row r="58" spans="1:6" x14ac:dyDescent="0.25">
      <c r="A58" s="242" t="e">
        <f>#REF!</f>
        <v>#REF!</v>
      </c>
      <c r="B58" s="242"/>
      <c r="C58" s="242"/>
      <c r="D58" s="242" t="e">
        <f>#REF!</f>
        <v>#REF!</v>
      </c>
      <c r="E58" s="242"/>
      <c r="F58" s="242"/>
    </row>
    <row r="59" spans="1:6" ht="7.5" customHeight="1" x14ac:dyDescent="0.25">
      <c r="A59" s="242"/>
      <c r="B59" s="242"/>
      <c r="C59" s="242"/>
      <c r="D59" s="242"/>
      <c r="E59" s="242"/>
      <c r="F59" s="242"/>
    </row>
    <row r="60" spans="1:6" x14ac:dyDescent="0.25">
      <c r="A60" s="242" t="e">
        <f>#REF!</f>
        <v>#REF!</v>
      </c>
      <c r="B60" s="242"/>
      <c r="C60" s="242"/>
      <c r="D60" s="242" t="e">
        <f>#REF!</f>
        <v>#REF!</v>
      </c>
      <c r="E60" s="242"/>
      <c r="F60" s="242"/>
    </row>
    <row r="61" spans="1:6" ht="8.25" customHeight="1" x14ac:dyDescent="0.25">
      <c r="A61" s="238"/>
      <c r="B61" s="238"/>
      <c r="C61" s="238"/>
      <c r="D61" s="238"/>
      <c r="E61" s="238"/>
      <c r="F61" s="238"/>
    </row>
    <row r="62" spans="1:6" ht="30" customHeight="1" x14ac:dyDescent="0.25">
      <c r="A62" s="239"/>
      <c r="B62" s="239"/>
      <c r="C62" s="239"/>
      <c r="D62" s="240" t="e">
        <f>#REF!</f>
        <v>#REF!</v>
      </c>
      <c r="E62" s="240"/>
      <c r="F62" s="240"/>
    </row>
    <row r="63" spans="1:6" x14ac:dyDescent="0.25">
      <c r="A63" s="241"/>
      <c r="B63" s="241"/>
      <c r="C63" s="241"/>
      <c r="D63" s="241"/>
      <c r="E63" s="241"/>
      <c r="F63" s="241"/>
    </row>
    <row r="64" spans="1:6" x14ac:dyDescent="0.25">
      <c r="A64" s="237"/>
      <c r="B64" s="237"/>
      <c r="C64" s="237"/>
      <c r="D64" s="237"/>
      <c r="E64" s="237"/>
      <c r="F64" s="237"/>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x14ac:dyDescent="0.25"/>
  <cols>
    <col min="1" max="1" width="16.7109375" style="124"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30" customFormat="1" ht="36.75" customHeight="1" x14ac:dyDescent="0.25">
      <c r="A1" s="129" t="s">
        <v>15</v>
      </c>
      <c r="B1" s="130" t="s">
        <v>3</v>
      </c>
      <c r="D1" s="129"/>
      <c r="E1" s="129" t="s">
        <v>40</v>
      </c>
      <c r="F1" s="129" t="s">
        <v>41</v>
      </c>
      <c r="G1" s="129"/>
      <c r="H1" s="129"/>
      <c r="I1" s="129"/>
      <c r="J1" s="129"/>
      <c r="K1" s="129"/>
      <c r="L1" s="129" t="s">
        <v>42</v>
      </c>
      <c r="M1" s="129" t="s">
        <v>44</v>
      </c>
      <c r="N1" s="129" t="s">
        <v>43</v>
      </c>
    </row>
    <row r="2" spans="1:23" ht="15" customHeight="1" x14ac:dyDescent="0.25">
      <c r="A2" s="123">
        <v>1</v>
      </c>
      <c r="B2" t="s">
        <v>257</v>
      </c>
      <c r="C2" t="s">
        <v>67</v>
      </c>
      <c r="D2" s="125" t="s">
        <v>257</v>
      </c>
      <c r="E2" s="125" t="s">
        <v>46</v>
      </c>
      <c r="F2" s="126">
        <v>44207</v>
      </c>
      <c r="G2" s="116">
        <f>MONTH(F2)</f>
        <v>1</v>
      </c>
      <c r="H2" s="126" t="str">
        <f>IF(G2=$A$26,$A$28,IF(G2=$B$26,$B$28,IF(G2=$C$26,$C$28,IF(G2=$D$26,$D$28,IF(G2=$E$26,$E$28,IF(G2=$F$26,$F$28,IF(G2=$K$26,$K$28,IF(G2=$L$26,$L$28,IF(G2=$M$26,$M$28,IF(G2=$N$26,$N$28,IF(G2=$O$26,$O$28,IF(G2=$P$26,$P$28,0))))))))))))</f>
        <v>yanvar</v>
      </c>
      <c r="I2" s="116">
        <f>DAY(F2)</f>
        <v>11</v>
      </c>
      <c r="J2" s="128">
        <f>YEAR(F2)</f>
        <v>2021</v>
      </c>
      <c r="K2" s="126" t="str">
        <f>""&amp;I2&amp;" "&amp;H2&amp;" "&amp;J2&amp;" г."</f>
        <v>11 yanvar 2021 г.</v>
      </c>
      <c r="L2" s="125">
        <v>5</v>
      </c>
      <c r="M2" s="127">
        <v>15000000</v>
      </c>
      <c r="N2" s="125"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5"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x14ac:dyDescent="0.25">
      <c r="A3" s="123">
        <v>2</v>
      </c>
      <c r="D3" s="125" t="s">
        <v>257</v>
      </c>
      <c r="E3" s="125" t="s">
        <v>45</v>
      </c>
      <c r="F3" s="126">
        <v>43775</v>
      </c>
      <c r="G3" s="116">
        <f>MONTH(F3)</f>
        <v>11</v>
      </c>
      <c r="H3" s="126" t="str">
        <f>IF(G3=$A$26,$A$28,IF(G3=$B$26,$B$28,IF(G3=$C$26,$C$28,IF(G3=$D$26,$D$28,IF(G3=$E$26,$E$28,IF(G3=$F$26,$F$28,IF(G3=$K$26,$K$28,IF(G3=$L$26,$L$28,IF(G3=$M$26,$M$28,IF(G3=$N$26,$N$28,IF(G3=$O$26,$O$28,IF(G3=$P$26,$P$28,0))))))))))))</f>
        <v>noyabr</v>
      </c>
      <c r="I3" s="116">
        <f>DAY(F3)</f>
        <v>6</v>
      </c>
      <c r="J3" s="128">
        <f>YEAR(F3)</f>
        <v>2019</v>
      </c>
      <c r="K3" s="126" t="str">
        <f>""&amp;I3&amp;" "&amp;H3&amp;" "&amp;J3&amp;" г."</f>
        <v>6 noyabr 2019 г.</v>
      </c>
      <c r="L3" s="125">
        <v>386</v>
      </c>
      <c r="M3" s="127">
        <v>15000000</v>
      </c>
      <c r="N3" s="125"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x14ac:dyDescent="0.25">
      <c r="A4" s="123">
        <v>3</v>
      </c>
      <c r="D4" s="125" t="s">
        <v>257</v>
      </c>
      <c r="E4" s="125" t="s">
        <v>45</v>
      </c>
      <c r="F4" s="126">
        <v>44217</v>
      </c>
      <c r="G4" s="116">
        <f>MONTH(F4)</f>
        <v>1</v>
      </c>
      <c r="H4" s="126" t="str">
        <f>IF(G4=$A$26,$A$28,IF(G4=$B$26,$B$28,IF(G4=$C$26,$C$28,IF(G4=$D$26,$D$28,IF(G4=$E$26,$E$28,IF(G4=$F$26,$F$28,IF(G4=$K$26,$K$28,IF(G4=$L$26,$L$28,IF(G4=$M$26,$M$28,IF(G4=$N$26,$N$28,IF(G4=$O$26,$O$28,IF(G4=$P$26,$P$28,0))))))))))))</f>
        <v>yanvar</v>
      </c>
      <c r="I4" s="116">
        <f>DAY(F4)</f>
        <v>21</v>
      </c>
      <c r="J4" s="128">
        <f>YEAR(F4)</f>
        <v>2021</v>
      </c>
      <c r="K4" s="126" t="str">
        <f>""&amp;I4&amp;" "&amp;H4&amp;" "&amp;J4&amp;" г."</f>
        <v>21 yanvar 2021 г.</v>
      </c>
      <c r="L4" s="125">
        <v>33</v>
      </c>
      <c r="M4" s="127">
        <v>15000000</v>
      </c>
      <c r="N4" s="125"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x14ac:dyDescent="0.25">
      <c r="A5" s="123">
        <v>4</v>
      </c>
      <c r="D5" s="125" t="s">
        <v>257</v>
      </c>
      <c r="E5" s="125"/>
      <c r="F5" s="126"/>
      <c r="G5" s="116">
        <f t="shared" ref="G5:G21" si="2">MONTH(F5)</f>
        <v>1</v>
      </c>
      <c r="H5" s="126" t="str">
        <f t="shared" ref="H5:H21" si="3">IF(G5=$A$26,$A$28,IF(G5=$B$26,$B$28,IF(G5=$C$26,$C$28,IF(G5=$D$26,$D$28,IF(G5=$E$26,$E$28,IF(G5=$F$26,$F$28,IF(G5=$K$26,$K$28,IF(G5=$L$26,$L$28,IF(G5=$M$26,$M$28,IF(G5=$N$26,$N$28,IF(G5=$O$26,$O$28,IF(G5=$P$26,$P$28,0))))))))))))</f>
        <v>yanvar</v>
      </c>
      <c r="I5" s="116">
        <f t="shared" ref="I5:I21" si="4">DAY(F5)</f>
        <v>0</v>
      </c>
      <c r="J5" s="128">
        <f t="shared" ref="J5:J21" si="5">YEAR(F5)</f>
        <v>1900</v>
      </c>
      <c r="K5" s="126" t="str">
        <f t="shared" ref="K5:K21" si="6">""&amp;I5&amp;" "&amp;H5&amp;" "&amp;J5&amp;" г."</f>
        <v>0 yanvar 1900 г.</v>
      </c>
      <c r="L5" s="125"/>
      <c r="M5" s="127"/>
      <c r="N5" s="125"/>
      <c r="P5">
        <f t="shared" si="1"/>
        <v>0</v>
      </c>
    </row>
    <row r="6" spans="1:23" ht="15" customHeight="1" x14ac:dyDescent="0.25">
      <c r="A6" s="123">
        <v>5</v>
      </c>
      <c r="D6" s="125" t="s">
        <v>257</v>
      </c>
      <c r="E6" s="125"/>
      <c r="F6" s="126"/>
      <c r="G6" s="116">
        <f t="shared" si="2"/>
        <v>1</v>
      </c>
      <c r="H6" s="126" t="str">
        <f t="shared" si="3"/>
        <v>yanvar</v>
      </c>
      <c r="I6" s="116">
        <f t="shared" si="4"/>
        <v>0</v>
      </c>
      <c r="J6" s="128">
        <f t="shared" si="5"/>
        <v>1900</v>
      </c>
      <c r="K6" s="126" t="str">
        <f t="shared" si="6"/>
        <v>0 yanvar 1900 г.</v>
      </c>
      <c r="L6" s="125"/>
      <c r="M6" s="127"/>
      <c r="N6" s="125"/>
      <c r="P6">
        <f t="shared" si="1"/>
        <v>0</v>
      </c>
    </row>
    <row r="7" spans="1:23" ht="15" customHeight="1" x14ac:dyDescent="0.25">
      <c r="A7" s="123">
        <v>6</v>
      </c>
      <c r="D7" s="125" t="s">
        <v>257</v>
      </c>
      <c r="E7" s="125"/>
      <c r="F7" s="126"/>
      <c r="G7" s="116">
        <f t="shared" si="2"/>
        <v>1</v>
      </c>
      <c r="H7" s="126" t="str">
        <f t="shared" si="3"/>
        <v>yanvar</v>
      </c>
      <c r="I7" s="116">
        <f t="shared" si="4"/>
        <v>0</v>
      </c>
      <c r="J7" s="128">
        <f t="shared" si="5"/>
        <v>1900</v>
      </c>
      <c r="K7" s="126" t="str">
        <f t="shared" si="6"/>
        <v>0 yanvar 1900 г.</v>
      </c>
      <c r="L7" s="125"/>
      <c r="M7" s="127"/>
      <c r="N7" s="125"/>
      <c r="P7">
        <f t="shared" si="1"/>
        <v>0</v>
      </c>
    </row>
    <row r="8" spans="1:23" ht="15" customHeight="1" x14ac:dyDescent="0.25">
      <c r="A8" s="123">
        <v>7</v>
      </c>
      <c r="D8" s="125" t="s">
        <v>257</v>
      </c>
      <c r="E8" s="125"/>
      <c r="F8" s="126"/>
      <c r="G8" s="116">
        <f t="shared" si="2"/>
        <v>1</v>
      </c>
      <c r="H8" s="126" t="str">
        <f t="shared" si="3"/>
        <v>yanvar</v>
      </c>
      <c r="I8" s="116">
        <f t="shared" si="4"/>
        <v>0</v>
      </c>
      <c r="J8" s="128">
        <f t="shared" si="5"/>
        <v>1900</v>
      </c>
      <c r="K8" s="126" t="str">
        <f t="shared" si="6"/>
        <v>0 yanvar 1900 г.</v>
      </c>
      <c r="L8" s="125"/>
      <c r="M8" s="127"/>
      <c r="N8" s="125"/>
      <c r="P8">
        <f t="shared" si="1"/>
        <v>0</v>
      </c>
    </row>
    <row r="9" spans="1:23" ht="15" customHeight="1" x14ac:dyDescent="0.25">
      <c r="A9" s="123">
        <v>8</v>
      </c>
      <c r="D9" s="125" t="s">
        <v>257</v>
      </c>
      <c r="E9" s="125"/>
      <c r="F9" s="126"/>
      <c r="G9" s="116">
        <f t="shared" si="2"/>
        <v>1</v>
      </c>
      <c r="H9" s="126" t="str">
        <f t="shared" si="3"/>
        <v>yanvar</v>
      </c>
      <c r="I9" s="116">
        <f t="shared" si="4"/>
        <v>0</v>
      </c>
      <c r="J9" s="128">
        <f t="shared" si="5"/>
        <v>1900</v>
      </c>
      <c r="K9" s="126" t="str">
        <f t="shared" si="6"/>
        <v>0 yanvar 1900 г.</v>
      </c>
      <c r="L9" s="125"/>
      <c r="M9" s="127"/>
      <c r="N9" s="125"/>
      <c r="P9">
        <f t="shared" si="1"/>
        <v>0</v>
      </c>
    </row>
    <row r="10" spans="1:23" ht="15" customHeight="1" x14ac:dyDescent="0.25">
      <c r="A10" s="123">
        <v>9</v>
      </c>
      <c r="D10" s="125" t="s">
        <v>257</v>
      </c>
      <c r="E10" s="125"/>
      <c r="F10" s="126"/>
      <c r="G10" s="116">
        <f t="shared" si="2"/>
        <v>1</v>
      </c>
      <c r="H10" s="126" t="str">
        <f t="shared" si="3"/>
        <v>yanvar</v>
      </c>
      <c r="I10" s="116">
        <f t="shared" si="4"/>
        <v>0</v>
      </c>
      <c r="J10" s="128">
        <f t="shared" si="5"/>
        <v>1900</v>
      </c>
      <c r="K10" s="126" t="str">
        <f t="shared" si="6"/>
        <v>0 yanvar 1900 г.</v>
      </c>
      <c r="L10" s="125"/>
      <c r="M10" s="127"/>
      <c r="N10" s="125"/>
      <c r="P10">
        <f t="shared" si="1"/>
        <v>0</v>
      </c>
    </row>
    <row r="11" spans="1:23" ht="15" customHeight="1" x14ac:dyDescent="0.25">
      <c r="A11" s="123">
        <v>10</v>
      </c>
      <c r="D11" s="125" t="s">
        <v>257</v>
      </c>
      <c r="E11" s="125"/>
      <c r="F11" s="126"/>
      <c r="G11" s="116">
        <f t="shared" si="2"/>
        <v>1</v>
      </c>
      <c r="H11" s="126" t="str">
        <f t="shared" si="3"/>
        <v>yanvar</v>
      </c>
      <c r="I11" s="116">
        <f t="shared" si="4"/>
        <v>0</v>
      </c>
      <c r="J11" s="128">
        <f t="shared" si="5"/>
        <v>1900</v>
      </c>
      <c r="K11" s="126" t="str">
        <f t="shared" si="6"/>
        <v>0 yanvar 1900 г.</v>
      </c>
      <c r="L11" s="125"/>
      <c r="M11" s="127"/>
      <c r="N11" s="125"/>
      <c r="P11">
        <f t="shared" si="1"/>
        <v>0</v>
      </c>
    </row>
    <row r="12" spans="1:23" ht="15" customHeight="1" x14ac:dyDescent="0.25">
      <c r="A12" s="123">
        <v>11</v>
      </c>
      <c r="D12" s="125" t="s">
        <v>257</v>
      </c>
      <c r="E12" s="125"/>
      <c r="F12" s="126"/>
      <c r="G12" s="116">
        <f t="shared" si="2"/>
        <v>1</v>
      </c>
      <c r="H12" s="126" t="str">
        <f t="shared" si="3"/>
        <v>yanvar</v>
      </c>
      <c r="I12" s="116">
        <f t="shared" si="4"/>
        <v>0</v>
      </c>
      <c r="J12" s="128">
        <f t="shared" si="5"/>
        <v>1900</v>
      </c>
      <c r="K12" s="126" t="str">
        <f t="shared" si="6"/>
        <v>0 yanvar 1900 г.</v>
      </c>
      <c r="L12" s="125"/>
      <c r="M12" s="127"/>
      <c r="N12" s="125"/>
      <c r="P12">
        <f t="shared" si="1"/>
        <v>0</v>
      </c>
    </row>
    <row r="13" spans="1:23" ht="15" customHeight="1" x14ac:dyDescent="0.25">
      <c r="A13" s="123">
        <v>12</v>
      </c>
      <c r="D13" s="125" t="s">
        <v>257</v>
      </c>
      <c r="E13" s="125"/>
      <c r="F13" s="126"/>
      <c r="G13" s="116">
        <f t="shared" si="2"/>
        <v>1</v>
      </c>
      <c r="H13" s="126" t="str">
        <f t="shared" si="3"/>
        <v>yanvar</v>
      </c>
      <c r="I13" s="116">
        <f t="shared" si="4"/>
        <v>0</v>
      </c>
      <c r="J13" s="128">
        <f t="shared" si="5"/>
        <v>1900</v>
      </c>
      <c r="K13" s="126" t="str">
        <f t="shared" si="6"/>
        <v>0 yanvar 1900 г.</v>
      </c>
      <c r="L13" s="125"/>
      <c r="M13" s="127"/>
      <c r="N13" s="125"/>
      <c r="P13">
        <f t="shared" si="1"/>
        <v>0</v>
      </c>
    </row>
    <row r="14" spans="1:23" ht="15" customHeight="1" x14ac:dyDescent="0.25">
      <c r="A14" s="123">
        <v>13</v>
      </c>
      <c r="D14" s="125" t="s">
        <v>257</v>
      </c>
      <c r="E14" s="125"/>
      <c r="F14" s="126"/>
      <c r="G14" s="116">
        <f t="shared" si="2"/>
        <v>1</v>
      </c>
      <c r="H14" s="126" t="str">
        <f t="shared" si="3"/>
        <v>yanvar</v>
      </c>
      <c r="I14" s="116">
        <f t="shared" si="4"/>
        <v>0</v>
      </c>
      <c r="J14" s="128">
        <f t="shared" si="5"/>
        <v>1900</v>
      </c>
      <c r="K14" s="126" t="str">
        <f t="shared" si="6"/>
        <v>0 yanvar 1900 г.</v>
      </c>
      <c r="L14" s="125"/>
      <c r="M14" s="127"/>
      <c r="N14" s="125"/>
      <c r="P14">
        <f t="shared" si="1"/>
        <v>0</v>
      </c>
    </row>
    <row r="15" spans="1:23" ht="15" customHeight="1" x14ac:dyDescent="0.25">
      <c r="A15" s="123">
        <v>14</v>
      </c>
      <c r="D15" s="125" t="s">
        <v>257</v>
      </c>
      <c r="E15" s="125"/>
      <c r="F15" s="126"/>
      <c r="G15" s="116">
        <f t="shared" si="2"/>
        <v>1</v>
      </c>
      <c r="H15" s="126" t="str">
        <f t="shared" si="3"/>
        <v>yanvar</v>
      </c>
      <c r="I15" s="116">
        <f t="shared" si="4"/>
        <v>0</v>
      </c>
      <c r="J15" s="128">
        <f t="shared" si="5"/>
        <v>1900</v>
      </c>
      <c r="K15" s="126" t="str">
        <f t="shared" si="6"/>
        <v>0 yanvar 1900 г.</v>
      </c>
      <c r="L15" s="125"/>
      <c r="M15" s="127"/>
      <c r="N15" s="125"/>
      <c r="P15">
        <f t="shared" si="1"/>
        <v>0</v>
      </c>
    </row>
    <row r="16" spans="1:23" ht="15" customHeight="1" x14ac:dyDescent="0.25">
      <c r="A16" s="123">
        <v>15</v>
      </c>
      <c r="D16" s="125" t="s">
        <v>257</v>
      </c>
      <c r="E16" s="125"/>
      <c r="F16" s="126"/>
      <c r="G16" s="116">
        <f t="shared" si="2"/>
        <v>1</v>
      </c>
      <c r="H16" s="126" t="str">
        <f t="shared" si="3"/>
        <v>yanvar</v>
      </c>
      <c r="I16" s="116">
        <f t="shared" si="4"/>
        <v>0</v>
      </c>
      <c r="J16" s="128">
        <f t="shared" si="5"/>
        <v>1900</v>
      </c>
      <c r="K16" s="126" t="str">
        <f t="shared" si="6"/>
        <v>0 yanvar 1900 г.</v>
      </c>
      <c r="L16" s="125"/>
      <c r="M16" s="127"/>
      <c r="N16" s="125"/>
      <c r="P16">
        <f t="shared" si="1"/>
        <v>0</v>
      </c>
    </row>
    <row r="17" spans="1:17" ht="15" customHeight="1" x14ac:dyDescent="0.25">
      <c r="A17" s="123">
        <v>16</v>
      </c>
      <c r="D17" s="125" t="s">
        <v>257</v>
      </c>
      <c r="E17" s="125"/>
      <c r="F17" s="126"/>
      <c r="G17" s="116">
        <f t="shared" si="2"/>
        <v>1</v>
      </c>
      <c r="H17" s="126" t="str">
        <f t="shared" si="3"/>
        <v>yanvar</v>
      </c>
      <c r="I17" s="116">
        <f t="shared" si="4"/>
        <v>0</v>
      </c>
      <c r="J17" s="128">
        <f t="shared" si="5"/>
        <v>1900</v>
      </c>
      <c r="K17" s="126" t="str">
        <f t="shared" si="6"/>
        <v>0 yanvar 1900 г.</v>
      </c>
      <c r="L17" s="125"/>
      <c r="M17" s="127"/>
      <c r="N17" s="125"/>
      <c r="P17">
        <f t="shared" si="1"/>
        <v>0</v>
      </c>
    </row>
    <row r="18" spans="1:17" ht="15" customHeight="1" x14ac:dyDescent="0.25">
      <c r="A18" s="123">
        <v>17</v>
      </c>
      <c r="D18" s="125" t="s">
        <v>257</v>
      </c>
      <c r="E18" s="125"/>
      <c r="F18" s="126"/>
      <c r="G18" s="116">
        <f t="shared" si="2"/>
        <v>1</v>
      </c>
      <c r="H18" s="126" t="str">
        <f t="shared" si="3"/>
        <v>yanvar</v>
      </c>
      <c r="I18" s="116">
        <f t="shared" si="4"/>
        <v>0</v>
      </c>
      <c r="J18" s="128">
        <f t="shared" si="5"/>
        <v>1900</v>
      </c>
      <c r="K18" s="126" t="str">
        <f t="shared" si="6"/>
        <v>0 yanvar 1900 г.</v>
      </c>
      <c r="L18" s="125"/>
      <c r="M18" s="127"/>
      <c r="N18" s="125"/>
      <c r="P18">
        <f t="shared" si="1"/>
        <v>0</v>
      </c>
    </row>
    <row r="19" spans="1:17" ht="15" customHeight="1" x14ac:dyDescent="0.25">
      <c r="A19" s="123">
        <v>18</v>
      </c>
      <c r="D19" s="125" t="s">
        <v>257</v>
      </c>
      <c r="E19" s="125"/>
      <c r="F19" s="126"/>
      <c r="G19" s="116">
        <f t="shared" si="2"/>
        <v>1</v>
      </c>
      <c r="H19" s="126" t="str">
        <f t="shared" si="3"/>
        <v>yanvar</v>
      </c>
      <c r="I19" s="116">
        <f t="shared" si="4"/>
        <v>0</v>
      </c>
      <c r="J19" s="128">
        <f t="shared" si="5"/>
        <v>1900</v>
      </c>
      <c r="K19" s="126" t="str">
        <f t="shared" si="6"/>
        <v>0 yanvar 1900 г.</v>
      </c>
      <c r="L19" s="125"/>
      <c r="M19" s="127"/>
      <c r="N19" s="125"/>
      <c r="P19">
        <f t="shared" si="1"/>
        <v>0</v>
      </c>
    </row>
    <row r="20" spans="1:17" ht="15" customHeight="1" x14ac:dyDescent="0.25">
      <c r="A20" s="123">
        <v>19</v>
      </c>
      <c r="D20" s="125" t="s">
        <v>257</v>
      </c>
      <c r="E20" s="125"/>
      <c r="F20" s="126"/>
      <c r="G20" s="116">
        <f t="shared" si="2"/>
        <v>1</v>
      </c>
      <c r="H20" s="126" t="str">
        <f t="shared" si="3"/>
        <v>yanvar</v>
      </c>
      <c r="I20" s="116">
        <f t="shared" si="4"/>
        <v>0</v>
      </c>
      <c r="J20" s="128">
        <f t="shared" si="5"/>
        <v>1900</v>
      </c>
      <c r="K20" s="126" t="str">
        <f t="shared" si="6"/>
        <v>0 yanvar 1900 г.</v>
      </c>
      <c r="L20" s="125"/>
      <c r="M20" s="127"/>
      <c r="N20" s="125"/>
      <c r="P20">
        <f t="shared" si="1"/>
        <v>0</v>
      </c>
    </row>
    <row r="21" spans="1:17" ht="15" customHeight="1" x14ac:dyDescent="0.25">
      <c r="A21" s="123">
        <v>20</v>
      </c>
      <c r="D21" s="125" t="s">
        <v>257</v>
      </c>
      <c r="E21" s="125"/>
      <c r="F21" s="126"/>
      <c r="G21" s="116">
        <f t="shared" si="2"/>
        <v>1</v>
      </c>
      <c r="H21" s="126" t="str">
        <f t="shared" si="3"/>
        <v>yanvar</v>
      </c>
      <c r="I21" s="116">
        <f t="shared" si="4"/>
        <v>0</v>
      </c>
      <c r="J21" s="128">
        <f t="shared" si="5"/>
        <v>1900</v>
      </c>
      <c r="K21" s="126" t="str">
        <f t="shared" si="6"/>
        <v>0 yanvar 1900 г.</v>
      </c>
      <c r="L21" s="125"/>
      <c r="M21" s="127"/>
      <c r="N21" s="125"/>
      <c r="P21">
        <f t="shared" si="1"/>
        <v>0</v>
      </c>
    </row>
    <row r="22" spans="1:17" x14ac:dyDescent="0.25">
      <c r="M22" s="131">
        <f>SUM(M2:M21)+'Общие данные'!B137</f>
        <v>97500000</v>
      </c>
      <c r="Q22" t="s">
        <v>256</v>
      </c>
    </row>
    <row r="23" spans="1:17" x14ac:dyDescent="0.25">
      <c r="A23" s="112"/>
      <c r="B23" s="113"/>
      <c r="C23" s="113"/>
      <c r="D23" s="113"/>
      <c r="E23" s="113"/>
      <c r="F23" s="113"/>
      <c r="G23" s="113"/>
      <c r="H23" s="113"/>
      <c r="I23" s="113"/>
      <c r="J23" s="113"/>
      <c r="K23" s="113"/>
      <c r="L23" s="113"/>
      <c r="M23" s="113"/>
      <c r="N23" s="113"/>
      <c r="O23" s="113"/>
    </row>
    <row r="24" spans="1:17" x14ac:dyDescent="0.25">
      <c r="A24" s="113"/>
      <c r="B24" s="113"/>
      <c r="C24" s="113"/>
      <c r="D24" s="113"/>
      <c r="E24" s="113"/>
      <c r="F24" s="113"/>
      <c r="G24" s="113"/>
      <c r="H24" s="113"/>
      <c r="I24" s="113"/>
      <c r="J24" s="113"/>
      <c r="K24" s="113"/>
      <c r="L24" s="113"/>
      <c r="M24" s="113"/>
      <c r="N24" s="113"/>
      <c r="O24" s="113"/>
    </row>
    <row r="25" spans="1:17" x14ac:dyDescent="0.25">
      <c r="A25" s="113">
        <f>MONTH(F2)</f>
        <v>1</v>
      </c>
      <c r="B25" s="113" t="str">
        <f>IF(A25=A26,A28,IF(A25=B26,B28,IF(A25=C26,C28,IF(A25=D26,D28,IF(A25=E26,E28,IF(A25=F26,F28,IF(A25=K26,K28,IF(A25=L26,L28,IF(A25=M26,M28,IF(A25=N26,N28,IF(A25=O26,O28,IF(A25=#REF!,#REF!,))))))))))))</f>
        <v>yanvar</v>
      </c>
      <c r="C25" s="113">
        <f>DAY(F2)</f>
        <v>11</v>
      </c>
      <c r="D25" s="113">
        <f>YEAR(F2)</f>
        <v>2021</v>
      </c>
      <c r="E25" s="113"/>
      <c r="F25" s="113"/>
      <c r="G25" s="113"/>
      <c r="H25" s="113"/>
      <c r="I25" s="113"/>
      <c r="J25" s="113"/>
      <c r="K25" s="113"/>
      <c r="L25" s="113"/>
      <c r="M25" s="113"/>
      <c r="N25" s="113"/>
      <c r="O25" s="113"/>
    </row>
    <row r="26" spans="1:17" x14ac:dyDescent="0.25">
      <c r="A26" s="113">
        <v>1</v>
      </c>
      <c r="B26" s="113">
        <v>2</v>
      </c>
      <c r="C26" s="113">
        <v>3</v>
      </c>
      <c r="D26" s="113">
        <v>4</v>
      </c>
      <c r="E26" s="113">
        <v>5</v>
      </c>
      <c r="F26" s="113">
        <v>6</v>
      </c>
      <c r="G26" s="113"/>
      <c r="H26" s="113"/>
      <c r="I26" s="113"/>
      <c r="J26" s="113"/>
      <c r="K26" s="113">
        <v>7</v>
      </c>
      <c r="L26" s="113">
        <v>8</v>
      </c>
      <c r="M26" s="113">
        <v>9</v>
      </c>
      <c r="N26" s="113">
        <v>10</v>
      </c>
      <c r="O26" s="113">
        <v>11</v>
      </c>
      <c r="P26" s="113">
        <v>12</v>
      </c>
    </row>
    <row r="27" spans="1:17" x14ac:dyDescent="0.25">
      <c r="A27" s="113"/>
      <c r="B27" s="113"/>
      <c r="C27" s="113"/>
      <c r="D27" s="113"/>
      <c r="E27" s="113"/>
      <c r="F27" s="113"/>
      <c r="G27" s="113"/>
      <c r="H27" s="113"/>
      <c r="I27" s="113"/>
      <c r="J27" s="113"/>
      <c r="K27" s="113"/>
      <c r="L27" s="113"/>
      <c r="M27" s="113"/>
      <c r="N27" s="113"/>
      <c r="O27" s="113"/>
    </row>
    <row r="28" spans="1:17" x14ac:dyDescent="0.25">
      <c r="A28" s="113" t="s">
        <v>119</v>
      </c>
      <c r="B28" s="113" t="s">
        <v>120</v>
      </c>
      <c r="C28" s="113" t="s">
        <v>109</v>
      </c>
      <c r="D28" s="113" t="s">
        <v>110</v>
      </c>
      <c r="E28" s="113" t="s">
        <v>111</v>
      </c>
      <c r="F28" s="113" t="s">
        <v>112</v>
      </c>
      <c r="G28" s="113"/>
      <c r="H28" s="113"/>
      <c r="I28" s="113"/>
      <c r="J28" s="113"/>
      <c r="K28" s="113" t="s">
        <v>24</v>
      </c>
      <c r="L28" s="113" t="s">
        <v>114</v>
      </c>
      <c r="M28" s="113" t="s">
        <v>255</v>
      </c>
      <c r="N28" s="113" t="s">
        <v>254</v>
      </c>
      <c r="O28" s="113" t="s">
        <v>117</v>
      </c>
      <c r="P28" s="113" t="s">
        <v>118</v>
      </c>
    </row>
    <row r="29" spans="1:17" x14ac:dyDescent="0.25">
      <c r="A29" s="113" t="s">
        <v>119</v>
      </c>
      <c r="B29" s="113" t="s">
        <v>120</v>
      </c>
      <c r="C29" s="113" t="s">
        <v>109</v>
      </c>
      <c r="D29" s="113" t="s">
        <v>110</v>
      </c>
      <c r="E29" s="113" t="s">
        <v>111</v>
      </c>
      <c r="F29" s="113" t="s">
        <v>112</v>
      </c>
      <c r="G29" s="113"/>
      <c r="H29" s="113"/>
      <c r="I29" s="113"/>
      <c r="J29" s="113"/>
      <c r="K29" s="113" t="s">
        <v>28</v>
      </c>
      <c r="L29" s="113" t="s">
        <v>114</v>
      </c>
      <c r="M29" s="113" t="s">
        <v>255</v>
      </c>
      <c r="N29" s="113" t="s">
        <v>254</v>
      </c>
      <c r="O29" s="113" t="s">
        <v>117</v>
      </c>
      <c r="P29" s="113" t="s">
        <v>118</v>
      </c>
    </row>
    <row r="30" spans="1:17" x14ac:dyDescent="0.25">
      <c r="A30" s="113"/>
      <c r="B30" s="113"/>
      <c r="C30" s="113"/>
      <c r="D30" s="113"/>
      <c r="E30" s="113"/>
      <c r="F30" s="113"/>
      <c r="G30" s="113"/>
      <c r="H30" s="113"/>
      <c r="I30" s="113"/>
      <c r="J30" s="113"/>
      <c r="K30" s="113"/>
      <c r="L30" s="114"/>
      <c r="M30" s="114"/>
      <c r="N30" s="114"/>
      <c r="O30" s="114"/>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9"/>
  <sheetViews>
    <sheetView topLeftCell="A85" zoomScaleNormal="100" workbookViewId="0">
      <selection activeCell="C64" sqref="C64"/>
    </sheetView>
  </sheetViews>
  <sheetFormatPr defaultColWidth="0" defaultRowHeight="15" zeroHeight="1" x14ac:dyDescent="0.2"/>
  <cols>
    <col min="1" max="1" width="44.42578125" style="209" customWidth="1"/>
    <col min="2" max="2" width="61.85546875" style="211" customWidth="1"/>
    <col min="3" max="3" width="20" style="200" customWidth="1"/>
    <col min="4" max="4" width="29.7109375" style="200" customWidth="1"/>
    <col min="5" max="7" width="9.140625" style="200" hidden="1" customWidth="1"/>
    <col min="8" max="8" width="62.5703125" style="200" hidden="1" customWidth="1"/>
    <col min="9" max="13" width="9.140625" style="200" hidden="1" customWidth="1"/>
    <col min="14" max="14" width="70.7109375" style="200" hidden="1" customWidth="1"/>
    <col min="15" max="16" width="9.140625" style="200" hidden="1" customWidth="1"/>
    <col min="17" max="17" width="59.7109375" style="200" hidden="1" customWidth="1"/>
    <col min="18" max="18" width="49.85546875" style="200" hidden="1" customWidth="1"/>
    <col min="19" max="16384" width="9.140625" style="200" hidden="1"/>
  </cols>
  <sheetData>
    <row r="1" spans="1:4" x14ac:dyDescent="0.2">
      <c r="A1" s="3" t="str">
        <f>CONCATENATE(B65," olish uchun ariza")</f>
        <v>mikroqarz olish uchun ariza</v>
      </c>
      <c r="B1" s="50" t="s">
        <v>436</v>
      </c>
    </row>
    <row r="2" spans="1:4" ht="30" x14ac:dyDescent="0.2">
      <c r="A2" s="3" t="str">
        <f>CONCATENATE(B65," olish uchun ariza sanasi QO’L BILAN KIRITILADI")</f>
        <v>mikroqarz olish uchun ariza sanasi QO’L BILAN KIRITILADI</v>
      </c>
      <c r="B2" s="61" t="s">
        <v>435</v>
      </c>
      <c r="D2" s="200">
        <f>180+B2</f>
        <v>45843</v>
      </c>
    </row>
    <row r="3" spans="1:4" hidden="1" x14ac:dyDescent="0.2">
      <c r="A3" s="3"/>
      <c r="B3" s="1"/>
    </row>
    <row r="4" spans="1:4" x14ac:dyDescent="0.2">
      <c r="A4" s="252" t="s">
        <v>53</v>
      </c>
      <c r="B4" s="252"/>
    </row>
    <row r="5" spans="1:4" ht="30" x14ac:dyDescent="0.2">
      <c r="A5" s="3" t="s">
        <v>54</v>
      </c>
      <c r="B5" s="50" t="s">
        <v>408</v>
      </c>
    </row>
    <row r="6" spans="1:4" ht="28.5" customHeight="1" x14ac:dyDescent="0.2">
      <c r="A6" s="3" t="s">
        <v>55</v>
      </c>
      <c r="B6" s="50" t="s">
        <v>134</v>
      </c>
      <c r="C6" s="200" t="s">
        <v>257</v>
      </c>
      <c r="D6" s="200" t="s">
        <v>134</v>
      </c>
    </row>
    <row r="7" spans="1:4" ht="30" x14ac:dyDescent="0.2">
      <c r="A7" s="3" t="s">
        <v>56</v>
      </c>
      <c r="B7" s="50" t="s">
        <v>409</v>
      </c>
    </row>
    <row r="8" spans="1:4" ht="30" hidden="1" x14ac:dyDescent="0.2">
      <c r="A8" s="3" t="s">
        <v>57</v>
      </c>
      <c r="B8" s="81" t="str">
        <f>B5</f>
        <v>DJUMANIYAZOV SHERIPBAY AYITBAYEVICH</v>
      </c>
    </row>
    <row r="9" spans="1:4" hidden="1" x14ac:dyDescent="0.2">
      <c r="A9" s="3" t="s">
        <v>58</v>
      </c>
      <c r="B9" s="81" t="str">
        <f>B7</f>
        <v>DJUMANIYAZOV SH A</v>
      </c>
    </row>
    <row r="10" spans="1:4" ht="30" hidden="1" x14ac:dyDescent="0.2">
      <c r="A10" s="3" t="s">
        <v>59</v>
      </c>
      <c r="B10" s="81" t="str">
        <f>B8</f>
        <v>DJUMANIYAZOV SHERIPBAY AYITBAYEVICH</v>
      </c>
    </row>
    <row r="11" spans="1:4" hidden="1" x14ac:dyDescent="0.2">
      <c r="A11" s="3" t="s">
        <v>60</v>
      </c>
      <c r="B11" s="81" t="str">
        <f>B9</f>
        <v>DJUMANIYAZOV SH A</v>
      </c>
    </row>
    <row r="12" spans="1:4" ht="30" hidden="1" x14ac:dyDescent="0.2">
      <c r="A12" s="3" t="s">
        <v>61</v>
      </c>
      <c r="B12" s="81" t="str">
        <f>B10</f>
        <v>DJUMANIYAZOV SHERIPBAY AYITBAYEVICH</v>
      </c>
    </row>
    <row r="13" spans="1:4" hidden="1" x14ac:dyDescent="0.2">
      <c r="A13" s="3" t="s">
        <v>62</v>
      </c>
      <c r="B13" s="81" t="str">
        <f>B11</f>
        <v>DJUMANIYAZOV SH A</v>
      </c>
    </row>
    <row r="14" spans="1:4" hidden="1" x14ac:dyDescent="0.2">
      <c r="A14" s="3" t="s">
        <v>63</v>
      </c>
      <c r="B14" s="81" t="s">
        <v>66</v>
      </c>
    </row>
    <row r="15" spans="1:4" x14ac:dyDescent="0.2">
      <c r="A15" s="3" t="s">
        <v>64</v>
      </c>
      <c r="B15" s="216" t="s">
        <v>410</v>
      </c>
    </row>
    <row r="16" spans="1:4" x14ac:dyDescent="0.2">
      <c r="A16" s="3" t="s">
        <v>65</v>
      </c>
      <c r="B16" s="50" t="s">
        <v>411</v>
      </c>
    </row>
    <row r="17" spans="1:7" ht="28.5" x14ac:dyDescent="0.2">
      <c r="A17" s="3"/>
      <c r="B17" s="50" t="s">
        <v>403</v>
      </c>
      <c r="D17" s="200" t="str">
        <f>TEXT(C17,"ДД.ММ.ГГГГ")</f>
        <v>00.01.1900</v>
      </c>
    </row>
    <row r="18" spans="1:7" x14ac:dyDescent="0.2">
      <c r="A18" s="3"/>
      <c r="B18" s="148">
        <v>43467</v>
      </c>
      <c r="C18" s="84" t="str">
        <f>TEXT(B18,"ДД.ММ.ГГГГ")</f>
        <v>02.01.2019</v>
      </c>
    </row>
    <row r="19" spans="1:7" x14ac:dyDescent="0.2">
      <c r="A19" s="3"/>
      <c r="B19" s="148">
        <f>DATE(YEAR(B18)+10,MONTH(B18),DAY(B18)-1)</f>
        <v>47119</v>
      </c>
      <c r="C19" s="84" t="str">
        <f>TEXT(B19,"ДД.ММ.ГГГГ")</f>
        <v>01.01.2029</v>
      </c>
    </row>
    <row r="20" spans="1:7" ht="99.75" x14ac:dyDescent="0.2">
      <c r="A20" s="3" t="s">
        <v>68</v>
      </c>
      <c r="B20" s="64" t="str">
        <f>""&amp;B17&amp;" tomonidan "&amp;C18&amp;" yilda berilgan"</f>
        <v>QORAQALPOG'ISTON RESPUBLIKASI TO'RTKO'L TUMANI IIB tomonidan 02.01.2019 yilda berilgan</v>
      </c>
      <c r="C20" s="85" t="str">
        <f>""&amp;B17&amp;" tomonidan "&amp;C18&amp;" yilda berilgan"</f>
        <v>QORAQALPOG'ISTON RESPUBLIKASI TO'RTKO'L TUMANI IIB tomonidan 02.01.2019 yilda berilgan</v>
      </c>
    </row>
    <row r="21" spans="1:7" ht="45" x14ac:dyDescent="0.2">
      <c r="A21" s="3" t="s">
        <v>69</v>
      </c>
      <c r="B21" s="64" t="str">
        <f>""&amp;C19&amp;" y."</f>
        <v>01.01.2029 y.</v>
      </c>
      <c r="C21" s="84" t="str">
        <f>""&amp;C19&amp;" yilgacha"</f>
        <v>01.01.2029 yilgacha</v>
      </c>
    </row>
    <row r="22" spans="1:7" ht="36.75" customHeight="1" x14ac:dyDescent="0.2">
      <c r="A22" s="3" t="s">
        <v>70</v>
      </c>
      <c r="B22" s="50" t="s">
        <v>412</v>
      </c>
      <c r="C22" s="84" t="str">
        <f>TEXT(B19,"ДД.ММ.ГГГГ")</f>
        <v>01.01.2029</v>
      </c>
    </row>
    <row r="23" spans="1:7" ht="30" x14ac:dyDescent="0.2">
      <c r="A23" s="3" t="s">
        <v>71</v>
      </c>
      <c r="B23" s="50" t="s">
        <v>95</v>
      </c>
      <c r="C23" s="200" t="s">
        <v>95</v>
      </c>
      <c r="D23" s="200" t="s">
        <v>96</v>
      </c>
    </row>
    <row r="24" spans="1:7" ht="30" hidden="1" x14ac:dyDescent="0.2">
      <c r="A24" s="3" t="s">
        <v>72</v>
      </c>
      <c r="B24" s="81" t="s">
        <v>93</v>
      </c>
      <c r="C24" s="200" t="s">
        <v>93</v>
      </c>
      <c r="D24" s="200" t="s">
        <v>94</v>
      </c>
      <c r="E24" s="200" t="s">
        <v>0</v>
      </c>
      <c r="F24" s="200" t="s">
        <v>1</v>
      </c>
      <c r="G24" s="200" t="s">
        <v>3</v>
      </c>
    </row>
    <row r="25" spans="1:7" ht="30" x14ac:dyDescent="0.2">
      <c r="A25" s="3" t="s">
        <v>73</v>
      </c>
      <c r="B25" s="50" t="s">
        <v>413</v>
      </c>
    </row>
    <row r="26" spans="1:7" ht="44.25" customHeight="1" x14ac:dyDescent="0.2">
      <c r="A26" s="3" t="s">
        <v>74</v>
      </c>
      <c r="B26" s="50" t="s">
        <v>428</v>
      </c>
      <c r="C26" s="200" t="s">
        <v>27</v>
      </c>
    </row>
    <row r="27" spans="1:7" ht="44.25" hidden="1" customHeight="1" x14ac:dyDescent="0.2">
      <c r="A27" s="3"/>
      <c r="B27" s="50" t="str">
        <f>IF(B23="mos keladi",B22,B28)</f>
        <v xml:space="preserve">QORAQALPOG'ISTON RESPUBLIKASI TO'RTKO'L TUMANI ULLUBOG' OFY </v>
      </c>
    </row>
    <row r="28" spans="1:7" ht="45" x14ac:dyDescent="0.2">
      <c r="A28" s="3" t="s">
        <v>75</v>
      </c>
      <c r="B28" s="50" t="s">
        <v>412</v>
      </c>
    </row>
    <row r="29" spans="1:7" x14ac:dyDescent="0.2">
      <c r="A29" s="3" t="s">
        <v>76</v>
      </c>
      <c r="B29" s="50" t="s">
        <v>93</v>
      </c>
      <c r="C29" s="200" t="s">
        <v>93</v>
      </c>
      <c r="D29" s="200" t="s">
        <v>94</v>
      </c>
      <c r="E29" s="200" t="s">
        <v>330</v>
      </c>
      <c r="F29" s="200" t="s">
        <v>331</v>
      </c>
      <c r="G29" s="200" t="s">
        <v>3</v>
      </c>
    </row>
    <row r="30" spans="1:7" ht="27" x14ac:dyDescent="0.2">
      <c r="A30" s="3" t="s">
        <v>77</v>
      </c>
      <c r="B30" s="189" t="s">
        <v>149</v>
      </c>
      <c r="C30" s="200" t="s">
        <v>149</v>
      </c>
      <c r="D30" s="200" t="s">
        <v>334</v>
      </c>
    </row>
    <row r="31" spans="1:7" x14ac:dyDescent="0.2">
      <c r="A31" s="3" t="s">
        <v>78</v>
      </c>
      <c r="B31" s="50" t="s">
        <v>404</v>
      </c>
    </row>
    <row r="32" spans="1:7" x14ac:dyDescent="0.2">
      <c r="A32" s="3" t="s">
        <v>63</v>
      </c>
      <c r="B32" s="50" t="s">
        <v>66</v>
      </c>
    </row>
    <row r="33" spans="1:4" ht="30" x14ac:dyDescent="0.2">
      <c r="A33" s="3" t="s">
        <v>73</v>
      </c>
      <c r="B33" s="50" t="s">
        <v>413</v>
      </c>
    </row>
    <row r="34" spans="1:4" hidden="1" x14ac:dyDescent="0.2">
      <c r="A34" s="3"/>
      <c r="B34" s="50" t="str">
        <f>IF(B23="mos keladi",B26,B35)</f>
        <v>62-SONLI YORDAMCHI MAKTABNI YONI</v>
      </c>
    </row>
    <row r="35" spans="1:4" x14ac:dyDescent="0.2">
      <c r="A35" s="3" t="s">
        <v>74</v>
      </c>
      <c r="B35" s="50"/>
    </row>
    <row r="36" spans="1:4" x14ac:dyDescent="0.2">
      <c r="A36" s="3" t="s">
        <v>79</v>
      </c>
      <c r="B36" s="50"/>
    </row>
    <row r="37" spans="1:4" x14ac:dyDescent="0.2">
      <c r="A37" s="3" t="s">
        <v>80</v>
      </c>
      <c r="B37" s="50"/>
    </row>
    <row r="38" spans="1:4" x14ac:dyDescent="0.2">
      <c r="A38" s="3" t="s">
        <v>81</v>
      </c>
      <c r="B38" s="50"/>
    </row>
    <row r="39" spans="1:4" x14ac:dyDescent="0.2">
      <c r="A39" s="3" t="s">
        <v>82</v>
      </c>
      <c r="B39" s="50"/>
    </row>
    <row r="40" spans="1:4" ht="24.75" customHeight="1" x14ac:dyDescent="0.2">
      <c r="A40" s="3" t="s">
        <v>83</v>
      </c>
      <c r="B40" s="50" t="s">
        <v>413</v>
      </c>
    </row>
    <row r="41" spans="1:4" ht="24.75" customHeight="1" x14ac:dyDescent="0.2">
      <c r="A41" s="3" t="s">
        <v>84</v>
      </c>
      <c r="B41" s="50" t="s">
        <v>415</v>
      </c>
    </row>
    <row r="42" spans="1:4" ht="24.75" customHeight="1" x14ac:dyDescent="0.2">
      <c r="A42" s="3" t="s">
        <v>83</v>
      </c>
      <c r="B42" s="50" t="s">
        <v>414</v>
      </c>
    </row>
    <row r="43" spans="1:4" ht="30" x14ac:dyDescent="0.2">
      <c r="A43" s="3" t="s">
        <v>84</v>
      </c>
      <c r="B43" s="50"/>
    </row>
    <row r="44" spans="1:4" ht="23.25" x14ac:dyDescent="0.2">
      <c r="A44" s="191" t="s">
        <v>85</v>
      </c>
      <c r="B44" s="190" t="s">
        <v>346</v>
      </c>
      <c r="C44" s="200" t="s">
        <v>346</v>
      </c>
      <c r="D44" s="200" t="s">
        <v>353</v>
      </c>
    </row>
    <row r="45" spans="1:4" hidden="1" x14ac:dyDescent="0.2">
      <c r="A45" s="3"/>
      <c r="B45" s="188" t="str">
        <f>IF(B44=D44,CONCATENATE("MA'LUMOTNOMA ",B47,B46),C44)</f>
        <v>Yakka tartibdagi tadbirkor</v>
      </c>
    </row>
    <row r="46" spans="1:4" ht="93" x14ac:dyDescent="0.2">
      <c r="A46" s="191" t="s">
        <v>354</v>
      </c>
      <c r="B46" s="212"/>
    </row>
    <row r="47" spans="1:4" ht="23.25" hidden="1" x14ac:dyDescent="0.2">
      <c r="A47" s="191"/>
      <c r="B47" s="188" t="str">
        <f>CONCATENATE(C47," ",B46)</f>
        <v xml:space="preserve">№ </v>
      </c>
      <c r="C47" s="200" t="s">
        <v>15</v>
      </c>
    </row>
    <row r="48" spans="1:4" ht="93" x14ac:dyDescent="0.2">
      <c r="A48" s="191" t="s">
        <v>355</v>
      </c>
      <c r="B48" s="188"/>
    </row>
    <row r="49" spans="1:4" hidden="1" x14ac:dyDescent="0.2">
      <c r="A49" s="3" t="s">
        <v>86</v>
      </c>
      <c r="B49" s="50" t="str">
        <f>IF(B44=C44,C44,B48)</f>
        <v>Yakka tartibdagi tadbirkor</v>
      </c>
    </row>
    <row r="50" spans="1:4" ht="45" x14ac:dyDescent="0.2">
      <c r="A50" s="3" t="s">
        <v>87</v>
      </c>
      <c r="B50" s="50"/>
    </row>
    <row r="51" spans="1:4" x14ac:dyDescent="0.2">
      <c r="A51" s="3" t="s">
        <v>74</v>
      </c>
      <c r="B51" s="50"/>
    </row>
    <row r="52" spans="1:4" x14ac:dyDescent="0.2">
      <c r="A52" s="3" t="s">
        <v>88</v>
      </c>
      <c r="B52" s="50"/>
    </row>
    <row r="53" spans="1:4" x14ac:dyDescent="0.2">
      <c r="A53" s="3" t="s">
        <v>89</v>
      </c>
      <c r="B53" s="50"/>
    </row>
    <row r="54" spans="1:4" x14ac:dyDescent="0.2">
      <c r="A54" s="3" t="s">
        <v>90</v>
      </c>
      <c r="B54" s="50"/>
    </row>
    <row r="55" spans="1:4" x14ac:dyDescent="0.2">
      <c r="A55" s="3" t="s">
        <v>91</v>
      </c>
      <c r="B55" s="2"/>
    </row>
    <row r="56" spans="1:4" x14ac:dyDescent="0.2">
      <c r="A56" s="3" t="s">
        <v>92</v>
      </c>
      <c r="B56" s="2" t="s">
        <v>22</v>
      </c>
    </row>
    <row r="57" spans="1:4" ht="30" customHeight="1" x14ac:dyDescent="0.2">
      <c r="A57" s="253" t="s">
        <v>97</v>
      </c>
      <c r="B57" s="254"/>
    </row>
    <row r="58" spans="1:4" ht="20.25" hidden="1" customHeight="1" x14ac:dyDescent="0.2">
      <c r="A58" s="3" t="s">
        <v>98</v>
      </c>
      <c r="B58" s="50" t="str">
        <f>IF(B44=C44,C44,CONCATENATE(B44," ",B47))</f>
        <v>Yakka tartibdagi tadbirkor</v>
      </c>
    </row>
    <row r="59" spans="1:4" ht="31.5" hidden="1" customHeight="1" x14ac:dyDescent="0.2">
      <c r="A59" s="3" t="s">
        <v>86</v>
      </c>
      <c r="B59" s="50" t="str">
        <f>B49</f>
        <v>Yakka tartibdagi tadbirkor</v>
      </c>
    </row>
    <row r="60" spans="1:4" ht="23.25" x14ac:dyDescent="0.2">
      <c r="A60" s="191" t="s">
        <v>99</v>
      </c>
      <c r="B60" s="195">
        <v>15000000</v>
      </c>
      <c r="C60" s="219">
        <f>C63/B76</f>
        <v>0.49765167714285713</v>
      </c>
    </row>
    <row r="61" spans="1:4" x14ac:dyDescent="0.2">
      <c r="A61" s="3" t="s">
        <v>100</v>
      </c>
      <c r="B61" s="6">
        <v>0</v>
      </c>
      <c r="C61" s="220" t="s">
        <v>391</v>
      </c>
    </row>
    <row r="62" spans="1:4" hidden="1" x14ac:dyDescent="0.2">
      <c r="A62" s="3" t="s">
        <v>101</v>
      </c>
      <c r="B62" s="50">
        <f>B53</f>
        <v>0</v>
      </c>
      <c r="C62" s="218"/>
    </row>
    <row r="63" spans="1:4" ht="30" x14ac:dyDescent="0.2">
      <c r="A63" s="3" t="s">
        <v>102</v>
      </c>
      <c r="B63" s="50"/>
      <c r="C63" s="217">
        <f>SUM(График!E9:E20)</f>
        <v>17417808.699999999</v>
      </c>
    </row>
    <row r="64" spans="1:4" x14ac:dyDescent="0.2">
      <c r="A64" s="252" t="s">
        <v>103</v>
      </c>
      <c r="B64" s="252"/>
      <c r="C64" s="200" t="str">
        <f>PROPER(B65)</f>
        <v>Mikroqarz</v>
      </c>
      <c r="D64" s="200" t="str">
        <f>UPPER(B65)</f>
        <v>MIKROQARZ</v>
      </c>
    </row>
    <row r="65" spans="1:14" x14ac:dyDescent="0.2">
      <c r="A65" s="3" t="s">
        <v>104</v>
      </c>
      <c r="B65" s="1" t="str">
        <f>IF(B76&gt;100000001,"mikrokredit",IF(B76&lt;100000001,"mikroqarz",0))</f>
        <v>mikroqarz</v>
      </c>
      <c r="C65" s="202">
        <f>DATE(YEAR(B67),MONTH(B67)+B82,DAY(B67))</f>
        <v>46393</v>
      </c>
    </row>
    <row r="66" spans="1:14" hidden="1" x14ac:dyDescent="0.2">
      <c r="A66" s="3" t="s">
        <v>105</v>
      </c>
      <c r="B66" s="50" t="str">
        <f>B1</f>
        <v>№-TR</v>
      </c>
      <c r="C66" s="200">
        <f>MONTH(C65)</f>
        <v>1</v>
      </c>
      <c r="D66" s="200" t="str">
        <f>IF(C66=C68,C70,IF(C66=D68,D70,IF(C66=E68,E70,IF(C66=F68,F70,IF(C66=G68,G70,IF(C66=H68,H70,IF(C66=I68,I70,IF(C66=J68,J70,IF(C66=K68,K70,IF(C66=L68,L70,IF(C66=M68,M70,IF(C66=N68,N70,))))))))))))</f>
        <v>yanvar</v>
      </c>
      <c r="E66" s="200">
        <f>DAY(C65)</f>
        <v>6</v>
      </c>
      <c r="F66" s="200">
        <f>YEAR(C65)</f>
        <v>2027</v>
      </c>
      <c r="G66" s="200">
        <f>MONTH(C65)</f>
        <v>1</v>
      </c>
      <c r="H66" s="200" t="str">
        <f>IF(C66=C68,C71,IF(C66=D68,D71,IF(C66=E68,E71,IF(C66=F68,F71,IF(C66=G68,G71,IF(C66=H68,H71,IF(C66=I68,I71,IF(C66=J68,J71,IF(C66=K68,K71,IF(C66=L68,L71,IF(C66=M68,M71,IF(C66=N68,N71,))))))))))))</f>
        <v>yanvar</v>
      </c>
      <c r="I66" s="200">
        <f>YEAR(C65)</f>
        <v>2027</v>
      </c>
    </row>
    <row r="67" spans="1:14" hidden="1" x14ac:dyDescent="0.2">
      <c r="A67" s="3" t="s">
        <v>106</v>
      </c>
      <c r="B67" s="96" t="str">
        <f>B2</f>
        <v>06.01.2025</v>
      </c>
      <c r="C67" s="200">
        <f>MONTH(B67)</f>
        <v>1</v>
      </c>
      <c r="D67" s="200" t="str">
        <f>IF(C67=C68,C70,IF(C67=D68,D70,IF(C67=E68,E70,IF(C67=F68,F70,IF(C67=G68,G70,IF(C67=H68,H70,IF(C67=I68,I70,IF(C67=J68,J70,IF(C67=K68,K70,IF(C67=L68,L70,IF(C67=M68,M70,IF(C67=N68,N70,))))))))))))</f>
        <v>yanvar</v>
      </c>
      <c r="E67" s="200">
        <f>DAY(B67)</f>
        <v>6</v>
      </c>
      <c r="F67" s="200">
        <f>YEAR(B67)</f>
        <v>2025</v>
      </c>
      <c r="G67" s="200">
        <f>MONTH(B67)</f>
        <v>1</v>
      </c>
      <c r="H67" s="200" t="str">
        <f>IF(C67=C68,C71,IF(C67=D68,D71,IF(C67=E68,E71,IF(C67=F68,F71,IF(C67=G68,G71,IF(C67=H68,H71,IF(C67=I68,I71,IF(C67=J68,J71,IF(C67=K68,K71,IF(C67=L68,L71,IF(C67=M68,M71,IF(C67=N68,N71,))))))))))))</f>
        <v>yanvar</v>
      </c>
      <c r="I67" s="200">
        <f>YEAR(B67)</f>
        <v>2025</v>
      </c>
    </row>
    <row r="68" spans="1:14" hidden="1" x14ac:dyDescent="0.2">
      <c r="A68" s="3" t="s">
        <v>107</v>
      </c>
      <c r="B68" s="86" t="str">
        <f>""&amp;E67&amp;" "&amp;D67&amp;" "&amp;F67&amp;" y."</f>
        <v>6 yanvar 2025 y.</v>
      </c>
      <c r="C68" s="200">
        <v>1</v>
      </c>
      <c r="D68" s="200">
        <v>2</v>
      </c>
      <c r="E68" s="200">
        <v>3</v>
      </c>
      <c r="F68" s="200">
        <v>4</v>
      </c>
      <c r="G68" s="200">
        <v>5</v>
      </c>
      <c r="H68" s="200">
        <v>6</v>
      </c>
      <c r="I68" s="200">
        <v>7</v>
      </c>
      <c r="J68" s="200">
        <v>8</v>
      </c>
      <c r="K68" s="200">
        <v>9</v>
      </c>
      <c r="L68" s="200">
        <v>10</v>
      </c>
      <c r="M68" s="200">
        <v>11</v>
      </c>
      <c r="N68" s="200">
        <v>12</v>
      </c>
    </row>
    <row r="69" spans="1:14" hidden="1" x14ac:dyDescent="0.2">
      <c r="A69" s="3"/>
      <c r="B69" s="86" t="str">
        <f>""&amp;E67&amp;" "&amp;H67&amp;" "&amp;F67&amp;" y."</f>
        <v>6 yanvar 2025 y.</v>
      </c>
    </row>
    <row r="70" spans="1:14" hidden="1" x14ac:dyDescent="0.2">
      <c r="A70" s="3"/>
      <c r="B70" s="63" t="str">
        <f>B68</f>
        <v>6 yanvar 2025 y.</v>
      </c>
      <c r="C70" s="200" t="s">
        <v>119</v>
      </c>
      <c r="D70" s="200" t="s">
        <v>120</v>
      </c>
      <c r="E70" s="200" t="s">
        <v>109</v>
      </c>
      <c r="F70" s="200" t="s">
        <v>110</v>
      </c>
      <c r="G70" s="200" t="s">
        <v>111</v>
      </c>
      <c r="H70" s="200" t="s">
        <v>112</v>
      </c>
      <c r="I70" s="200" t="s">
        <v>113</v>
      </c>
      <c r="J70" s="200" t="s">
        <v>114</v>
      </c>
      <c r="K70" s="200" t="s">
        <v>115</v>
      </c>
      <c r="L70" s="200" t="s">
        <v>116</v>
      </c>
      <c r="M70" s="200" t="s">
        <v>117</v>
      </c>
      <c r="N70" s="200" t="s">
        <v>118</v>
      </c>
    </row>
    <row r="71" spans="1:14" hidden="1" x14ac:dyDescent="0.2">
      <c r="A71" s="3"/>
      <c r="B71" s="63" t="str">
        <f>B69</f>
        <v>6 yanvar 2025 y.</v>
      </c>
      <c r="C71" s="200" t="s">
        <v>119</v>
      </c>
      <c r="D71" s="200" t="s">
        <v>120</v>
      </c>
      <c r="E71" s="200" t="s">
        <v>109</v>
      </c>
      <c r="F71" s="200" t="s">
        <v>110</v>
      </c>
      <c r="G71" s="200" t="s">
        <v>111</v>
      </c>
      <c r="H71" s="200" t="s">
        <v>112</v>
      </c>
      <c r="I71" s="200" t="s">
        <v>113</v>
      </c>
      <c r="J71" s="200" t="s">
        <v>114</v>
      </c>
      <c r="K71" s="200" t="s">
        <v>115</v>
      </c>
      <c r="L71" s="200" t="s">
        <v>116</v>
      </c>
      <c r="M71" s="200" t="s">
        <v>117</v>
      </c>
      <c r="N71" s="200" t="s">
        <v>118</v>
      </c>
    </row>
    <row r="72" spans="1:14" hidden="1" x14ac:dyDescent="0.2">
      <c r="A72" s="3" t="s">
        <v>108</v>
      </c>
      <c r="B72" s="62" t="str">
        <f>""&amp;E66&amp;" "&amp;D66&amp;" "&amp;F66&amp;" y."</f>
        <v>6 yanvar 2027 y.</v>
      </c>
    </row>
    <row r="73" spans="1:14" hidden="1" x14ac:dyDescent="0.2">
      <c r="A73" s="3"/>
      <c r="B73" s="62" t="str">
        <f>""&amp;E66&amp;" "&amp;H66&amp;" "&amp;F66&amp;" y."</f>
        <v>6 yanvar 2027 y.</v>
      </c>
    </row>
    <row r="74" spans="1:14" ht="15.75" hidden="1" thickBot="1" x14ac:dyDescent="0.25">
      <c r="A74" s="3" t="s">
        <v>121</v>
      </c>
      <c r="B74" s="1" t="str">
        <f>""&amp;B68&amp;"dan "&amp;B66&amp;""</f>
        <v>6 yanvar 2025 y.dan №-TR</v>
      </c>
    </row>
    <row r="75" spans="1:14" x14ac:dyDescent="0.2">
      <c r="A75" s="3" t="str">
        <f>CONCATENATE(B65," miqdori (summasi)")</f>
        <v>mikroqarz miqdori (summasi)</v>
      </c>
      <c r="B75" s="72">
        <v>25000000</v>
      </c>
    </row>
    <row r="76" spans="1:14" hidden="1" x14ac:dyDescent="0.2">
      <c r="A76" s="3" t="str">
        <f>CONCATENATE(B65," miqdori (summasi)")</f>
        <v>mikroqarz miqdori (summasi)</v>
      </c>
      <c r="B76" s="72">
        <f>B75+B148</f>
        <v>35000000</v>
      </c>
      <c r="C76" s="203" t="s">
        <v>127</v>
      </c>
    </row>
    <row r="77" spans="1:14" ht="28.5" x14ac:dyDescent="0.2">
      <c r="A77" s="163" t="s">
        <v>122</v>
      </c>
      <c r="B77" s="56"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76))&gt;6,ROMAN(MID(INT(B76),1,LEN(INT(B76))-6)+0)&amp;" million "&amp;ROMAN(MID(INT(B76),LEN(INT(B76))-5,3)+0)&amp;" ming "&amp;ROMAN(MID(INT(B76),LEN(INT(B76))-2,3)+0),IF(LEN(INT(B76))&gt;3,ROMAN(MID(INT(B76),1,LEN(INT(B76))-3)+0)&amp;" ming "&amp;ROMAN(MID(INT(B76),LEN(INT(B76))-2,3)+0),ROMAN(INT(B76)))),"DCCC","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o'ttiz besh million so'm</v>
      </c>
      <c r="C77" s="201"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76,0))&gt;6,ROMAN(MID(ROUNDDOWN(B76,0),1,LEN(ROUNDDOWN(B76,0))-6)+0)&amp;" million "&amp;ROMAN(MID(ROUNDDOWN(B76,0),LEN(ROUNDDOWN(B76,0))-5,3)+0)&amp;" ming "&amp;ROMAN(MID(ROUNDDOWN(B76,0),LEN(ROUNDDOWN(B76,0))-2,3)+0)&amp;" so'm",IF(LEN(ROUNDDOWN(B76,0))&gt;3,ROMAN(MID(ROUNDDOWN(B76,0),1,LEN(ROUNDDOWN(B76,0))-3)+0)&amp;" ming "&amp;ROMAN(MID(ROUNDDOWN(B76,0),LEN(ROUNDDOWN(B76,0))-2,3)+0)&amp;" so'm",ROMAN(ROUNDDOWN(B76,0))&amp;"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76,0))&gt;6,ROMAN(MID(ROUNDDOWN(B76,0),1,LEN(ROUNDDOWN(B76,0))-6)+0)&amp;" million "&amp;ROMAN(MID(ROUNDDOWN(B76,0),LEN(ROUNDDOWN(B76,0))-5,3)+0)&amp;" "&amp;ROMAN(MID(ROUNDDOWN(B76,0),LEN(ROUNDDOWN(B76,0))-2,3)+0)&amp;" so'm",IF(LEN(ROUNDDOWN(B76,0))&gt;3,ROMAN(MID(ROUNDDOWN(B76,0),1,LEN(ROUNDDOWN(B76,0))-3)+0)&amp;" ming "&amp;ROMAN(MID(ROUNDDOWN(B76,0),LEN(ROUNDDOWN(B76,0))-2,3)+0)&amp;" so'm",ROMAN(ROUNDDOWN(B76,0))&amp;"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O'ttiz besh million so'm</v>
      </c>
    </row>
    <row r="78" spans="1:14" x14ac:dyDescent="0.2">
      <c r="A78" s="3" t="s">
        <v>123</v>
      </c>
      <c r="B78" s="50" t="s">
        <v>128</v>
      </c>
      <c r="C78" s="200" t="s">
        <v>129</v>
      </c>
      <c r="D78" s="200" t="s">
        <v>128</v>
      </c>
    </row>
    <row r="79" spans="1:14" x14ac:dyDescent="0.2">
      <c r="A79" s="3" t="str">
        <f>CONCATENATE(B65,"ni to'lash sanasi (14.10.2011)")</f>
        <v>mikroqarzni to'lash sanasi (14.10.2011)</v>
      </c>
      <c r="B79" s="50">
        <v>1</v>
      </c>
      <c r="C79" s="202">
        <f>DATE(YEAR(B67),MONTH(B67)+1,DAY(B79))</f>
        <v>45689</v>
      </c>
      <c r="D79" s="200" t="s">
        <v>29</v>
      </c>
      <c r="E79" s="200" t="s">
        <v>30</v>
      </c>
      <c r="F79" s="200" t="s">
        <v>31</v>
      </c>
      <c r="G79" s="200" t="s">
        <v>32</v>
      </c>
      <c r="H79" s="200" t="s">
        <v>33</v>
      </c>
      <c r="I79" s="200" t="s">
        <v>34</v>
      </c>
      <c r="J79" s="200" t="s">
        <v>35</v>
      </c>
    </row>
    <row r="80" spans="1:14" ht="30" hidden="1" x14ac:dyDescent="0.25">
      <c r="A80" s="3" t="str">
        <f>CONCATENATE(B65,"ni to'lash sanasi (14.10.2011 y.) QO’L BILAN KIRITILADI")</f>
        <v>mikroqarzni to'lash sanasi (14.10.2011 y.) QO’L BILAN KIRITILADI</v>
      </c>
      <c r="B80" s="87">
        <f>DATE(YEAR(B67),MONTH(B67)+1,DAY(B79+C81))</f>
        <v>45691</v>
      </c>
      <c r="C80" s="204" t="str">
        <f>TEXT(C79,"ддд")</f>
        <v>Сб</v>
      </c>
      <c r="D80" s="200" t="s">
        <v>29</v>
      </c>
      <c r="E80" s="200" t="s">
        <v>30</v>
      </c>
      <c r="F80" s="200" t="s">
        <v>31</v>
      </c>
      <c r="G80" s="200" t="s">
        <v>32</v>
      </c>
      <c r="H80" s="200" t="s">
        <v>33</v>
      </c>
      <c r="I80" s="200" t="s">
        <v>34</v>
      </c>
      <c r="J80" s="200" t="s">
        <v>35</v>
      </c>
    </row>
    <row r="81" spans="1:63" ht="30" hidden="1" x14ac:dyDescent="0.2">
      <c r="A81" s="3" t="s">
        <v>124</v>
      </c>
      <c r="B81" s="88">
        <f>B80</f>
        <v>45691</v>
      </c>
      <c r="C81" s="200">
        <f>IF(C80=I80,2,IF(C80=J80,1,0))</f>
        <v>2</v>
      </c>
    </row>
    <row r="82" spans="1:63" x14ac:dyDescent="0.2">
      <c r="A82" s="3" t="str">
        <f>CONCATENATE(B65," muddati")</f>
        <v>mikroqarz muddati</v>
      </c>
      <c r="B82" s="50">
        <v>24</v>
      </c>
      <c r="C82" s="200">
        <v>6</v>
      </c>
      <c r="D82" s="200">
        <v>12</v>
      </c>
      <c r="E82" s="200">
        <v>18</v>
      </c>
      <c r="F82" s="200">
        <v>24</v>
      </c>
      <c r="G82" s="200">
        <v>36</v>
      </c>
    </row>
    <row r="83" spans="1:63" ht="30" x14ac:dyDescent="0.2">
      <c r="A83" s="3" t="str">
        <f>CONCATENATE(B65," muddati QO’L BILAN KIRITILADI")</f>
        <v>mikroqarz muddati QO’L BILAN KIRITILADI</v>
      </c>
      <c r="B83" s="159" t="s">
        <v>432</v>
      </c>
    </row>
    <row r="84" spans="1:63" ht="30" x14ac:dyDescent="0.2">
      <c r="A84" s="186" t="s">
        <v>350</v>
      </c>
      <c r="B84" s="159">
        <v>0</v>
      </c>
      <c r="BJ84" s="200">
        <v>1</v>
      </c>
      <c r="BK84" s="200">
        <v>0</v>
      </c>
    </row>
    <row r="85" spans="1:63" x14ac:dyDescent="0.2">
      <c r="A85" s="3" t="str">
        <f>CONCATENATE(B65," stavkasi")</f>
        <v>mikroqarz stavkasi</v>
      </c>
      <c r="B85" s="90">
        <v>0.6</v>
      </c>
    </row>
    <row r="86" spans="1:63" x14ac:dyDescent="0.2">
      <c r="A86" s="3" t="str">
        <f>CONCATENATE(B65," stavkasi")</f>
        <v>mikroqarz stavkasi</v>
      </c>
      <c r="B86" s="91" t="s">
        <v>392</v>
      </c>
    </row>
    <row r="87" spans="1:63" x14ac:dyDescent="0.2">
      <c r="A87" s="3" t="str">
        <f>CONCATENATE(B65," stavkasi (so’z bilan)")</f>
        <v>mikroqarz stavkasi (so’z bilan)</v>
      </c>
      <c r="B87" s="89" t="s">
        <v>393</v>
      </c>
      <c r="C87" s="200" t="s">
        <v>393</v>
      </c>
    </row>
    <row r="88" spans="1:63" x14ac:dyDescent="0.2">
      <c r="A88" s="3" t="str">
        <f>CONCATENATE("Muddati o'tgan ",B65," bo’yicha stavka")</f>
        <v>Muddati o'tgan mikroqarz bo’yicha stavka</v>
      </c>
      <c r="B88" s="90">
        <v>1</v>
      </c>
    </row>
    <row r="89" spans="1:63" x14ac:dyDescent="0.2">
      <c r="A89" s="163" t="s">
        <v>122</v>
      </c>
      <c r="B89" s="91" t="s">
        <v>397</v>
      </c>
    </row>
    <row r="90" spans="1:63" x14ac:dyDescent="0.2">
      <c r="A90" s="3" t="str">
        <f>CONCATENATE("Muddati o'tgan ",B65," bo’yicha stavka")</f>
        <v>Muddati o'tgan mikroqarz bo’yicha stavka</v>
      </c>
      <c r="B90" s="89" t="s">
        <v>396</v>
      </c>
      <c r="C90" s="200" t="s">
        <v>396</v>
      </c>
    </row>
    <row r="91" spans="1:63" x14ac:dyDescent="0.2">
      <c r="A91" s="3" t="s">
        <v>125</v>
      </c>
      <c r="B91" s="92">
        <f>IF(B78=C78,LARGE(График!F9:F26,1),ROUND(PMT(B85/12,B82,-B76,0),-3))</f>
        <v>2536000</v>
      </c>
    </row>
    <row r="92" spans="1:63" x14ac:dyDescent="0.2">
      <c r="A92" s="252" t="s">
        <v>126</v>
      </c>
      <c r="B92" s="252"/>
    </row>
    <row r="93" spans="1:63" ht="18" x14ac:dyDescent="0.2">
      <c r="A93" s="95"/>
      <c r="B93" s="152" t="s">
        <v>131</v>
      </c>
      <c r="C93" s="205" t="s">
        <v>131</v>
      </c>
      <c r="D93" s="200" t="s">
        <v>132</v>
      </c>
    </row>
    <row r="94" spans="1:63" ht="18" x14ac:dyDescent="0.2">
      <c r="A94" s="9" t="s">
        <v>137</v>
      </c>
      <c r="B94" s="152" t="s">
        <v>134</v>
      </c>
      <c r="C94" s="206" t="s">
        <v>133</v>
      </c>
      <c r="D94" s="200" t="s">
        <v>134</v>
      </c>
    </row>
    <row r="95" spans="1:63" ht="54" x14ac:dyDescent="0.2">
      <c r="A95" s="9" t="s">
        <v>138</v>
      </c>
      <c r="B95" s="152" t="s">
        <v>136</v>
      </c>
      <c r="C95" s="200" t="s">
        <v>135</v>
      </c>
      <c r="D95" s="200" t="s">
        <v>136</v>
      </c>
    </row>
    <row r="96" spans="1:63" ht="36" x14ac:dyDescent="0.2">
      <c r="A96" s="9" t="s">
        <v>139</v>
      </c>
      <c r="B96" s="152" t="s">
        <v>416</v>
      </c>
    </row>
    <row r="97" spans="1:4" ht="54" x14ac:dyDescent="0.2">
      <c r="A97" s="9" t="s">
        <v>140</v>
      </c>
      <c r="B97" s="152" t="s">
        <v>417</v>
      </c>
    </row>
    <row r="98" spans="1:4" x14ac:dyDescent="0.2">
      <c r="A98" s="252" t="s">
        <v>141</v>
      </c>
      <c r="B98" s="252"/>
    </row>
    <row r="99" spans="1:4" ht="54" x14ac:dyDescent="0.2">
      <c r="A99" s="9" t="s">
        <v>142</v>
      </c>
      <c r="B99" s="152" t="s">
        <v>405</v>
      </c>
    </row>
    <row r="100" spans="1:4" ht="54" x14ac:dyDescent="0.2">
      <c r="A100" s="9" t="s">
        <v>143</v>
      </c>
      <c r="B100" s="152" t="s">
        <v>406</v>
      </c>
    </row>
    <row r="101" spans="1:4" ht="18" x14ac:dyDescent="0.2">
      <c r="A101" s="9" t="s">
        <v>144</v>
      </c>
      <c r="B101" s="160" t="s">
        <v>419</v>
      </c>
    </row>
    <row r="102" spans="1:4" ht="18" x14ac:dyDescent="0.2">
      <c r="A102" s="9" t="s">
        <v>145</v>
      </c>
      <c r="B102" s="158" t="s">
        <v>418</v>
      </c>
    </row>
    <row r="103" spans="1:4" ht="18" hidden="1" x14ac:dyDescent="0.2">
      <c r="A103" s="9"/>
      <c r="B103" s="152" t="str">
        <f>TEXT(B102,"ДД.ММ.ГГГГ")</f>
        <v>27.12.2024 y</v>
      </c>
    </row>
    <row r="104" spans="1:4" ht="18" x14ac:dyDescent="0.2">
      <c r="A104" s="9"/>
      <c r="B104" s="10" t="s">
        <v>146</v>
      </c>
      <c r="C104" s="200" t="s">
        <v>146</v>
      </c>
      <c r="D104" s="200" t="s">
        <v>147</v>
      </c>
    </row>
    <row r="105" spans="1:4" ht="90" x14ac:dyDescent="0.2">
      <c r="A105" s="194" t="s">
        <v>352</v>
      </c>
      <c r="B105" s="193" t="s">
        <v>351</v>
      </c>
      <c r="C105" s="10" t="s">
        <v>147</v>
      </c>
    </row>
    <row r="106" spans="1:4" ht="36" x14ac:dyDescent="0.2">
      <c r="A106" s="185" t="s">
        <v>373</v>
      </c>
      <c r="B106" s="10" t="s">
        <v>416</v>
      </c>
      <c r="C106" s="10"/>
    </row>
    <row r="107" spans="1:4" ht="30" x14ac:dyDescent="0.2">
      <c r="A107" s="185" t="s">
        <v>374</v>
      </c>
      <c r="B107" s="10" t="s">
        <v>417</v>
      </c>
      <c r="C107" s="10"/>
    </row>
    <row r="108" spans="1:4" ht="60" x14ac:dyDescent="0.2">
      <c r="A108" s="185" t="str">
        <f>A114</f>
        <v>Tug’ilgan sanasi (01.10.2011 y.)</v>
      </c>
      <c r="B108" s="215" t="s">
        <v>420</v>
      </c>
      <c r="C108" s="10"/>
    </row>
    <row r="109" spans="1:4" ht="60" x14ac:dyDescent="0.2">
      <c r="A109" s="185" t="str">
        <f>A115</f>
        <v>Pasport seriyasi (СА №1234567)</v>
      </c>
      <c r="B109" s="10" t="s">
        <v>421</v>
      </c>
      <c r="C109" s="10"/>
    </row>
    <row r="110" spans="1:4" ht="108.75" customHeight="1" x14ac:dyDescent="0.2">
      <c r="A110" s="185" t="str">
        <f>A116</f>
        <v xml:space="preserve">Kim va qachon berilgan
(Toshkent shahri Chilonzor IIB tomonidan 2011 yil __.____)
</v>
      </c>
      <c r="B110" s="10" t="s">
        <v>433</v>
      </c>
      <c r="C110" s="10"/>
    </row>
    <row r="111" spans="1:4" ht="150.75" customHeight="1" x14ac:dyDescent="0.2">
      <c r="A111" s="185" t="str">
        <f>A117</f>
        <v xml:space="preserve">doimiy ro’yhatdan o’tgan joyi
(Toshkent sh., Mirobod tumani, Nukus ko’chasi, 1 uy, 1 honadon)
</v>
      </c>
      <c r="B111" s="10" t="s">
        <v>422</v>
      </c>
      <c r="C111" s="10"/>
    </row>
    <row r="112" spans="1:4" hidden="1" x14ac:dyDescent="0.2">
      <c r="A112" s="150" t="s">
        <v>159</v>
      </c>
      <c r="B112" s="140" t="str">
        <f>IF(B94="HA",B5,B106)</f>
        <v>MADRAXIMOV XOLMUROD RAMONBERDI O'GLI</v>
      </c>
      <c r="C112" s="165">
        <f>IF(B94="HA",B5,C106)</f>
        <v>0</v>
      </c>
    </row>
    <row r="113" spans="1:18" hidden="1" x14ac:dyDescent="0.2">
      <c r="A113" s="150"/>
      <c r="B113" s="140" t="str">
        <f>IF(B94="HA",B7,B107)</f>
        <v>MADRAXIMOV X R</v>
      </c>
      <c r="C113" s="165">
        <f>IF(B94="HA",B7,C107)</f>
        <v>0</v>
      </c>
    </row>
    <row r="114" spans="1:18" hidden="1" x14ac:dyDescent="0.2">
      <c r="A114" s="151" t="s">
        <v>160</v>
      </c>
      <c r="B114" s="184" t="str">
        <f>IF(B94="HA",B15,B108)</f>
        <v>07.01.1996 y.</v>
      </c>
      <c r="C114" s="165">
        <f>IF(B94="HA",B15,C108)</f>
        <v>0</v>
      </c>
    </row>
    <row r="115" spans="1:18" hidden="1" x14ac:dyDescent="0.2">
      <c r="A115" s="151" t="s">
        <v>65</v>
      </c>
      <c r="B115" s="184" t="str">
        <f>IF(B94="HA",B16,B109)</f>
        <v>AG1240999</v>
      </c>
      <c r="C115" s="165">
        <f>IF(B94="HA",B16,C109)</f>
        <v>0</v>
      </c>
    </row>
    <row r="116" spans="1:18" ht="30" hidden="1" customHeight="1" x14ac:dyDescent="0.2">
      <c r="A116" s="151" t="s">
        <v>68</v>
      </c>
      <c r="B116" s="140" t="str">
        <f>IF(B94="HA",B20,B110)</f>
        <v>QORAQALPOG'ISTON RESPUBLIKASI TO'RTKO'L TUMANI IIB tomonidan 19.07.2023 yilda berilgan</v>
      </c>
      <c r="C116" s="165">
        <f>IF(B94="HA",B20,C110)</f>
        <v>0</v>
      </c>
      <c r="D116" s="200">
        <v>493193762</v>
      </c>
    </row>
    <row r="117" spans="1:18" ht="53.25" hidden="1" customHeight="1" x14ac:dyDescent="0.2">
      <c r="A117" s="151" t="s">
        <v>70</v>
      </c>
      <c r="B117" s="140" t="str">
        <f>IF(B94="HA",B22,B111)</f>
        <v>QORAQALPOG'ISTON RESPUBLIKASI TO'RTKO'L TUMANI TOZABOG'YOP OFY</v>
      </c>
      <c r="C117" s="140">
        <f>IF(B94="HA",B22,C111)</f>
        <v>0</v>
      </c>
    </row>
    <row r="118" spans="1:18" hidden="1" x14ac:dyDescent="0.2">
      <c r="A118" s="151" t="s">
        <v>161</v>
      </c>
      <c r="B118" s="1" t="str">
        <f>IF(B94="ha",B5,B112)</f>
        <v>MADRAXIMOV XOLMUROD RAMONBERDI O'GLI</v>
      </c>
      <c r="C118" s="93">
        <f>IF(B94="ha",B5,C112)</f>
        <v>0</v>
      </c>
    </row>
    <row r="119" spans="1:18" hidden="1" x14ac:dyDescent="0.2">
      <c r="A119" s="151"/>
      <c r="B119" s="1" t="str">
        <f>IF(B94="ha",B7,B113)</f>
        <v>MADRAXIMOV X R</v>
      </c>
      <c r="C119" s="93">
        <f>IF(B94="ha",B7,C113)</f>
        <v>0</v>
      </c>
    </row>
    <row r="120" spans="1:18" hidden="1" x14ac:dyDescent="0.2">
      <c r="A120" s="3" t="s">
        <v>160</v>
      </c>
      <c r="B120" s="1" t="str">
        <f>IF(B94="ha",B15,B114)</f>
        <v>07.01.1996 y.</v>
      </c>
      <c r="C120" s="93">
        <f>IF(B94="ha",B15,C114)</f>
        <v>0</v>
      </c>
    </row>
    <row r="121" spans="1:18" hidden="1" x14ac:dyDescent="0.2">
      <c r="A121" s="3" t="s">
        <v>65</v>
      </c>
      <c r="B121" s="1" t="str">
        <f>IF(B94="ha",B16,B115)</f>
        <v>AG1240999</v>
      </c>
      <c r="C121" s="93">
        <f>IF(B94="ha",B16,C115)</f>
        <v>0</v>
      </c>
    </row>
    <row r="122" spans="1:18" ht="60" hidden="1" x14ac:dyDescent="0.2">
      <c r="A122" s="3" t="s">
        <v>68</v>
      </c>
      <c r="B122" s="1" t="str">
        <f>IF(B94="ha",B20,B116)</f>
        <v>QORAQALPOG'ISTON RESPUBLIKASI TO'RTKO'L TUMANI IIB tomonidan 19.07.2023 yilda berilgan</v>
      </c>
      <c r="C122" s="93">
        <f>IF(B94="ha",B20,C116)</f>
        <v>0</v>
      </c>
    </row>
    <row r="123" spans="1:18" ht="60" hidden="1" x14ac:dyDescent="0.2">
      <c r="A123" s="3" t="s">
        <v>70</v>
      </c>
      <c r="B123" s="181" t="str">
        <f>IF(B94="ha",B22,B117)</f>
        <v>QORAQALPOG'ISTON RESPUBLIKASI TO'RTKO'L TUMANI TOZABOG'YOP OFY</v>
      </c>
      <c r="C123" s="94">
        <f>IF(B94="ha",B22,C117)</f>
        <v>0</v>
      </c>
    </row>
    <row r="124" spans="1:18" ht="98.25" customHeight="1" x14ac:dyDescent="0.2">
      <c r="A124" s="3" t="s">
        <v>162</v>
      </c>
      <c r="B124" s="50" t="s">
        <v>407</v>
      </c>
      <c r="C124" s="1" t="s">
        <v>48</v>
      </c>
      <c r="N124" s="200" t="str">
        <f>IF(B104=C104,B118,IF(B104=D104,C118,0))</f>
        <v>MADRAXIMOV XOLMUROD RAMONBERDI O'GLI</v>
      </c>
    </row>
    <row r="125" spans="1:18" ht="60" x14ac:dyDescent="0.2">
      <c r="A125" s="3" t="s">
        <v>163</v>
      </c>
      <c r="B125" s="50" t="s">
        <v>423</v>
      </c>
      <c r="C125" s="52" t="s">
        <v>383</v>
      </c>
      <c r="D125" s="53" t="s">
        <v>152</v>
      </c>
      <c r="Q125" s="200" t="str">
        <f>""&amp;B96&amp;" (по генеральному доверенестью №"&amp;B101&amp;" от "&amp;B103&amp;")"</f>
        <v>MADRAXIMOV XOLMUROD RAMONBERDI O'GLI (по генеральному доверенестью №202401526011103 от 27.12.2024 y)</v>
      </c>
      <c r="R125" s="200" t="str">
        <f>""&amp;B96&amp;" ("&amp;B103&amp;"y. sanasidagi reestr raqami №"&amp;B101&amp;" bo'lgan Ishonchnomaga asosan)"</f>
        <v>MADRAXIMOV XOLMUROD RAMONBERDI O'GLI (27.12.2024 yy. sanasidagi reestr raqami №202401526011103 bo'lgan Ishonchnomaga asosan)</v>
      </c>
    </row>
    <row r="126" spans="1:18" ht="28.5" x14ac:dyDescent="0.2">
      <c r="A126" s="3" t="s">
        <v>27</v>
      </c>
      <c r="B126" s="50" t="s">
        <v>424</v>
      </c>
      <c r="C126" s="94" t="str">
        <f>""&amp;D127&amp;" "&amp;IF(C130=D130,"- xonali yakka tartibdagi uy-joy", IF(C130=E130,"-  xonali ko'p qavatli uydagi xonadon",0))&amp;""</f>
        <v>3 - xonali yakka tartibdagi uy-joy</v>
      </c>
      <c r="D126" s="83" t="s">
        <v>150</v>
      </c>
      <c r="E126" s="200" t="str">
        <f>IF($C$130=$D$130,I126,IF($C$130=$E$130,H126,0))</f>
        <v>3 - xonali yakka tartibdagi uy-joy</v>
      </c>
      <c r="F126" s="200" t="str">
        <f>IF($C$130=$D$130,I126,IF($C$130=$E$130,H126,0))</f>
        <v>3 - xonali yakka tartibdagi uy-joy</v>
      </c>
      <c r="H126" s="200" t="str">
        <f>"Ko'p qavatli uydagi "&amp;D127&amp;" - xonali xonadon"</f>
        <v>Ko'p qavatli uydagi 3 - xonali xonadon</v>
      </c>
      <c r="I126" s="200" t="str">
        <f>""&amp;D127&amp;" - xonali yakka tartibdagi uy-joy"</f>
        <v>3 - xonali yakka tartibdagi uy-joy</v>
      </c>
      <c r="N126" s="200" t="str">
        <f>IF(B94=C94,Q127,IF(B94=D94,Q126,0))</f>
        <v>Микрофинансовой организацией, Заемщиком и MADRAXIMOV XOLMUROD RAMONBERDI O'GLI (по генеральному доверенестью №202401526011103 от 27.12.2024 y)</v>
      </c>
      <c r="Q126" s="200" t="str">
        <f>"Микрофинансовой организацией, Заемщиком и "&amp;IF(B95=D95,Q125,IF(B95=C95,B112,0))&amp;""</f>
        <v>Микрофинансовой организацией, Заемщиком и MADRAXIMOV XOLMUROD RAMONBERDI O'GLI (по генеральному доверенестью №202401526011103 от 27.12.2024 y)</v>
      </c>
      <c r="R126" s="200" t="str">
        <f>"Mikromoliya tashkiloti, Qarz oluvchi va "&amp;IF(B95=D95,R125,IF(B95=C95,B112))&amp;""</f>
        <v>Mikromoliya tashkiloti, Qarz oluvchi va MADRAXIMOV XOLMUROD RAMONBERDI O'GLI (27.12.2024 yy. sanasidagi reestr raqami №202401526011103 bo'lgan Ishonchnomaga asosan)</v>
      </c>
    </row>
    <row r="127" spans="1:18" ht="30" x14ac:dyDescent="0.2">
      <c r="A127" s="3" t="s">
        <v>164</v>
      </c>
      <c r="B127" s="213" t="s">
        <v>425</v>
      </c>
      <c r="C127" s="94" t="str">
        <f>C126</f>
        <v>3 - xonali yakka tartibdagi uy-joy</v>
      </c>
      <c r="D127" s="82">
        <v>3</v>
      </c>
      <c r="E127" s="200" t="str">
        <f>IF($C$130=$D$130,I127,IF($C$130=$E$130,H127,0))</f>
        <v>yer uchastkasi maydoni - , umumiy maydoni - 72,13, yashash maydoni - 37,39</v>
      </c>
      <c r="F127" s="200" t="str">
        <f>IF($C$130=$D$130,I127,IF($C$130=$E$130,H127,0))</f>
        <v>yer uchastkasi maydoni - , umumiy maydoni - 72,13, yashash maydoni - 37,39</v>
      </c>
      <c r="H127" s="200" t="str">
        <f>"umumiy maydoni - "&amp;C131&amp;", yashash maydoni - "&amp;C134&amp;""</f>
        <v>umumiy maydoni - 72,13, yashash maydoni - 37,39</v>
      </c>
      <c r="I127" s="200" t="str">
        <f>"yer uchastkasi maydoni - "&amp;C132&amp;", umumiy maydoni - "&amp;C131&amp;", yashash maydoni - "&amp;C134&amp;""</f>
        <v>yer uchastkasi maydoni - , umumiy maydoni - 72,13, yashash maydoni - 37,39</v>
      </c>
      <c r="N127" s="200" t="str">
        <f>IF(B94=C94,R127,IF(B94=D94,R126,0))</f>
        <v>Mikromoliya tashkiloti, Qarz oluvchi va MADRAXIMOV XOLMUROD RAMONBERDI O'GLI (27.12.2024 yy. sanasidagi reestr raqami №202401526011103 bo'lgan Ishonchnomaga asosan)</v>
      </c>
      <c r="Q127" s="200" t="s">
        <v>52</v>
      </c>
      <c r="R127" s="200" t="s">
        <v>151</v>
      </c>
    </row>
    <row r="128" spans="1:18" ht="27" customHeight="1" x14ac:dyDescent="0.2">
      <c r="A128" s="3" t="s">
        <v>165</v>
      </c>
      <c r="B128" s="81" t="str">
        <f>"kuzov turi - "&amp;B129&amp;", kuzov raqami "&amp;B130&amp;""</f>
        <v>kuzov turi - YENGIL SEDAN, kuzov raqami XWB4A11AD8A152643</v>
      </c>
      <c r="C128" s="52" t="s">
        <v>382</v>
      </c>
      <c r="D128" s="53" t="s">
        <v>384</v>
      </c>
    </row>
    <row r="129" spans="1:6" x14ac:dyDescent="0.2">
      <c r="A129" s="73" t="s">
        <v>166</v>
      </c>
      <c r="B129" s="50" t="s">
        <v>426</v>
      </c>
      <c r="C129" s="142"/>
    </row>
    <row r="130" spans="1:6" x14ac:dyDescent="0.2">
      <c r="A130" s="73" t="s">
        <v>167</v>
      </c>
      <c r="B130" s="50" t="s">
        <v>427</v>
      </c>
      <c r="C130" s="51" t="s">
        <v>153</v>
      </c>
      <c r="D130" s="200" t="s">
        <v>153</v>
      </c>
      <c r="E130" s="200" t="s">
        <v>154</v>
      </c>
    </row>
    <row r="131" spans="1:6" ht="27" customHeight="1" x14ac:dyDescent="0.25">
      <c r="A131" s="3" t="s">
        <v>168</v>
      </c>
      <c r="B131" s="81" t="str">
        <f>"dvigatel raqami "&amp;B132&amp;", shassi raqami - "&amp;B133&amp;""</f>
        <v>dvigatel raqami F8CV521561KB1, shassi raqami - RAKAMSIZ</v>
      </c>
      <c r="C131" s="51">
        <v>72.13</v>
      </c>
      <c r="D131" s="199" t="s">
        <v>155</v>
      </c>
      <c r="E131" s="200" t="str">
        <f>CONCATENATE(C131," ","kv.m")</f>
        <v>72,13 kv.m</v>
      </c>
      <c r="F131" s="210">
        <f>C131-C134</f>
        <v>34.739999999999995</v>
      </c>
    </row>
    <row r="132" spans="1:6" x14ac:dyDescent="0.25">
      <c r="A132" s="73" t="s">
        <v>169</v>
      </c>
      <c r="B132" s="214" t="s">
        <v>431</v>
      </c>
      <c r="C132" s="51"/>
      <c r="D132" s="199" t="s">
        <v>156</v>
      </c>
    </row>
    <row r="133" spans="1:6" x14ac:dyDescent="0.2">
      <c r="A133" s="73" t="s">
        <v>170</v>
      </c>
      <c r="B133" s="50" t="s">
        <v>394</v>
      </c>
      <c r="C133" s="51"/>
    </row>
    <row r="134" spans="1:6" ht="25.5" customHeight="1" x14ac:dyDescent="0.25">
      <c r="A134" s="3" t="s">
        <v>171</v>
      </c>
      <c r="B134" s="81" t="str">
        <f>"rangi -  "&amp;B135&amp;", ishlab chiqarilgan yili - "&amp;B136&amp;""</f>
        <v>rangi -  OQ-BELAYA KASABLANKA, ishlab chiqarilgan yili - 2007</v>
      </c>
      <c r="C134" s="197" t="s">
        <v>381</v>
      </c>
      <c r="D134" s="199" t="s">
        <v>253</v>
      </c>
      <c r="E134" s="200" t="str">
        <f>CONCATENATE(C134," ","kv.m")</f>
        <v>37,39 kv.m</v>
      </c>
    </row>
    <row r="135" spans="1:6" x14ac:dyDescent="0.2">
      <c r="A135" s="73" t="s">
        <v>172</v>
      </c>
      <c r="B135" s="50" t="s">
        <v>430</v>
      </c>
      <c r="C135" s="51"/>
    </row>
    <row r="136" spans="1:6" ht="30" x14ac:dyDescent="0.25">
      <c r="A136" s="73" t="s">
        <v>173</v>
      </c>
      <c r="B136" s="61" t="s">
        <v>429</v>
      </c>
      <c r="C136" s="142">
        <v>44181</v>
      </c>
      <c r="D136" s="208" t="s">
        <v>385</v>
      </c>
    </row>
    <row r="137" spans="1:6" hidden="1" x14ac:dyDescent="0.25">
      <c r="A137" s="3" t="s">
        <v>174</v>
      </c>
      <c r="B137" s="22">
        <f>B76*1.5</f>
        <v>52500000</v>
      </c>
      <c r="C137" s="22">
        <f>B137</f>
        <v>52500000</v>
      </c>
      <c r="D137" s="199" t="s">
        <v>174</v>
      </c>
    </row>
    <row r="138" spans="1:6" ht="27.75" hidden="1" customHeight="1" x14ac:dyDescent="0.2">
      <c r="A138" s="191"/>
      <c r="B138" s="56"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137))&gt;6,ROMAN(MID(INT(B137),1,LEN(INT(B137))-6)+0)&amp;" million "&amp;ROMAN(MID(INT(B137),LEN(INT(B137))-5,3)+0)&amp;" ming "&amp;ROMAN(MID(INT(B137),LEN(INT(B137))-2,3)+0),IF(LEN(INT(B137))&gt;3,ROMAN(MID(INT(B137),1,LEN(INT(B137))-3)+0)&amp;" ming "&amp;ROMAN(MID(INT(B137),LEN(INT(B137))-2,3)+0),ROMAN(INT(B137)))),"DCCC","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ellik ikki million besh yuz ming so'm</v>
      </c>
      <c r="C138" s="161" t="str">
        <f>B138</f>
        <v>ellik ikki million besh yuz ming so'm</v>
      </c>
      <c r="D138" s="4"/>
    </row>
    <row r="139" spans="1:6" ht="27.75" hidden="1" customHeight="1" x14ac:dyDescent="0.2">
      <c r="A139" s="3"/>
      <c r="B139" s="161" t="str">
        <f>B138</f>
        <v>ellik ikki million besh yuz ming so'm</v>
      </c>
      <c r="C139" s="74"/>
      <c r="D139" s="4"/>
    </row>
    <row r="140" spans="1:6" ht="20.25" x14ac:dyDescent="0.2">
      <c r="A140" s="3" t="s">
        <v>347</v>
      </c>
      <c r="B140" s="56">
        <v>106934</v>
      </c>
    </row>
    <row r="141" spans="1:6" x14ac:dyDescent="0.2">
      <c r="A141" s="3" t="s">
        <v>375</v>
      </c>
      <c r="B141" s="50">
        <v>2</v>
      </c>
    </row>
    <row r="142" spans="1:6" ht="15.75" thickBot="1" x14ac:dyDescent="0.25">
      <c r="A142" s="3" t="s">
        <v>157</v>
      </c>
      <c r="B142" s="2" t="s">
        <v>148</v>
      </c>
      <c r="C142" s="200">
        <v>1</v>
      </c>
    </row>
    <row r="143" spans="1:6" hidden="1" x14ac:dyDescent="0.2">
      <c r="A143" s="3" t="s">
        <v>158</v>
      </c>
      <c r="B143" s="5" t="str">
        <f>B70</f>
        <v>6 yanvar 2025 y.</v>
      </c>
      <c r="C143" s="200" t="str">
        <f>B70</f>
        <v>6 yanvar 2025 y.</v>
      </c>
    </row>
    <row r="144" spans="1:6" hidden="1" x14ac:dyDescent="0.2">
      <c r="A144" s="3"/>
      <c r="B144" s="1">
        <f>YEAR(B67)</f>
        <v>2025</v>
      </c>
    </row>
    <row r="145" spans="1:2" hidden="1" x14ac:dyDescent="0.2">
      <c r="A145" s="3"/>
      <c r="B145" s="164" t="str">
        <f>D67</f>
        <v>yanvar</v>
      </c>
    </row>
    <row r="146" spans="1:2" hidden="1" x14ac:dyDescent="0.2">
      <c r="A146" s="221"/>
      <c r="B146" s="222">
        <f>DAY(B67)</f>
        <v>6</v>
      </c>
    </row>
    <row r="147" spans="1:2" ht="20.25" x14ac:dyDescent="0.2">
      <c r="A147" s="223" t="s">
        <v>437</v>
      </c>
      <c r="B147" s="224" t="s">
        <v>439</v>
      </c>
    </row>
    <row r="148" spans="1:2" ht="20.25" x14ac:dyDescent="0.2">
      <c r="A148" s="225" t="s">
        <v>438</v>
      </c>
      <c r="B148" s="226">
        <v>10000000</v>
      </c>
    </row>
    <row r="149" spans="1:2" ht="15.75" thickBot="1" x14ac:dyDescent="0.25">
      <c r="A149" s="227"/>
      <c r="B149" s="228"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148))&gt;6,ROMAN(MID(INT(B148),1,LEN(INT(B148))-6)+0)&amp;" million "&amp;ROMAN(MID(INT(B148),LEN(INT(B148))-5,3)+0)&amp;" ming "&amp;ROMAN(MID(INT(B148),LEN(INT(B148))-2,3)+0),IF(LEN(INT(B148))&gt;3,ROMAN(MID(INT(B148),1,LEN(INT(B148))-3)+0)&amp;" ming "&amp;ROMAN(MID(INT(B148),LEN(INT(B148))-2,3)+0),ROMAN(INT(B148)))),"DCCC","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o'n million so'm</v>
      </c>
    </row>
    <row r="150" spans="1:2" x14ac:dyDescent="0.2">
      <c r="A150" s="251" t="s">
        <v>356</v>
      </c>
      <c r="B150" s="251"/>
    </row>
    <row r="151" spans="1:2" x14ac:dyDescent="0.2">
      <c r="A151" s="3" t="s">
        <v>175</v>
      </c>
      <c r="B151" s="1" t="s">
        <v>380</v>
      </c>
    </row>
    <row r="152" spans="1:2" x14ac:dyDescent="0.2">
      <c r="A152" s="3"/>
      <c r="B152" s="1" t="s">
        <v>380</v>
      </c>
    </row>
    <row r="153" spans="1:2" x14ac:dyDescent="0.2">
      <c r="A153" s="3"/>
      <c r="B153" s="1" t="s">
        <v>380</v>
      </c>
    </row>
    <row r="154" spans="1:2" x14ac:dyDescent="0.2">
      <c r="A154" s="3" t="s">
        <v>395</v>
      </c>
      <c r="B154" s="1" t="s">
        <v>387</v>
      </c>
    </row>
    <row r="155" spans="1:2" x14ac:dyDescent="0.2">
      <c r="A155" s="3"/>
      <c r="B155" s="1" t="s">
        <v>388</v>
      </c>
    </row>
    <row r="156" spans="1:2" hidden="1" x14ac:dyDescent="0.2">
      <c r="A156" s="3" t="s">
        <v>179</v>
      </c>
      <c r="B156" s="1" t="s">
        <v>176</v>
      </c>
    </row>
    <row r="157" spans="1:2" ht="28.5" hidden="1" x14ac:dyDescent="0.2">
      <c r="A157" s="3" t="s">
        <v>180</v>
      </c>
      <c r="B157" s="1" t="s">
        <v>177</v>
      </c>
    </row>
    <row r="158" spans="1:2" hidden="1" x14ac:dyDescent="0.2">
      <c r="A158" s="3" t="s">
        <v>181</v>
      </c>
      <c r="B158" s="1" t="s">
        <v>25</v>
      </c>
    </row>
    <row r="159" spans="1:2" hidden="1" x14ac:dyDescent="0.2">
      <c r="A159" s="3" t="s">
        <v>182</v>
      </c>
      <c r="B159" s="1" t="s">
        <v>23</v>
      </c>
    </row>
    <row r="160" spans="1:2" hidden="1" x14ac:dyDescent="0.2">
      <c r="A160" s="3" t="s">
        <v>183</v>
      </c>
      <c r="B160" s="1" t="s">
        <v>178</v>
      </c>
    </row>
    <row r="161" spans="1:2" hidden="1" x14ac:dyDescent="0.2">
      <c r="A161" s="3" t="s">
        <v>184</v>
      </c>
      <c r="B161" s="2" t="s">
        <v>26</v>
      </c>
    </row>
    <row r="162" spans="1:2" hidden="1" x14ac:dyDescent="0.2">
      <c r="A162" s="3" t="s">
        <v>185</v>
      </c>
      <c r="B162" s="1" t="s">
        <v>335</v>
      </c>
    </row>
    <row r="163" spans="1:2" x14ac:dyDescent="0.2">
      <c r="A163" s="3" t="s">
        <v>401</v>
      </c>
      <c r="B163" s="1" t="s">
        <v>402</v>
      </c>
    </row>
    <row r="164" spans="1:2" x14ac:dyDescent="0.2">
      <c r="A164" s="3" t="s">
        <v>378</v>
      </c>
      <c r="B164" s="1" t="s">
        <v>398</v>
      </c>
    </row>
    <row r="165" spans="1:2" x14ac:dyDescent="0.2">
      <c r="A165" s="3" t="s">
        <v>395</v>
      </c>
      <c r="B165" s="1" t="s">
        <v>387</v>
      </c>
    </row>
    <row r="166" spans="1:2" x14ac:dyDescent="0.2">
      <c r="A166" s="3" t="s">
        <v>186</v>
      </c>
      <c r="B166" s="2" t="s">
        <v>348</v>
      </c>
    </row>
    <row r="167" spans="1:2" x14ac:dyDescent="0.2">
      <c r="A167" s="3" t="s">
        <v>187</v>
      </c>
      <c r="B167" s="2" t="s">
        <v>349</v>
      </c>
    </row>
    <row r="168" spans="1:2" x14ac:dyDescent="0.2">
      <c r="A168" s="3" t="s">
        <v>188</v>
      </c>
      <c r="B168" s="1" t="str">
        <f>B1</f>
        <v>№-TR</v>
      </c>
    </row>
    <row r="169" spans="1:2" x14ac:dyDescent="0.2">
      <c r="A169" s="3" t="s">
        <v>189</v>
      </c>
      <c r="B169" s="5" t="str">
        <f>B70</f>
        <v>6 yanvar 2025 y.</v>
      </c>
    </row>
  </sheetData>
  <mergeCells count="6">
    <mergeCell ref="A150:B150"/>
    <mergeCell ref="A98:B98"/>
    <mergeCell ref="A4:B4"/>
    <mergeCell ref="A57:B57"/>
    <mergeCell ref="A64:B64"/>
    <mergeCell ref="A92:B92"/>
  </mergeCells>
  <dataValidations count="13">
    <dataValidation type="list" allowBlank="1" showInputMessage="1" showErrorMessage="1" sqref="B30" xr:uid="{00000000-0002-0000-0300-000000000000}">
      <formula1>$C$30:$D$30</formula1>
    </dataValidation>
    <dataValidation type="list" allowBlank="1" showInputMessage="1" showErrorMessage="1" sqref="B94" xr:uid="{00000000-0002-0000-0300-000001000000}">
      <formula1>$C$94:$D$94</formula1>
    </dataValidation>
    <dataValidation type="list" allowBlank="1" showInputMessage="1" showErrorMessage="1" sqref="B104" xr:uid="{00000000-0002-0000-0300-000002000000}">
      <formula1>$C$104:$D$104</formula1>
    </dataValidation>
    <dataValidation type="list" allowBlank="1" showInputMessage="1" showErrorMessage="1" sqref="B78" xr:uid="{00000000-0002-0000-0300-000003000000}">
      <formula1>$C$78:$D$78</formula1>
    </dataValidation>
    <dataValidation type="list" allowBlank="1" showInputMessage="1" showErrorMessage="1" sqref="C130" xr:uid="{00000000-0002-0000-0300-000004000000}">
      <formula1>$D$130:$E$130</formula1>
    </dataValidation>
    <dataValidation type="list" allowBlank="1" showInputMessage="1" showErrorMessage="1" sqref="B93" xr:uid="{00000000-0002-0000-0300-000005000000}">
      <formula1>$C$93:$D$93</formula1>
    </dataValidation>
    <dataValidation type="list" allowBlank="1" showInputMessage="1" showErrorMessage="1" sqref="B95" xr:uid="{00000000-0002-0000-0300-000006000000}">
      <formula1>$C$95:$D$95</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4" xr:uid="{00000000-0002-0000-0300-00000A000000}">
      <formula1>$BJ$84:$BK$84</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x14ac:dyDescent="0.25"/>
  <cols>
    <col min="1" max="1" width="9.140625" style="16"/>
    <col min="2" max="2" width="10.140625" style="16" bestFit="1" customWidth="1"/>
    <col min="3" max="3" width="16.5703125" style="16" customWidth="1"/>
    <col min="4" max="4" width="17.140625" style="16" customWidth="1"/>
    <col min="5" max="5" width="17.85546875" style="16" customWidth="1"/>
    <col min="6" max="6" width="20.85546875" style="16" customWidth="1"/>
    <col min="7" max="7" width="10.140625" style="16" customWidth="1" outlineLevel="1"/>
    <col min="8" max="16384" width="9.140625" style="16"/>
  </cols>
  <sheetData>
    <row r="1" spans="1:8" x14ac:dyDescent="0.25">
      <c r="A1" s="38"/>
      <c r="B1" s="38"/>
      <c r="C1" s="38"/>
      <c r="D1" s="38"/>
      <c r="E1" s="263" t="s">
        <v>16</v>
      </c>
      <c r="F1" s="263"/>
    </row>
    <row r="2" spans="1:8" x14ac:dyDescent="0.25">
      <c r="A2" s="38"/>
      <c r="B2" s="38"/>
      <c r="C2" s="38"/>
      <c r="D2" s="38"/>
      <c r="E2" s="38"/>
      <c r="F2" s="39" t="str">
        <f>"к договору микрозайма "&amp;'Общие данные'!B74&amp;""</f>
        <v>к договору микрозайма 6 yanvar 2025 y.dan №-TR</v>
      </c>
    </row>
    <row r="3" spans="1:8" ht="6.75" customHeight="1" x14ac:dyDescent="0.25">
      <c r="A3" s="38"/>
      <c r="B3" s="38"/>
      <c r="C3" s="38"/>
      <c r="D3" s="38"/>
      <c r="E3" s="38"/>
      <c r="F3" s="38"/>
    </row>
    <row r="4" spans="1:8" x14ac:dyDescent="0.25">
      <c r="A4" s="264" t="s">
        <v>17</v>
      </c>
      <c r="B4" s="264"/>
      <c r="C4" s="264"/>
      <c r="D4" s="264"/>
      <c r="E4" s="264"/>
      <c r="F4" s="264"/>
    </row>
    <row r="5" spans="1:8" ht="7.5" customHeight="1" x14ac:dyDescent="0.25"/>
    <row r="6" spans="1:8" x14ac:dyDescent="0.25">
      <c r="A6" s="265" t="s">
        <v>15</v>
      </c>
      <c r="B6" s="266" t="s">
        <v>9</v>
      </c>
      <c r="C6" s="266" t="s">
        <v>10</v>
      </c>
      <c r="D6" s="267" t="s">
        <v>11</v>
      </c>
      <c r="E6" s="267"/>
      <c r="F6" s="267"/>
    </row>
    <row r="7" spans="1:8" s="17" customFormat="1" x14ac:dyDescent="0.25">
      <c r="A7" s="265"/>
      <c r="B7" s="266"/>
      <c r="C7" s="266"/>
      <c r="D7" s="18" t="s">
        <v>12</v>
      </c>
      <c r="E7" s="18" t="s">
        <v>13</v>
      </c>
      <c r="F7" s="18" t="s">
        <v>14</v>
      </c>
    </row>
    <row r="8" spans="1:8" x14ac:dyDescent="0.25">
      <c r="A8" s="19">
        <v>1</v>
      </c>
      <c r="B8" s="34">
        <f>'График дифференц'!B8</f>
        <v>45691</v>
      </c>
      <c r="C8" s="35">
        <f>'Общие данные'!B76</f>
        <v>35000000</v>
      </c>
      <c r="D8" s="35">
        <f>IF(A8&lt;'Общие данные'!$B$82,'График аннуитет.'!F8-'График аннуитет.'!E8,'График аннуитет.'!C8)</f>
        <v>925041</v>
      </c>
      <c r="E8" s="35">
        <f>ROUND(C8*'Общие данные'!$B$85/H8,2)*'График аннуитет.'!G8</f>
        <v>1610959</v>
      </c>
      <c r="F8" s="35">
        <f>'Общие данные'!B91</f>
        <v>2536000</v>
      </c>
      <c r="G8" s="16">
        <f>B8-'Общие данные'!B67</f>
        <v>28</v>
      </c>
      <c r="H8" s="16">
        <f>DATE(YEAR(B8),12,31)-DATE(YEAR(B8),1,1)+1</f>
        <v>365</v>
      </c>
    </row>
    <row r="9" spans="1:8" x14ac:dyDescent="0.25">
      <c r="A9" s="19">
        <v>2</v>
      </c>
      <c r="B9" s="34">
        <f>'График дифференц'!B9</f>
        <v>45719</v>
      </c>
      <c r="C9" s="35">
        <f t="shared" ref="C9:C30" si="0">C8-D8</f>
        <v>34074959</v>
      </c>
      <c r="D9" s="35">
        <f>IF(A9&lt;'Общие данные'!$B$82,'График аннуитет.'!F9-'График аннуитет.'!E9,'График аннуитет.'!C9)</f>
        <v>967618.3600000001</v>
      </c>
      <c r="E9" s="35">
        <f>ROUND(C9*'Общие данные'!$B$85/H9,2)*'График аннуитет.'!G9</f>
        <v>1568381.64</v>
      </c>
      <c r="F9" s="35">
        <f>IF(A9&lt;'Общие данные'!$B$82,'График аннуитет.'!F8,'График аннуитет.'!D9+'График аннуитет.'!E9)</f>
        <v>2536000</v>
      </c>
      <c r="G9" s="16">
        <f>B9-B8</f>
        <v>28</v>
      </c>
      <c r="H9" s="16">
        <f t="shared" ref="H9:H31" si="1">DATE(YEAR(B9),12,31)-DATE(YEAR(B9),1,1)+1</f>
        <v>365</v>
      </c>
    </row>
    <row r="10" spans="1:8" x14ac:dyDescent="0.25">
      <c r="A10" s="19">
        <v>3</v>
      </c>
      <c r="B10" s="34">
        <f>'График дифференц'!B10</f>
        <v>45748</v>
      </c>
      <c r="C10" s="35">
        <f t="shared" si="0"/>
        <v>33107340.640000001</v>
      </c>
      <c r="D10" s="35">
        <f>IF(A10&lt;'Общие данные'!$B$82,'График аннуитет.'!F10-'График аннуитет.'!E10,'График аннуитет.'!C10)</f>
        <v>957732.13000000012</v>
      </c>
      <c r="E10" s="35">
        <f>ROUND(C10*'Общие данные'!$B$85/H10,2)*'График аннуитет.'!G10</f>
        <v>1578267.8699999999</v>
      </c>
      <c r="F10" s="35">
        <f>IF(A10&lt;'Общие данные'!$B$82,'График аннуитет.'!F9,'График аннуитет.'!D10+'График аннуитет.'!E10)</f>
        <v>2536000</v>
      </c>
      <c r="G10" s="16">
        <f t="shared" ref="G10:G24" si="2">B10-B9</f>
        <v>29</v>
      </c>
      <c r="H10" s="16">
        <f t="shared" si="1"/>
        <v>365</v>
      </c>
    </row>
    <row r="11" spans="1:8" x14ac:dyDescent="0.25">
      <c r="A11" s="19">
        <v>4</v>
      </c>
      <c r="B11" s="34">
        <f>'График дифференц'!B11</f>
        <v>45778</v>
      </c>
      <c r="C11" s="35">
        <f t="shared" si="0"/>
        <v>32149608.510000002</v>
      </c>
      <c r="D11" s="35">
        <f>IF(A11&lt;'Общие данные'!$B$82,'График аннуитет.'!F11-'График аннуитет.'!E11,'График аннуитет.'!C11)</f>
        <v>950539.90000000014</v>
      </c>
      <c r="E11" s="35">
        <f>ROUND(C11*'Общие данные'!$B$85/H11,2)*'График аннуитет.'!G11</f>
        <v>1585460.0999999999</v>
      </c>
      <c r="F11" s="35">
        <f>IF(A11&lt;'Общие данные'!$B$82,'График аннуитет.'!F10,'График аннуитет.'!D11+'График аннуитет.'!E11)</f>
        <v>2536000</v>
      </c>
      <c r="G11" s="16">
        <f t="shared" si="2"/>
        <v>30</v>
      </c>
      <c r="H11" s="16">
        <f t="shared" si="1"/>
        <v>365</v>
      </c>
    </row>
    <row r="12" spans="1:8" x14ac:dyDescent="0.25">
      <c r="A12" s="19">
        <v>5</v>
      </c>
      <c r="B12" s="34">
        <f>'График дифференц'!B12</f>
        <v>45810</v>
      </c>
      <c r="C12" s="35">
        <f t="shared" si="0"/>
        <v>31199068.610000003</v>
      </c>
      <c r="D12" s="35">
        <f>IF(A12&lt;'Общие данные'!$B$82,'График аннуитет.'!F12-'График аннуитет.'!E12,'График аннуитет.'!C12)</f>
        <v>894843.52</v>
      </c>
      <c r="E12" s="35">
        <f>ROUND(C12*'Общие данные'!$B$85/H12,2)*'График аннуитет.'!G12</f>
        <v>1641156.48</v>
      </c>
      <c r="F12" s="35">
        <f>IF(A12&lt;'Общие данные'!$B$82,'График аннуитет.'!F11,'График аннуитет.'!D12+'График аннуитет.'!E12)</f>
        <v>2536000</v>
      </c>
      <c r="G12" s="16">
        <f t="shared" si="2"/>
        <v>32</v>
      </c>
      <c r="H12" s="16">
        <f t="shared" si="1"/>
        <v>365</v>
      </c>
    </row>
    <row r="13" spans="1:8" x14ac:dyDescent="0.25">
      <c r="A13" s="19">
        <v>6</v>
      </c>
      <c r="B13" s="34">
        <f>'График дифференц'!B13</f>
        <v>45839</v>
      </c>
      <c r="C13" s="35">
        <f t="shared" si="0"/>
        <v>30304225.090000004</v>
      </c>
      <c r="D13" s="35">
        <f>IF(A13&lt;'Общие данные'!$B$82,'График аннуитет.'!F13-'График аннуитет.'!E13,'График аннуитет.'!C13)</f>
        <v>1091360.3599999999</v>
      </c>
      <c r="E13" s="35">
        <f>ROUND(C13*'Общие данные'!$B$85/H13,2)*'График аннуитет.'!G13</f>
        <v>1444639.6400000001</v>
      </c>
      <c r="F13" s="35">
        <f>IF(A13&lt;'Общие данные'!$B$82,'График аннуитет.'!F12,'График аннуитет.'!D13+'График аннуитет.'!E13)</f>
        <v>2536000</v>
      </c>
      <c r="G13" s="16">
        <f t="shared" si="2"/>
        <v>29</v>
      </c>
      <c r="H13" s="16">
        <f t="shared" si="1"/>
        <v>365</v>
      </c>
    </row>
    <row r="14" spans="1:8" x14ac:dyDescent="0.25">
      <c r="A14" s="19">
        <v>7</v>
      </c>
      <c r="B14" s="34">
        <f>'График дифференц'!B14</f>
        <v>45870</v>
      </c>
      <c r="C14" s="35">
        <f t="shared" si="0"/>
        <v>29212864.730000004</v>
      </c>
      <c r="D14" s="35">
        <f>IF(A14&lt;'Общие данные'!$B$82,'График аннуитет.'!F14-'График аннуитет.'!E14,'График аннуитет.'!C14)</f>
        <v>1047344.3499999999</v>
      </c>
      <c r="E14" s="35">
        <f>ROUND(C14*'Общие данные'!$B$85/H14,2)*'График аннуитет.'!G14</f>
        <v>1488655.6500000001</v>
      </c>
      <c r="F14" s="35">
        <f>IF(A14&lt;'Общие данные'!$B$82,'График аннуитет.'!F13,'График аннуитет.'!D14+'График аннуитет.'!E14)</f>
        <v>2536000</v>
      </c>
      <c r="G14" s="16">
        <f t="shared" si="2"/>
        <v>31</v>
      </c>
      <c r="H14" s="16">
        <f t="shared" si="1"/>
        <v>365</v>
      </c>
    </row>
    <row r="15" spans="1:8" x14ac:dyDescent="0.25">
      <c r="A15" s="19">
        <v>8</v>
      </c>
      <c r="B15" s="34">
        <f>'График дифференц'!B15</f>
        <v>45901</v>
      </c>
      <c r="C15" s="35">
        <f t="shared" si="0"/>
        <v>28165520.380000003</v>
      </c>
      <c r="D15" s="35">
        <f>IF(A15&lt;'Общие данные'!$B$82,'График аннуитет.'!F15-'График аннуитет.'!E15,'График аннуитет.'!C15)</f>
        <v>1100715.81</v>
      </c>
      <c r="E15" s="35">
        <f>ROUND(C15*'Общие данные'!$B$85/H15,2)*'График аннуитет.'!G15</f>
        <v>1435284.19</v>
      </c>
      <c r="F15" s="35">
        <f>IF(A15&lt;'Общие данные'!$B$82,'График аннуитет.'!F14,'График аннуитет.'!D15+'График аннуитет.'!E15)</f>
        <v>2536000</v>
      </c>
      <c r="G15" s="16">
        <f t="shared" si="2"/>
        <v>31</v>
      </c>
      <c r="H15" s="16">
        <f t="shared" si="1"/>
        <v>365</v>
      </c>
    </row>
    <row r="16" spans="1:8" x14ac:dyDescent="0.25">
      <c r="A16" s="19">
        <v>9</v>
      </c>
      <c r="B16" s="34">
        <f>'График дифференц'!B16</f>
        <v>45931</v>
      </c>
      <c r="C16" s="35">
        <f t="shared" si="0"/>
        <v>27064804.570000004</v>
      </c>
      <c r="D16" s="35">
        <f>IF(A16&lt;'Общие данные'!$B$82,'График аннуитет.'!F16-'График аннуитет.'!E16,'График аннуитет.'!C16)</f>
        <v>1201297.3</v>
      </c>
      <c r="E16" s="35">
        <f>ROUND(C16*'Общие данные'!$B$85/H16,2)*'График аннуитет.'!G16</f>
        <v>1334702.7</v>
      </c>
      <c r="F16" s="35">
        <f>IF(A16&lt;'Общие данные'!$B$82,'График аннуитет.'!F15,'График аннуитет.'!D16+'График аннуитет.'!E16)</f>
        <v>2536000</v>
      </c>
      <c r="G16" s="16">
        <f t="shared" si="2"/>
        <v>30</v>
      </c>
      <c r="H16" s="16">
        <f t="shared" si="1"/>
        <v>365</v>
      </c>
    </row>
    <row r="17" spans="1:8" x14ac:dyDescent="0.25">
      <c r="A17" s="19">
        <v>10</v>
      </c>
      <c r="B17" s="34">
        <f>'График дифференц'!B17</f>
        <v>45964</v>
      </c>
      <c r="C17" s="35">
        <f t="shared" si="0"/>
        <v>25863507.270000003</v>
      </c>
      <c r="D17" s="35">
        <f>IF(A17&lt;'Общие данные'!$B$82,'График аннуитет.'!F17-'График аннуитет.'!E17,'График аннуитет.'!C17)</f>
        <v>1132993.45</v>
      </c>
      <c r="E17" s="35">
        <f>ROUND(C17*'Общие данные'!$B$85/H17,2)*'График аннуитет.'!G17</f>
        <v>1403006.55</v>
      </c>
      <c r="F17" s="35">
        <f>IF(A17&lt;'Общие данные'!$B$82,'График аннуитет.'!F16,'График аннуитет.'!D17+'График аннуитет.'!E17)</f>
        <v>2536000</v>
      </c>
      <c r="G17" s="16">
        <f t="shared" si="2"/>
        <v>33</v>
      </c>
      <c r="H17" s="16">
        <f t="shared" si="1"/>
        <v>365</v>
      </c>
    </row>
    <row r="18" spans="1:8" x14ac:dyDescent="0.25">
      <c r="A18" s="19">
        <v>11</v>
      </c>
      <c r="B18" s="34">
        <f>'График дифференц'!B18</f>
        <v>45992</v>
      </c>
      <c r="C18" s="35">
        <f t="shared" si="0"/>
        <v>24730513.820000004</v>
      </c>
      <c r="D18" s="35">
        <f>IF(A18&lt;'Общие данные'!$B$82,'График аннуитет.'!F18-'График аннуитет.'!E18,'График аннуитет.'!C18)</f>
        <v>1397718.8</v>
      </c>
      <c r="E18" s="35">
        <f>ROUND(C18*'Общие данные'!$B$85/H18,2)*'График аннуитет.'!G18</f>
        <v>1138281.2</v>
      </c>
      <c r="F18" s="35">
        <f>IF(A18&lt;'Общие данные'!$B$82,'График аннуитет.'!F17,'График аннуитет.'!D18+'График аннуитет.'!E18)</f>
        <v>2536000</v>
      </c>
      <c r="G18" s="16">
        <f t="shared" si="2"/>
        <v>28</v>
      </c>
      <c r="H18" s="16">
        <f t="shared" si="1"/>
        <v>365</v>
      </c>
    </row>
    <row r="19" spans="1:8" x14ac:dyDescent="0.25">
      <c r="A19" s="19">
        <v>12</v>
      </c>
      <c r="B19" s="34">
        <f>'График дифференц'!B19</f>
        <v>46023</v>
      </c>
      <c r="C19" s="35">
        <f t="shared" si="0"/>
        <v>23332795.020000003</v>
      </c>
      <c r="D19" s="35">
        <f>IF(A19&lt;'Общие данные'!$B$82,'График аннуитет.'!F19-'График аннуитет.'!E19,'График аннуитет.'!C19)</f>
        <v>1346986.32</v>
      </c>
      <c r="E19" s="35">
        <f>ROUND(C19*'Общие данные'!$B$85/H19,2)*'График аннуитет.'!G19</f>
        <v>1189013.68</v>
      </c>
      <c r="F19" s="35">
        <f>IF(A19&lt;'Общие данные'!$B$82,'График аннуитет.'!F18,'График аннуитет.'!D19+'График аннуитет.'!E19)</f>
        <v>2536000</v>
      </c>
      <c r="G19" s="16">
        <f>B19-B18</f>
        <v>31</v>
      </c>
      <c r="H19" s="16">
        <f t="shared" si="1"/>
        <v>365</v>
      </c>
    </row>
    <row r="20" spans="1:8" x14ac:dyDescent="0.25">
      <c r="A20" s="19">
        <v>13</v>
      </c>
      <c r="B20" s="34">
        <f>'График дифференц'!B20</f>
        <v>46055</v>
      </c>
      <c r="C20" s="35">
        <f t="shared" si="0"/>
        <v>21985808.700000003</v>
      </c>
      <c r="D20" s="35">
        <f>IF(A20&lt;'Общие данные'!$B$82,'График аннуитет.'!F20-'График аннуитет.'!E20,'График аннуитет.'!C20)</f>
        <v>1379486.08</v>
      </c>
      <c r="E20" s="35">
        <f>ROUND(C20*'Общие данные'!$B$85/H20,2)*'График аннуитет.'!G20</f>
        <v>1156513.92</v>
      </c>
      <c r="F20" s="35">
        <f>IF(A20&lt;'Общие данные'!$B$82,'График аннуитет.'!F19,'График аннуитет.'!D20+'График аннуитет.'!E20)</f>
        <v>2536000</v>
      </c>
      <c r="G20" s="16">
        <f t="shared" si="2"/>
        <v>32</v>
      </c>
      <c r="H20" s="16">
        <f t="shared" si="1"/>
        <v>365</v>
      </c>
    </row>
    <row r="21" spans="1:8" x14ac:dyDescent="0.25">
      <c r="A21" s="19">
        <v>14</v>
      </c>
      <c r="B21" s="34">
        <f>'График дифференц'!B21</f>
        <v>46083</v>
      </c>
      <c r="C21" s="35">
        <f t="shared" si="0"/>
        <v>20606322.620000005</v>
      </c>
      <c r="D21" s="35">
        <f>IF(A21&lt;'Общие данные'!$B$82,'График аннуитет.'!F21-'График аннуитет.'!E21,'График аннуитет.'!C21)</f>
        <v>1587544.52</v>
      </c>
      <c r="E21" s="35">
        <f>ROUND(C21*'Общие данные'!$B$85/H21,2)*'График аннуитет.'!G21</f>
        <v>948455.4800000001</v>
      </c>
      <c r="F21" s="35">
        <f>IF(A21&lt;'Общие данные'!$B$82,'График аннуитет.'!F20,'График аннуитет.'!D21+'График аннуитет.'!E21)</f>
        <v>2536000</v>
      </c>
      <c r="G21" s="16">
        <f t="shared" si="2"/>
        <v>28</v>
      </c>
      <c r="H21" s="16">
        <f t="shared" si="1"/>
        <v>365</v>
      </c>
    </row>
    <row r="22" spans="1:8" x14ac:dyDescent="0.25">
      <c r="A22" s="19">
        <v>15</v>
      </c>
      <c r="B22" s="34">
        <f>'График дифференц'!B22</f>
        <v>46113</v>
      </c>
      <c r="C22" s="35">
        <f t="shared" si="0"/>
        <v>19018778.100000005</v>
      </c>
      <c r="D22" s="35">
        <f>IF(A22&lt;'Общие данные'!$B$82,'График аннуитет.'!F22-'График аннуитет.'!E22,'График аннуитет.'!C22)</f>
        <v>1598087.7999999998</v>
      </c>
      <c r="E22" s="35">
        <f>ROUND(C22*'Общие данные'!$B$85/H22,2)*'График аннуитет.'!G22</f>
        <v>937912.20000000007</v>
      </c>
      <c r="F22" s="35">
        <f>IF(A22&lt;'Общие данные'!$B$82,'График аннуитет.'!F21,'График аннуитет.'!D22+'График аннуитет.'!E22)</f>
        <v>2536000</v>
      </c>
      <c r="G22" s="16">
        <f t="shared" si="2"/>
        <v>30</v>
      </c>
      <c r="H22" s="16">
        <f t="shared" si="1"/>
        <v>365</v>
      </c>
    </row>
    <row r="23" spans="1:8" x14ac:dyDescent="0.25">
      <c r="A23" s="19">
        <v>16</v>
      </c>
      <c r="B23" s="34">
        <f>'График дифференц'!B23</f>
        <v>46143</v>
      </c>
      <c r="C23" s="35">
        <f t="shared" si="0"/>
        <v>17420690.300000004</v>
      </c>
      <c r="D23" s="35">
        <f>IF(A23&lt;'Общие данные'!$B$82,'График аннуитет.'!F23-'График аннуитет.'!E23,'График аннуитет.'!C23)</f>
        <v>1676897.5</v>
      </c>
      <c r="E23" s="35">
        <f>ROUND(C23*'Общие данные'!$B$85/H23,2)*'График аннуитет.'!G23</f>
        <v>859102.5</v>
      </c>
      <c r="F23" s="35">
        <f>IF(A23&lt;'Общие данные'!$B$82,'График аннуитет.'!F22,'График аннуитет.'!D23+'График аннуитет.'!E23)</f>
        <v>2536000</v>
      </c>
      <c r="G23" s="16">
        <f t="shared" si="2"/>
        <v>30</v>
      </c>
      <c r="H23" s="16">
        <f t="shared" si="1"/>
        <v>365</v>
      </c>
    </row>
    <row r="24" spans="1:8" x14ac:dyDescent="0.25">
      <c r="A24" s="19">
        <v>17</v>
      </c>
      <c r="B24" s="34">
        <f>'График дифференц'!B24</f>
        <v>46174</v>
      </c>
      <c r="C24" s="35">
        <f t="shared" si="0"/>
        <v>15743792.800000004</v>
      </c>
      <c r="D24" s="35">
        <f>IF(A24&lt;'Общие данные'!$B$82,'График аннуитет.'!F24-'График аннуитет.'!E24,'График аннуитет.'!C24)</f>
        <v>1733713.49</v>
      </c>
      <c r="E24" s="35">
        <f>ROUND(C24*'Общие данные'!$B$85/H24,2)*'График аннуитет.'!G24</f>
        <v>802286.51</v>
      </c>
      <c r="F24" s="35">
        <f>IF(A24&lt;'Общие данные'!$B$82,'График аннуитет.'!F23,'График аннуитет.'!D24+'График аннуитет.'!E24)</f>
        <v>2536000</v>
      </c>
      <c r="G24" s="16">
        <f t="shared" si="2"/>
        <v>31</v>
      </c>
      <c r="H24" s="16">
        <f t="shared" si="1"/>
        <v>365</v>
      </c>
    </row>
    <row r="25" spans="1:8" x14ac:dyDescent="0.25">
      <c r="A25" s="19">
        <v>18</v>
      </c>
      <c r="B25" s="34">
        <f>'График дифференц'!B25</f>
        <v>46204</v>
      </c>
      <c r="C25" s="35">
        <f t="shared" si="0"/>
        <v>14010079.310000004</v>
      </c>
      <c r="D25" s="35">
        <f>IF(A25&lt;'Общие данные'!$B$82,'График аннуитет.'!F25-'График аннуитет.'!E25,'График аннуитет.'!C25)</f>
        <v>1845091.9</v>
      </c>
      <c r="E25" s="35">
        <f>ROUND(C25*'Общие данные'!$B$85/H25,2)*'График аннуитет.'!G25</f>
        <v>690908.1</v>
      </c>
      <c r="F25" s="35">
        <f>IF(A25&lt;'Общие данные'!$B$82,'График аннуитет.'!F24,'График аннуитет.'!D25+'График аннуитет.'!E25)</f>
        <v>2536000</v>
      </c>
      <c r="G25" s="16">
        <f>B25-B24</f>
        <v>30</v>
      </c>
      <c r="H25" s="16">
        <f t="shared" si="1"/>
        <v>365</v>
      </c>
    </row>
    <row r="26" spans="1:8" x14ac:dyDescent="0.25">
      <c r="A26" s="19">
        <v>19</v>
      </c>
      <c r="B26" s="34">
        <f>'График дифференц'!B26</f>
        <v>46237</v>
      </c>
      <c r="C26" s="35">
        <f t="shared" si="0"/>
        <v>12164987.410000004</v>
      </c>
      <c r="D26" s="35">
        <f>IF(A26&lt;'Общие данные'!$B$82,'График аннуитет.'!F26-'График аннуитет.'!E26,'График аннуитет.'!C26)</f>
        <v>1876091.08</v>
      </c>
      <c r="E26" s="35">
        <f>ROUND(C26*'Общие данные'!$B$85/H26,2)*'График аннуитет.'!G26</f>
        <v>659908.92000000004</v>
      </c>
      <c r="F26" s="35">
        <f>IF(A26&lt;'Общие данные'!$B$82,'График аннуитет.'!F25,'График аннуитет.'!D26+'График аннуитет.'!E26)</f>
        <v>2536000</v>
      </c>
      <c r="G26" s="16">
        <f t="shared" ref="G26:G30" si="3">B26-B25</f>
        <v>33</v>
      </c>
      <c r="H26" s="16">
        <f t="shared" si="1"/>
        <v>365</v>
      </c>
    </row>
    <row r="27" spans="1:8" x14ac:dyDescent="0.25">
      <c r="A27" s="19">
        <v>20</v>
      </c>
      <c r="B27" s="34">
        <f>'График дифференц'!B27</f>
        <v>46266</v>
      </c>
      <c r="C27" s="35">
        <f t="shared" si="0"/>
        <v>10288896.330000004</v>
      </c>
      <c r="D27" s="35">
        <f>IF(A27&lt;'Общие данные'!$B$82,'График аннуитет.'!F27-'График аннуитет.'!E27,'График аннуитет.'!C27)</f>
        <v>2045515.75</v>
      </c>
      <c r="E27" s="35">
        <f>ROUND(C27*'Общие данные'!$B$85/H27,2)*'График аннуитет.'!G27</f>
        <v>490484.25</v>
      </c>
      <c r="F27" s="35">
        <f>IF(A27&lt;'Общие данные'!$B$82,'График аннуитет.'!F26,'График аннуитет.'!D27+'График аннуитет.'!E27)</f>
        <v>2536000</v>
      </c>
      <c r="G27" s="16">
        <f t="shared" si="3"/>
        <v>29</v>
      </c>
      <c r="H27" s="16">
        <f t="shared" si="1"/>
        <v>365</v>
      </c>
    </row>
    <row r="28" spans="1:8" x14ac:dyDescent="0.25">
      <c r="A28" s="19">
        <v>21</v>
      </c>
      <c r="B28" s="34">
        <f>'График дифференц'!B28</f>
        <v>46296</v>
      </c>
      <c r="C28" s="35">
        <f t="shared" si="0"/>
        <v>8243380.5800000038</v>
      </c>
      <c r="D28" s="35">
        <f>IF(A28&lt;'Общие данные'!$B$82,'График аннуитет.'!F28-'График аннуитет.'!E28,'График аннуитет.'!C28)</f>
        <v>2129477.2000000002</v>
      </c>
      <c r="E28" s="35">
        <f>ROUND(C28*'Общие данные'!$B$85/H28,2)*'График аннуитет.'!G28</f>
        <v>406522.8</v>
      </c>
      <c r="F28" s="35">
        <f>IF(A28&lt;'Общие данные'!$B$82,'График аннуитет.'!F27,'График аннуитет.'!D28+'График аннуитет.'!E28)</f>
        <v>2536000</v>
      </c>
      <c r="G28" s="16">
        <f t="shared" si="3"/>
        <v>30</v>
      </c>
      <c r="H28" s="16">
        <f t="shared" si="1"/>
        <v>365</v>
      </c>
    </row>
    <row r="29" spans="1:8" x14ac:dyDescent="0.25">
      <c r="A29" s="19">
        <v>22</v>
      </c>
      <c r="B29" s="34">
        <f>'График дифференц'!B29</f>
        <v>46328</v>
      </c>
      <c r="C29" s="35">
        <f t="shared" si="0"/>
        <v>6113903.3800000036</v>
      </c>
      <c r="D29" s="35">
        <f>IF(A29&lt;'Общие данные'!$B$82,'График аннуитет.'!F29-'График аннуитет.'!E29,'График аннуитет.'!C29)</f>
        <v>2214392</v>
      </c>
      <c r="E29" s="35">
        <f>ROUND(C29*'Общие данные'!$B$85/H29,2)*'График аннуитет.'!G29</f>
        <v>321608</v>
      </c>
      <c r="F29" s="35">
        <f>IF(A29&lt;'Общие данные'!$B$82,'График аннуитет.'!F28,'График аннуитет.'!D29+'График аннуитет.'!E29)</f>
        <v>2536000</v>
      </c>
      <c r="G29" s="16">
        <f t="shared" si="3"/>
        <v>32</v>
      </c>
      <c r="H29" s="16">
        <f t="shared" si="1"/>
        <v>365</v>
      </c>
    </row>
    <row r="30" spans="1:8" x14ac:dyDescent="0.25">
      <c r="A30" s="19">
        <v>23</v>
      </c>
      <c r="B30" s="34">
        <f>'График дифференц'!B30</f>
        <v>46357</v>
      </c>
      <c r="C30" s="35">
        <f t="shared" si="0"/>
        <v>3899511.3800000036</v>
      </c>
      <c r="D30" s="35">
        <f>IF(A30&lt;'Общие данные'!$B$82,'График аннуитет.'!F30-'График аннуитет.'!E30,'График аннуитет.'!C30)</f>
        <v>2350105.36</v>
      </c>
      <c r="E30" s="35">
        <f>ROUND(C30*'Общие данные'!$B$85/H30,2)*'График аннуитет.'!G30</f>
        <v>185894.63999999998</v>
      </c>
      <c r="F30" s="35">
        <f>IF(A30&lt;'Общие данные'!$B$82,'График аннуитет.'!F29,'График аннуитет.'!D30+'График аннуитет.'!E30)</f>
        <v>2536000</v>
      </c>
      <c r="G30" s="16">
        <f t="shared" si="3"/>
        <v>29</v>
      </c>
      <c r="H30" s="16">
        <f t="shared" si="1"/>
        <v>365</v>
      </c>
    </row>
    <row r="31" spans="1:8" x14ac:dyDescent="0.25">
      <c r="A31" s="19">
        <v>24</v>
      </c>
      <c r="B31" s="34">
        <f>'График дифференц'!B31</f>
        <v>46393</v>
      </c>
      <c r="C31" s="35">
        <f t="shared" ref="C31" si="4">C30-D30</f>
        <v>1549406.0200000037</v>
      </c>
      <c r="D31" s="35">
        <f>IF(A31&lt;'Общие данные'!$B$82,'График аннуитет.'!F31-'График аннуитет.'!E31,'График аннуитет.'!C31)</f>
        <v>1549406.0200000037</v>
      </c>
      <c r="E31" s="35">
        <f>ROUND(C31*'Общие данные'!$B$85/H31,2)*'График аннуитет.'!G31</f>
        <v>91690.92</v>
      </c>
      <c r="F31" s="35">
        <f>IF(A31&lt;'Общие данные'!$B$82,'График аннуитет.'!F30,'График аннуитет.'!D31+'График аннуитет.'!E31)</f>
        <v>1641096.9400000037</v>
      </c>
      <c r="G31" s="16">
        <f>B31-B30</f>
        <v>36</v>
      </c>
      <c r="H31" s="16">
        <f t="shared" si="1"/>
        <v>365</v>
      </c>
    </row>
    <row r="32" spans="1:8" x14ac:dyDescent="0.25">
      <c r="A32" s="19">
        <f>1+A31</f>
        <v>25</v>
      </c>
      <c r="B32" s="34" t="b">
        <f>'График дифференц'!B32</f>
        <v>0</v>
      </c>
      <c r="C32" s="35">
        <f t="shared" ref="C32:C43" si="5">C31-D31</f>
        <v>0</v>
      </c>
      <c r="D32" s="35">
        <f>IF(A32&lt;'Общие данные'!$B$82,'График аннуитет.'!F32-'График аннуитет.'!E32,'График аннуитет.'!C32)</f>
        <v>0</v>
      </c>
      <c r="E32" s="35">
        <f>ROUND(C32*'Общие данные'!$B$85/H32,2)*'График аннуитет.'!G32</f>
        <v>0</v>
      </c>
      <c r="F32" s="35">
        <f>IF(A32&lt;'Общие данные'!$B$82,'График аннуитет.'!F31,'График аннуитет.'!D32+'График аннуитет.'!E32)</f>
        <v>0</v>
      </c>
      <c r="G32" s="16">
        <f t="shared" ref="G32:G43" si="6">B32-B31</f>
        <v>-46393</v>
      </c>
      <c r="H32" s="16">
        <f t="shared" ref="H32:H43" si="7">DATE(YEAR(B32),12,31)-DATE(YEAR(B32),1,1)+1</f>
        <v>366</v>
      </c>
    </row>
    <row r="33" spans="1:8" x14ac:dyDescent="0.25">
      <c r="A33" s="19">
        <f t="shared" ref="A33:A43" si="8">1+A32</f>
        <v>26</v>
      </c>
      <c r="B33" s="34" t="b">
        <f>'График дифференц'!B33</f>
        <v>0</v>
      </c>
      <c r="C33" s="35">
        <f t="shared" si="5"/>
        <v>0</v>
      </c>
      <c r="D33" s="35">
        <f>IF(A33&lt;'Общие данные'!$B$82,'График аннуитет.'!F33-'График аннуитет.'!E33,'График аннуитет.'!C33)</f>
        <v>0</v>
      </c>
      <c r="E33" s="35">
        <f>ROUND(C33*'Общие данные'!$B$85/H33,2)*'График аннуитет.'!G33</f>
        <v>0</v>
      </c>
      <c r="F33" s="35">
        <f>IF(A33&lt;'Общие данные'!$B$82,'График аннуитет.'!F32,'График аннуитет.'!D33+'График аннуитет.'!E33)</f>
        <v>0</v>
      </c>
      <c r="G33" s="16">
        <f t="shared" si="6"/>
        <v>0</v>
      </c>
      <c r="H33" s="16">
        <f t="shared" si="7"/>
        <v>366</v>
      </c>
    </row>
    <row r="34" spans="1:8" x14ac:dyDescent="0.25">
      <c r="A34" s="19">
        <f t="shared" si="8"/>
        <v>27</v>
      </c>
      <c r="B34" s="34" t="b">
        <f>'График дифференц'!B34</f>
        <v>0</v>
      </c>
      <c r="C34" s="35">
        <f t="shared" si="5"/>
        <v>0</v>
      </c>
      <c r="D34" s="35">
        <f>IF(A34&lt;'Общие данные'!$B$82,'График аннуитет.'!F34-'График аннуитет.'!E34,'График аннуитет.'!C34)</f>
        <v>0</v>
      </c>
      <c r="E34" s="35">
        <f>ROUND(C34*'Общие данные'!$B$85/H34,2)*'График аннуитет.'!G34</f>
        <v>0</v>
      </c>
      <c r="F34" s="35">
        <f>IF(A34&lt;'Общие данные'!$B$82,'График аннуитет.'!F33,'График аннуитет.'!D34+'График аннуитет.'!E34)</f>
        <v>0</v>
      </c>
      <c r="G34" s="16">
        <f t="shared" si="6"/>
        <v>0</v>
      </c>
      <c r="H34" s="16">
        <f t="shared" si="7"/>
        <v>366</v>
      </c>
    </row>
    <row r="35" spans="1:8" x14ac:dyDescent="0.25">
      <c r="A35" s="19">
        <f t="shared" si="8"/>
        <v>28</v>
      </c>
      <c r="B35" s="34" t="b">
        <f>'График дифференц'!B35</f>
        <v>0</v>
      </c>
      <c r="C35" s="35">
        <f t="shared" si="5"/>
        <v>0</v>
      </c>
      <c r="D35" s="35">
        <f>IF(A35&lt;'Общие данные'!$B$82,'График аннуитет.'!F35-'График аннуитет.'!E35,'График аннуитет.'!C35)</f>
        <v>0</v>
      </c>
      <c r="E35" s="35">
        <f>ROUND(C35*'Общие данные'!$B$85/H35,2)*'График аннуитет.'!G35</f>
        <v>0</v>
      </c>
      <c r="F35" s="35">
        <f>IF(A35&lt;'Общие данные'!$B$82,'График аннуитет.'!F34,'График аннуитет.'!D35+'График аннуитет.'!E35)</f>
        <v>0</v>
      </c>
      <c r="G35" s="16">
        <f t="shared" si="6"/>
        <v>0</v>
      </c>
      <c r="H35" s="16">
        <f t="shared" si="7"/>
        <v>366</v>
      </c>
    </row>
    <row r="36" spans="1:8" x14ac:dyDescent="0.25">
      <c r="A36" s="19">
        <f t="shared" si="8"/>
        <v>29</v>
      </c>
      <c r="B36" s="34" t="b">
        <f>'График дифференц'!B36</f>
        <v>0</v>
      </c>
      <c r="C36" s="35">
        <f t="shared" si="5"/>
        <v>0</v>
      </c>
      <c r="D36" s="35">
        <f>IF(A36&lt;'Общие данные'!$B$82,'График аннуитет.'!F36-'График аннуитет.'!E36,'График аннуитет.'!C36)</f>
        <v>0</v>
      </c>
      <c r="E36" s="35">
        <f>ROUND(C36*'Общие данные'!$B$85/H36,2)*'График аннуитет.'!G36</f>
        <v>0</v>
      </c>
      <c r="F36" s="35">
        <f>IF(A36&lt;'Общие данные'!$B$82,'График аннуитет.'!F35,'График аннуитет.'!D36+'График аннуитет.'!E36)</f>
        <v>0</v>
      </c>
      <c r="G36" s="16">
        <f t="shared" si="6"/>
        <v>0</v>
      </c>
      <c r="H36" s="16">
        <f t="shared" si="7"/>
        <v>366</v>
      </c>
    </row>
    <row r="37" spans="1:8" x14ac:dyDescent="0.25">
      <c r="A37" s="19">
        <f t="shared" si="8"/>
        <v>30</v>
      </c>
      <c r="B37" s="34" t="b">
        <f>'График дифференц'!B37</f>
        <v>0</v>
      </c>
      <c r="C37" s="35">
        <f t="shared" si="5"/>
        <v>0</v>
      </c>
      <c r="D37" s="35">
        <f>IF(A37&lt;'Общие данные'!$B$82,'График аннуитет.'!F37-'График аннуитет.'!E37,'График аннуитет.'!C37)</f>
        <v>0</v>
      </c>
      <c r="E37" s="35">
        <f>ROUND(C37*'Общие данные'!$B$85/H37,2)*'График аннуитет.'!G37</f>
        <v>0</v>
      </c>
      <c r="F37" s="35">
        <f>IF(A37&lt;'Общие данные'!$B$82,'График аннуитет.'!F36,'График аннуитет.'!D37+'График аннуитет.'!E37)</f>
        <v>0</v>
      </c>
      <c r="G37" s="16">
        <f t="shared" si="6"/>
        <v>0</v>
      </c>
      <c r="H37" s="16">
        <f t="shared" si="7"/>
        <v>366</v>
      </c>
    </row>
    <row r="38" spans="1:8" x14ac:dyDescent="0.25">
      <c r="A38" s="19">
        <f t="shared" si="8"/>
        <v>31</v>
      </c>
      <c r="B38" s="34" t="b">
        <f>'График дифференц'!B38</f>
        <v>0</v>
      </c>
      <c r="C38" s="35">
        <f t="shared" si="5"/>
        <v>0</v>
      </c>
      <c r="D38" s="35">
        <f>IF(A38&lt;'Общие данные'!$B$82,'График аннуитет.'!F38-'График аннуитет.'!E38,'График аннуитет.'!C38)</f>
        <v>0</v>
      </c>
      <c r="E38" s="35">
        <f>ROUND(C38*'Общие данные'!$B$85/H38,2)*'График аннуитет.'!G38</f>
        <v>0</v>
      </c>
      <c r="F38" s="35">
        <f>IF(A38&lt;'Общие данные'!$B$82,'График аннуитет.'!F37,'График аннуитет.'!D38+'График аннуитет.'!E38)</f>
        <v>0</v>
      </c>
      <c r="G38" s="16">
        <f t="shared" si="6"/>
        <v>0</v>
      </c>
      <c r="H38" s="16">
        <f t="shared" si="7"/>
        <v>366</v>
      </c>
    </row>
    <row r="39" spans="1:8" x14ac:dyDescent="0.25">
      <c r="A39" s="19">
        <f t="shared" si="8"/>
        <v>32</v>
      </c>
      <c r="B39" s="34" t="b">
        <f>'График дифференц'!B39</f>
        <v>0</v>
      </c>
      <c r="C39" s="35">
        <f t="shared" si="5"/>
        <v>0</v>
      </c>
      <c r="D39" s="35">
        <f>IF(A39&lt;'Общие данные'!$B$82,'График аннуитет.'!F39-'График аннуитет.'!E39,'График аннуитет.'!C39)</f>
        <v>0</v>
      </c>
      <c r="E39" s="35">
        <f>ROUND(C39*'Общие данные'!$B$85/H39,2)*'График аннуитет.'!G39</f>
        <v>0</v>
      </c>
      <c r="F39" s="35">
        <f>IF(A39&lt;'Общие данные'!$B$82,'График аннуитет.'!F38,'График аннуитет.'!D39+'График аннуитет.'!E39)</f>
        <v>0</v>
      </c>
      <c r="G39" s="16">
        <f t="shared" si="6"/>
        <v>0</v>
      </c>
      <c r="H39" s="16">
        <f t="shared" si="7"/>
        <v>366</v>
      </c>
    </row>
    <row r="40" spans="1:8" x14ac:dyDescent="0.25">
      <c r="A40" s="19">
        <f t="shared" si="8"/>
        <v>33</v>
      </c>
      <c r="B40" s="34" t="b">
        <f>'График дифференц'!B40</f>
        <v>0</v>
      </c>
      <c r="C40" s="35">
        <f t="shared" si="5"/>
        <v>0</v>
      </c>
      <c r="D40" s="35">
        <f>IF(A40&lt;'Общие данные'!$B$82,'График аннуитет.'!F40-'График аннуитет.'!E40,'График аннуитет.'!C40)</f>
        <v>0</v>
      </c>
      <c r="E40" s="35">
        <f>ROUND(C40*'Общие данные'!$B$85/H40,2)*'График аннуитет.'!G40</f>
        <v>0</v>
      </c>
      <c r="F40" s="35">
        <f>IF(A40&lt;'Общие данные'!$B$82,'График аннуитет.'!F39,'График аннуитет.'!D40+'График аннуитет.'!E40)</f>
        <v>0</v>
      </c>
      <c r="G40" s="16">
        <f t="shared" si="6"/>
        <v>0</v>
      </c>
      <c r="H40" s="16">
        <f t="shared" si="7"/>
        <v>366</v>
      </c>
    </row>
    <row r="41" spans="1:8" x14ac:dyDescent="0.25">
      <c r="A41" s="19">
        <f t="shared" si="8"/>
        <v>34</v>
      </c>
      <c r="B41" s="34" t="b">
        <f>'График дифференц'!B41</f>
        <v>0</v>
      </c>
      <c r="C41" s="35">
        <f t="shared" si="5"/>
        <v>0</v>
      </c>
      <c r="D41" s="35">
        <f>IF(A41&lt;'Общие данные'!$B$82,'График аннуитет.'!F41-'График аннуитет.'!E41,'График аннуитет.'!C41)</f>
        <v>0</v>
      </c>
      <c r="E41" s="35">
        <f>ROUND(C41*'Общие данные'!$B$85/H41,2)*'График аннуитет.'!G41</f>
        <v>0</v>
      </c>
      <c r="F41" s="35">
        <f>IF(A41&lt;'Общие данные'!$B$82,'График аннуитет.'!F40,'График аннуитет.'!D41+'График аннуитет.'!E41)</f>
        <v>0</v>
      </c>
      <c r="G41" s="16">
        <f t="shared" si="6"/>
        <v>0</v>
      </c>
      <c r="H41" s="16">
        <f t="shared" si="7"/>
        <v>366</v>
      </c>
    </row>
    <row r="42" spans="1:8" x14ac:dyDescent="0.25">
      <c r="A42" s="19">
        <f t="shared" si="8"/>
        <v>35</v>
      </c>
      <c r="B42" s="34" t="b">
        <f>'График дифференц'!B42</f>
        <v>0</v>
      </c>
      <c r="C42" s="35">
        <f t="shared" si="5"/>
        <v>0</v>
      </c>
      <c r="D42" s="35">
        <f>IF(A42&lt;'Общие данные'!$B$82,'График аннуитет.'!F42-'График аннуитет.'!E42,'График аннуитет.'!C42)</f>
        <v>0</v>
      </c>
      <c r="E42" s="35">
        <f>ROUND(C42*'Общие данные'!$B$85/H42,2)*'График аннуитет.'!G42</f>
        <v>0</v>
      </c>
      <c r="F42" s="35">
        <f>IF(A42&lt;'Общие данные'!$B$82,'График аннуитет.'!F41,'График аннуитет.'!D42+'График аннуитет.'!E42)</f>
        <v>0</v>
      </c>
      <c r="G42" s="16">
        <f t="shared" si="6"/>
        <v>0</v>
      </c>
      <c r="H42" s="16">
        <f t="shared" si="7"/>
        <v>366</v>
      </c>
    </row>
    <row r="43" spans="1:8" x14ac:dyDescent="0.25">
      <c r="A43" s="19">
        <f t="shared" si="8"/>
        <v>36</v>
      </c>
      <c r="B43" s="34" t="b">
        <f>'График дифференц'!B43</f>
        <v>0</v>
      </c>
      <c r="C43" s="35">
        <f t="shared" si="5"/>
        <v>0</v>
      </c>
      <c r="D43" s="35">
        <f>IF(A43&lt;'Общие данные'!$B$82,'График аннуитет.'!F43-'График аннуитет.'!E43,'График аннуитет.'!C43)</f>
        <v>0</v>
      </c>
      <c r="E43" s="35">
        <f>ROUND(C43*'Общие данные'!$B$85/H43,2)*'График аннуитет.'!G43</f>
        <v>0</v>
      </c>
      <c r="F43" s="35">
        <f>IF(A43&lt;'Общие данные'!$B$82,'График аннуитет.'!F42,'График аннуитет.'!D43+'График аннуитет.'!E43)</f>
        <v>0</v>
      </c>
      <c r="G43" s="16">
        <f t="shared" si="6"/>
        <v>0</v>
      </c>
      <c r="H43" s="16">
        <f t="shared" si="7"/>
        <v>366</v>
      </c>
    </row>
    <row r="44" spans="1:8" x14ac:dyDescent="0.25">
      <c r="A44" s="47"/>
      <c r="B44" s="48" t="s">
        <v>7</v>
      </c>
      <c r="C44" s="49"/>
      <c r="D44" s="49">
        <f>SUM(D8:D43)</f>
        <v>35000000</v>
      </c>
      <c r="E44" s="49">
        <f t="shared" ref="E44:F44" si="9">SUM(E8:E43)</f>
        <v>24969096.940000005</v>
      </c>
      <c r="F44" s="49">
        <f t="shared" si="9"/>
        <v>59969096.940000005</v>
      </c>
    </row>
    <row r="45" spans="1:8" ht="9" customHeight="1" x14ac:dyDescent="0.25">
      <c r="B45" s="36"/>
      <c r="C45" s="37"/>
      <c r="D45" s="37"/>
      <c r="E45" s="37"/>
      <c r="F45" s="37"/>
    </row>
    <row r="46" spans="1:8" ht="47.25" customHeight="1" x14ac:dyDescent="0.25">
      <c r="A46" s="234" t="s">
        <v>18</v>
      </c>
      <c r="B46" s="234"/>
      <c r="C46" s="234"/>
      <c r="D46" s="234"/>
      <c r="E46" s="234"/>
      <c r="F46" s="234"/>
    </row>
    <row r="47" spans="1:8" ht="7.5" customHeight="1" x14ac:dyDescent="0.25"/>
    <row r="48" spans="1:8" x14ac:dyDescent="0.25">
      <c r="A48" s="261" t="e">
        <f>#REF!</f>
        <v>#REF!</v>
      </c>
      <c r="B48" s="261"/>
      <c r="C48" s="261"/>
      <c r="D48" s="261" t="e">
        <f>#REF!</f>
        <v>#REF!</v>
      </c>
      <c r="E48" s="261"/>
      <c r="F48" s="261"/>
    </row>
    <row r="49" spans="1:6" ht="11.25" customHeight="1" x14ac:dyDescent="0.25">
      <c r="A49" s="262"/>
      <c r="B49" s="262"/>
      <c r="C49" s="262"/>
      <c r="D49" s="262"/>
      <c r="E49" s="262"/>
      <c r="F49" s="262"/>
    </row>
    <row r="50" spans="1:6" ht="30" customHeight="1" x14ac:dyDescent="0.25">
      <c r="A50" s="260" t="e">
        <f>#REF!</f>
        <v>#REF!</v>
      </c>
      <c r="B50" s="260"/>
      <c r="C50" s="260"/>
      <c r="D50" s="260" t="e">
        <f>#REF!</f>
        <v>#REF!</v>
      </c>
      <c r="E50" s="260"/>
      <c r="F50" s="260"/>
    </row>
    <row r="51" spans="1:6" ht="32.25" customHeight="1" x14ac:dyDescent="0.25">
      <c r="A51" s="256" t="e">
        <f>#REF!</f>
        <v>#REF!</v>
      </c>
      <c r="B51" s="256"/>
      <c r="C51" s="256"/>
      <c r="D51" s="256" t="e">
        <f>#REF!</f>
        <v>#REF!</v>
      </c>
      <c r="E51" s="256"/>
      <c r="F51" s="256"/>
    </row>
    <row r="52" spans="1:6" x14ac:dyDescent="0.25">
      <c r="A52" s="256" t="e">
        <f>#REF!</f>
        <v>#REF!</v>
      </c>
      <c r="B52" s="256"/>
      <c r="C52" s="256"/>
      <c r="D52" s="256" t="str">
        <f>"паспорт серии "&amp;'Общие данные'!B16&amp;", "&amp;'Общие данные'!B20&amp;""</f>
        <v>паспорт серии KA 1247502, QORAQALPOG'ISTON RESPUBLIKASI TO'RTKO'L TUMANI IIB tomonidan 02.01.2019 yilda berilgan</v>
      </c>
      <c r="E52" s="256"/>
      <c r="F52" s="256"/>
    </row>
    <row r="53" spans="1:6" ht="32.25" customHeight="1" x14ac:dyDescent="0.25">
      <c r="A53" s="256" t="e">
        <f>#REF!</f>
        <v>#REF!</v>
      </c>
      <c r="B53" s="256"/>
      <c r="C53" s="256"/>
      <c r="D53" s="256"/>
      <c r="E53" s="256"/>
      <c r="F53" s="256"/>
    </row>
    <row r="54" spans="1:6" x14ac:dyDescent="0.25">
      <c r="A54" s="256" t="e">
        <f>#REF!</f>
        <v>#REF!</v>
      </c>
      <c r="B54" s="256"/>
      <c r="C54" s="256"/>
      <c r="D54" s="256" t="e">
        <f>#REF!</f>
        <v>#REF!</v>
      </c>
      <c r="E54" s="256"/>
      <c r="F54" s="256"/>
    </row>
    <row r="55" spans="1:6" x14ac:dyDescent="0.25">
      <c r="A55" s="256" t="e">
        <f>#REF!</f>
        <v>#REF!</v>
      </c>
      <c r="B55" s="256"/>
      <c r="C55" s="256"/>
      <c r="D55" s="256" t="e">
        <f>#REF!</f>
        <v>#REF!</v>
      </c>
      <c r="E55" s="256"/>
      <c r="F55" s="256"/>
    </row>
    <row r="56" spans="1:6" x14ac:dyDescent="0.25">
      <c r="A56" s="256" t="e">
        <f>#REF!</f>
        <v>#REF!</v>
      </c>
      <c r="B56" s="256"/>
      <c r="C56" s="256"/>
      <c r="D56" s="256" t="e">
        <f>#REF!</f>
        <v>#REF!</v>
      </c>
      <c r="E56" s="256"/>
      <c r="F56" s="256"/>
    </row>
    <row r="57" spans="1:6" ht="8.25" customHeight="1" x14ac:dyDescent="0.25">
      <c r="A57" s="256"/>
      <c r="B57" s="256"/>
      <c r="C57" s="256"/>
      <c r="D57" s="256"/>
      <c r="E57" s="256"/>
      <c r="F57" s="256"/>
    </row>
    <row r="58" spans="1:6" x14ac:dyDescent="0.25">
      <c r="A58" s="260" t="e">
        <f>#REF!</f>
        <v>#REF!</v>
      </c>
      <c r="B58" s="260"/>
      <c r="C58" s="260"/>
      <c r="D58" s="260" t="e">
        <f>#REF!</f>
        <v>#REF!</v>
      </c>
      <c r="E58" s="260"/>
      <c r="F58" s="260"/>
    </row>
    <row r="59" spans="1:6" ht="7.5" customHeight="1" x14ac:dyDescent="0.25">
      <c r="A59" s="260"/>
      <c r="B59" s="260"/>
      <c r="C59" s="260"/>
      <c r="D59" s="260"/>
      <c r="E59" s="260"/>
      <c r="F59" s="260"/>
    </row>
    <row r="60" spans="1:6" x14ac:dyDescent="0.25">
      <c r="A60" s="260" t="e">
        <f>#REF!</f>
        <v>#REF!</v>
      </c>
      <c r="B60" s="260"/>
      <c r="C60" s="260"/>
      <c r="D60" s="260" t="e">
        <f>#REF!</f>
        <v>#REF!</v>
      </c>
      <c r="E60" s="260"/>
      <c r="F60" s="260"/>
    </row>
    <row r="61" spans="1:6" ht="8.25" customHeight="1" x14ac:dyDescent="0.25">
      <c r="A61" s="256"/>
      <c r="B61" s="256"/>
      <c r="C61" s="256"/>
      <c r="D61" s="256"/>
      <c r="E61" s="256"/>
      <c r="F61" s="256"/>
    </row>
    <row r="62" spans="1:6" ht="30" customHeight="1" x14ac:dyDescent="0.25">
      <c r="A62" s="257"/>
      <c r="B62" s="257"/>
      <c r="C62" s="257"/>
      <c r="D62" s="258"/>
      <c r="E62" s="258"/>
      <c r="F62" s="258"/>
    </row>
    <row r="63" spans="1:6" x14ac:dyDescent="0.25">
      <c r="A63" s="259"/>
      <c r="B63" s="259"/>
      <c r="C63" s="259"/>
      <c r="D63" s="259"/>
      <c r="E63" s="259"/>
      <c r="F63" s="259"/>
    </row>
    <row r="64" spans="1:6" x14ac:dyDescent="0.25">
      <c r="A64" s="255"/>
      <c r="B64" s="255"/>
      <c r="C64" s="255"/>
      <c r="D64" s="255"/>
      <c r="E64" s="255"/>
      <c r="F64" s="255"/>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15" zoomScaleSheetLayoutView="100" workbookViewId="0">
      <selection activeCell="F27" sqref="F27"/>
    </sheetView>
  </sheetViews>
  <sheetFormatPr defaultColWidth="9.140625" defaultRowHeight="12.75" x14ac:dyDescent="0.2"/>
  <cols>
    <col min="1" max="6" width="14.28515625" style="25" customWidth="1"/>
    <col min="7" max="16384" width="9.140625" style="25"/>
  </cols>
  <sheetData>
    <row r="1" spans="1:6" x14ac:dyDescent="0.2">
      <c r="A1" s="269" t="s">
        <v>218</v>
      </c>
      <c r="B1" s="269"/>
      <c r="C1" s="269"/>
      <c r="D1" s="269"/>
      <c r="E1" s="269"/>
      <c r="F1" s="269"/>
    </row>
    <row r="2" spans="1:6" ht="35.25" customHeight="1" x14ac:dyDescent="0.2">
      <c r="A2" s="270" t="s">
        <v>328</v>
      </c>
      <c r="B2" s="270"/>
      <c r="C2" s="270"/>
      <c r="D2" s="270"/>
      <c r="E2" s="270"/>
      <c r="F2" s="270"/>
    </row>
    <row r="3" spans="1:6" x14ac:dyDescent="0.2">
      <c r="A3" s="269" t="s">
        <v>219</v>
      </c>
      <c r="B3" s="269"/>
      <c r="C3" s="269"/>
      <c r="D3" s="269"/>
      <c r="E3" s="269"/>
      <c r="F3" s="269"/>
    </row>
    <row r="4" spans="1:6" x14ac:dyDescent="0.2">
      <c r="A4" s="268" t="str">
        <f>'Заключение КК'!A4:E4</f>
        <v>Mijozning to'liq ismi sharifi: DJUMANIYAZOV SHERIPBAY AYITBAYEVICH</v>
      </c>
      <c r="B4" s="268"/>
      <c r="C4" s="268"/>
      <c r="D4" s="268"/>
      <c r="E4" s="268"/>
      <c r="F4" s="268"/>
    </row>
    <row r="5" spans="1:6" x14ac:dyDescent="0.2">
      <c r="A5" s="268" t="str">
        <f>'Заключение КК'!A5:E5</f>
        <v>Tug'ilgan sanasi: 14.11.1971 y</v>
      </c>
      <c r="B5" s="268"/>
      <c r="C5" s="268"/>
      <c r="D5" s="268"/>
      <c r="E5" s="268"/>
      <c r="F5" s="268"/>
    </row>
    <row r="6" spans="1:6" ht="32.25" customHeight="1" x14ac:dyDescent="0.2">
      <c r="A6" s="268" t="str">
        <f>'Заключение КК'!A6:E6</f>
        <v>Pasport seriyasi KA 1247502 QORAQALPOG'ISTON RESPUBLIKASI TO'RTKO'L TUMANI IIB tomonidan 02.01.2019 yilda berilgan, amal qilish muddati - 01.01.2029 y.</v>
      </c>
      <c r="B6" s="268"/>
      <c r="C6" s="268"/>
      <c r="D6" s="268"/>
      <c r="E6" s="268"/>
      <c r="F6" s="268"/>
    </row>
    <row r="7" spans="1:6" x14ac:dyDescent="0.2">
      <c r="A7" s="268" t="str">
        <f>"Fuqaroligi: "&amp;'Общие данные'!B32&amp;""</f>
        <v>Fuqaroligi: O’zbekiston Respublikasi</v>
      </c>
      <c r="B7" s="268"/>
      <c r="C7" s="268"/>
      <c r="D7" s="268"/>
      <c r="E7" s="268"/>
      <c r="F7" s="268"/>
    </row>
    <row r="8" spans="1:6" ht="26.25" customHeight="1" x14ac:dyDescent="0.2">
      <c r="A8" s="268" t="str">
        <f>'Заключение КК'!A7:E7</f>
        <v>Ro‘yxatdan o‘tgan manzili: QORAQALPOG'ISTON RESPUBLIKASI TO'RTKO'L TUMANI ULLUBOG' OFY , mo'ljal: 62-SONLI YORDAMCHI MAKTABNI YONI</v>
      </c>
      <c r="B8" s="268"/>
      <c r="C8" s="268"/>
      <c r="D8" s="268"/>
      <c r="E8" s="268"/>
      <c r="F8" s="268"/>
    </row>
    <row r="9" spans="1:6" x14ac:dyDescent="0.2">
      <c r="A9" s="268" t="str">
        <f>IF('Общие данные'!B23="mos keladi"," ",'Анкета Клиента'!A10:F10)</f>
        <v xml:space="preserve"> </v>
      </c>
      <c r="B9" s="268"/>
      <c r="C9" s="268"/>
      <c r="D9" s="268"/>
      <c r="E9" s="268"/>
      <c r="F9" s="268"/>
    </row>
    <row r="10" spans="1:6" ht="31.5" hidden="1" customHeight="1" x14ac:dyDescent="0.2">
      <c r="A10" s="268" t="str">
        <f>"Haqiqatdan yashash joy manzili: "&amp;'Общие данные'!B28&amp;""</f>
        <v xml:space="preserve">Haqiqatdan yashash joy manzili: QORAQALPOG'ISTON RESPUBLIKASI TO'RTKO'L TUMANI ULLUBOG' OFY </v>
      </c>
      <c r="B10" s="268"/>
      <c r="C10" s="268"/>
      <c r="D10" s="268"/>
      <c r="E10" s="268"/>
      <c r="F10" s="268"/>
    </row>
    <row r="11" spans="1:6" ht="16.5" hidden="1" customHeight="1" x14ac:dyDescent="0.2">
      <c r="A11" s="268" t="str">
        <f>'Заключение КК'!A8:E8</f>
        <v>Ish joyi:  lavozimi Yakka tartibdagi tadbirkorda Yakka tartibdagi tadbirkor</v>
      </c>
      <c r="B11" s="268"/>
      <c r="C11" s="268"/>
      <c r="D11" s="268"/>
      <c r="E11" s="268"/>
      <c r="F11" s="268"/>
    </row>
    <row r="12" spans="1:6" x14ac:dyDescent="0.2">
      <c r="A12" s="269" t="s">
        <v>220</v>
      </c>
      <c r="B12" s="269"/>
      <c r="C12" s="269"/>
      <c r="D12" s="269"/>
      <c r="E12" s="269"/>
      <c r="F12" s="269"/>
    </row>
    <row r="13" spans="1:6" x14ac:dyDescent="0.2">
      <c r="A13" s="268" t="str">
        <f>"Uy telefoni raqami: "&amp;'Общие данные'!B40&amp;""</f>
        <v>Uy telefoni raqami: 93-370-14-71</v>
      </c>
      <c r="B13" s="268"/>
      <c r="C13" s="268"/>
      <c r="D13" s="268"/>
      <c r="E13" s="268"/>
      <c r="F13" s="268"/>
    </row>
    <row r="14" spans="1:6" x14ac:dyDescent="0.2">
      <c r="A14" s="268" t="str">
        <f>"Uyali telefon raqami: "&amp;'Общие данные'!B41&amp;""</f>
        <v>Uyali telefon raqami: 91-269-79-00 UKASI</v>
      </c>
      <c r="B14" s="268"/>
      <c r="C14" s="268"/>
      <c r="D14" s="268"/>
      <c r="E14" s="268"/>
      <c r="F14" s="268"/>
    </row>
    <row r="15" spans="1:6" x14ac:dyDescent="0.2">
      <c r="A15" s="268" t="str">
        <f>"Uyali telefon raqami: "&amp;'Общие данные'!B42&amp;""</f>
        <v>Uyali telefon raqami: 90-708-07-27 UKASI</v>
      </c>
      <c r="B15" s="268"/>
      <c r="C15" s="268"/>
      <c r="D15" s="268"/>
      <c r="E15" s="268"/>
      <c r="F15" s="268"/>
    </row>
    <row r="16" spans="1:6" hidden="1" x14ac:dyDescent="0.2">
      <c r="A16" s="268" t="str">
        <f>"Uyali telefon raqami: "&amp;'Общие данные'!B42&amp;""</f>
        <v>Uyali telefon raqami: 90-708-07-27 UKASI</v>
      </c>
      <c r="B16" s="268"/>
      <c r="C16" s="268"/>
      <c r="D16" s="268"/>
      <c r="E16" s="268"/>
      <c r="F16" s="268"/>
    </row>
    <row r="17" spans="1:6" x14ac:dyDescent="0.2">
      <c r="A17" s="268" t="str">
        <f>"Ish telefoni raqami: "&amp;'Общие данные'!B43&amp;""</f>
        <v xml:space="preserve">Ish telefoni raqami: </v>
      </c>
      <c r="B17" s="268"/>
      <c r="C17" s="268"/>
      <c r="D17" s="268"/>
      <c r="E17" s="268"/>
      <c r="F17" s="268"/>
    </row>
    <row r="18" spans="1:6" x14ac:dyDescent="0.2">
      <c r="A18" s="269" t="s">
        <v>221</v>
      </c>
      <c r="B18" s="269"/>
      <c r="C18" s="269"/>
      <c r="D18" s="269"/>
      <c r="E18" s="269"/>
      <c r="F18" s="269"/>
    </row>
    <row r="19" spans="1:6" x14ac:dyDescent="0.2">
      <c r="A19" s="268" t="str">
        <f>"Muassasa nomlanishi:"&amp;'Общие данные'!B58&amp;""</f>
        <v>Muassasa nomlanishi:Yakka tartibdagi tadbirkor</v>
      </c>
      <c r="B19" s="268"/>
      <c r="C19" s="268"/>
      <c r="D19" s="268"/>
      <c r="E19" s="268"/>
      <c r="F19" s="268"/>
    </row>
    <row r="20" spans="1:6" x14ac:dyDescent="0.2">
      <c r="A20" s="268" t="str">
        <f>"Ro‘yxatdan o‘tish manzili:"&amp;'Общие данные'!B50&amp;""</f>
        <v>Ro‘yxatdan o‘tish manzili:</v>
      </c>
      <c r="B20" s="268"/>
      <c r="C20" s="268"/>
      <c r="D20" s="268"/>
      <c r="E20" s="268"/>
      <c r="F20" s="268"/>
    </row>
    <row r="21" spans="1:6" x14ac:dyDescent="0.2">
      <c r="A21" s="268" t="str">
        <f>"Lavozimi: "&amp;'Общие данные'!B59&amp;""</f>
        <v>Lavozimi: Yakka tartibdagi tadbirkor</v>
      </c>
      <c r="B21" s="268"/>
      <c r="C21" s="268"/>
      <c r="D21" s="268"/>
      <c r="E21" s="268"/>
      <c r="F21" s="268"/>
    </row>
    <row r="22" spans="1:6" x14ac:dyDescent="0.2">
      <c r="A22" s="269" t="s">
        <v>222</v>
      </c>
      <c r="B22" s="271"/>
      <c r="C22" s="271"/>
      <c r="D22" s="271"/>
      <c r="E22" s="271"/>
      <c r="F22" s="271"/>
    </row>
    <row r="23" spans="1:6" s="27" customFormat="1" ht="25.5" x14ac:dyDescent="0.25">
      <c r="A23" s="26" t="s">
        <v>223</v>
      </c>
      <c r="B23" s="26" t="s">
        <v>224</v>
      </c>
      <c r="C23" s="26" t="s">
        <v>225</v>
      </c>
      <c r="D23" s="26" t="s">
        <v>226</v>
      </c>
      <c r="E23" s="26" t="s">
        <v>227</v>
      </c>
      <c r="F23" s="26" t="s">
        <v>228</v>
      </c>
    </row>
    <row r="24" spans="1:6" ht="51" x14ac:dyDescent="0.2">
      <c r="A24" s="28" t="s">
        <v>229</v>
      </c>
      <c r="B24" s="29">
        <f>'Общие данные'!B60</f>
        <v>15000000</v>
      </c>
      <c r="C24" s="29">
        <v>0</v>
      </c>
      <c r="D24" s="29">
        <v>0</v>
      </c>
      <c r="E24" s="28" t="s">
        <v>232</v>
      </c>
      <c r="F24" s="29">
        <v>700000</v>
      </c>
    </row>
    <row r="25" spans="1:6" ht="25.5" x14ac:dyDescent="0.2">
      <c r="A25" s="28" t="s">
        <v>230</v>
      </c>
      <c r="B25" s="29">
        <v>0</v>
      </c>
      <c r="C25" s="29">
        <v>0</v>
      </c>
      <c r="D25" s="29">
        <v>0</v>
      </c>
      <c r="E25" s="28" t="s">
        <v>233</v>
      </c>
      <c r="F25" s="29">
        <v>500000</v>
      </c>
    </row>
    <row r="26" spans="1:6" ht="28.5" customHeight="1" x14ac:dyDescent="0.2">
      <c r="A26" s="28" t="s">
        <v>231</v>
      </c>
      <c r="B26" s="29">
        <f>'Общие данные'!B61</f>
        <v>0</v>
      </c>
      <c r="C26" s="29">
        <v>0</v>
      </c>
      <c r="D26" s="29">
        <v>0</v>
      </c>
      <c r="E26" s="28" t="s">
        <v>234</v>
      </c>
      <c r="F26" s="29">
        <v>350000</v>
      </c>
    </row>
    <row r="27" spans="1:6" s="32" customFormat="1" x14ac:dyDescent="0.2">
      <c r="A27" s="30" t="s">
        <v>210</v>
      </c>
      <c r="B27" s="31">
        <f>B24+B25+B26</f>
        <v>15000000</v>
      </c>
      <c r="C27" s="31">
        <f t="shared" ref="C27:F27" si="0">SUM(C24:C26)</f>
        <v>0</v>
      </c>
      <c r="D27" s="31">
        <f t="shared" si="0"/>
        <v>0</v>
      </c>
      <c r="E27" s="30"/>
      <c r="F27" s="31">
        <f t="shared" si="0"/>
        <v>1550000</v>
      </c>
    </row>
    <row r="28" spans="1:6" ht="31.5" customHeight="1" x14ac:dyDescent="0.2">
      <c r="A28" s="268" t="str">
        <f>"Men, "&amp;'Общие данные'!B5&amp;", ushbu anketada ko‘rsatilgan barcha ma'lumotlar anketa to'ldirilgan sanada  to'g'ri va aniq ekanligini tasdiqlayman."</f>
        <v>Men, DJUMANIYAZOV SHERIPBAY AYITBAYEVICH, ushbu anketada ko‘rsatilgan barcha ma'lumotlar anketa to'ldirilgan sanada  to'g'ri va aniq ekanligini tasdiqlayman.</v>
      </c>
      <c r="B28" s="268"/>
      <c r="C28" s="268"/>
      <c r="D28" s="268"/>
      <c r="E28" s="268"/>
      <c r="F28" s="268"/>
    </row>
    <row r="29" spans="1:6" x14ac:dyDescent="0.2">
      <c r="A29" s="268" t="str">
        <f>"Men,  "&amp;'Общие данные'!B5&amp;", quyidagilarni tan olaman va roziman::"</f>
        <v>Men,  DJUMANIYAZOV SHERIPBAY AYITBAYEVICH, quyidagilarni tan olaman va roziman::</v>
      </c>
      <c r="B29" s="268"/>
      <c r="C29" s="268"/>
      <c r="D29" s="268"/>
      <c r="E29" s="268"/>
      <c r="F29" s="268"/>
    </row>
    <row r="30" spans="1:6" ht="45.75" customHeight="1" x14ac:dyDescent="0.2">
      <c r="A30" s="268" t="str">
        <f>"1.  Ushbu anketada ko‘rsatilgan har qanday ma’lumot  "&amp;'Общие данные'!B151&amp;",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68"/>
      <c r="C30" s="268"/>
      <c r="D30" s="268"/>
      <c r="E30" s="268"/>
      <c r="F30" s="268"/>
    </row>
    <row r="31" spans="1:6" ht="42.75" customHeight="1" x14ac:dyDescent="0.2">
      <c r="A31" s="268" t="str">
        <f>"2. Mazkur anketaning "&amp;'Общие данные'!B151&amp;"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68"/>
      <c r="C31" s="268"/>
      <c r="D31" s="268"/>
      <c r="E31" s="268"/>
      <c r="F31" s="268"/>
    </row>
    <row r="32" spans="1:6" ht="71.25" customHeight="1" x14ac:dyDescent="0.2">
      <c r="A32" s="268" t="s">
        <v>235</v>
      </c>
      <c r="B32" s="268"/>
      <c r="C32" s="268"/>
      <c r="D32" s="268"/>
      <c r="E32" s="268"/>
      <c r="F32" s="268"/>
    </row>
    <row r="33" spans="1:6" x14ac:dyDescent="0.2">
      <c r="A33" s="268"/>
      <c r="B33" s="268"/>
      <c r="C33" s="268"/>
      <c r="D33" s="268"/>
      <c r="E33" s="268"/>
      <c r="F33" s="268"/>
    </row>
    <row r="34" spans="1:6" ht="12.75" customHeight="1" x14ac:dyDescent="0.2">
      <c r="A34" s="271" t="s">
        <v>236</v>
      </c>
      <c r="B34" s="271"/>
      <c r="C34" s="271"/>
      <c r="D34" s="162" t="s">
        <v>158</v>
      </c>
      <c r="E34" s="271" t="s">
        <v>237</v>
      </c>
      <c r="F34" s="271"/>
    </row>
    <row r="35" spans="1:6" ht="25.5" customHeight="1" x14ac:dyDescent="0.2">
      <c r="A35" s="272"/>
      <c r="B35" s="272"/>
      <c r="C35" s="272"/>
      <c r="D35" s="273" t="str">
        <f>'Общие данные'!B2</f>
        <v>06.01.2025</v>
      </c>
      <c r="E35" s="272"/>
      <c r="F35" s="272"/>
    </row>
    <row r="36" spans="1:6" ht="25.5" customHeight="1" x14ac:dyDescent="0.2">
      <c r="A36" s="272"/>
      <c r="B36" s="272"/>
      <c r="C36" s="272"/>
      <c r="D36" s="273"/>
      <c r="E36" s="272"/>
      <c r="F36" s="272"/>
    </row>
    <row r="37" spans="1:6" x14ac:dyDescent="0.2">
      <c r="A37" s="268"/>
      <c r="B37" s="268"/>
      <c r="C37" s="268"/>
      <c r="D37" s="268"/>
      <c r="E37" s="268"/>
      <c r="F37" s="268"/>
    </row>
    <row r="38" spans="1:6" x14ac:dyDescent="0.2">
      <c r="A38" s="268"/>
      <c r="B38" s="268"/>
      <c r="C38" s="268"/>
      <c r="D38" s="268"/>
      <c r="E38" s="268"/>
      <c r="F38" s="268"/>
    </row>
    <row r="39" spans="1:6" x14ac:dyDescent="0.2">
      <c r="A39" s="268"/>
      <c r="B39" s="268"/>
      <c r="C39" s="268"/>
      <c r="D39" s="268"/>
      <c r="E39" s="268"/>
      <c r="F39" s="268"/>
    </row>
    <row r="40" spans="1:6" x14ac:dyDescent="0.2">
      <c r="A40" s="268"/>
      <c r="B40" s="268"/>
      <c r="C40" s="268"/>
      <c r="D40" s="268"/>
      <c r="E40" s="268"/>
      <c r="F40" s="268"/>
    </row>
    <row r="41" spans="1:6" x14ac:dyDescent="0.2">
      <c r="A41" s="268"/>
      <c r="B41" s="268"/>
      <c r="C41" s="268"/>
      <c r="D41" s="268"/>
      <c r="E41" s="268"/>
      <c r="F41" s="268"/>
    </row>
    <row r="42" spans="1:6" x14ac:dyDescent="0.2">
      <c r="A42" s="268"/>
      <c r="B42" s="268"/>
      <c r="C42" s="268"/>
      <c r="D42" s="268"/>
      <c r="E42" s="268"/>
      <c r="F42" s="268"/>
    </row>
    <row r="43" spans="1:6" x14ac:dyDescent="0.2">
      <c r="A43" s="268"/>
      <c r="B43" s="268"/>
      <c r="C43" s="268"/>
      <c r="D43" s="268"/>
      <c r="E43" s="268"/>
      <c r="F43" s="268"/>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zoomScaleNormal="100" zoomScaleSheetLayoutView="100" workbookViewId="0">
      <selection activeCell="A2" sqref="A2:E2"/>
    </sheetView>
  </sheetViews>
  <sheetFormatPr defaultColWidth="9.140625" defaultRowHeight="15.75" x14ac:dyDescent="0.25"/>
  <cols>
    <col min="1" max="2" width="17.42578125" style="133" customWidth="1"/>
    <col min="3" max="3" width="29.85546875" style="133" customWidth="1"/>
    <col min="4" max="4" width="18.140625" style="133" customWidth="1"/>
    <col min="5" max="5" width="6.5703125" style="133" customWidth="1"/>
    <col min="6" max="16384" width="9.140625" style="133"/>
  </cols>
  <sheetData>
    <row r="2" spans="1:5" x14ac:dyDescent="0.25">
      <c r="A2" s="278" t="s">
        <v>238</v>
      </c>
      <c r="B2" s="278"/>
      <c r="C2" s="278"/>
      <c r="D2" s="278"/>
      <c r="E2" s="278"/>
    </row>
    <row r="3" spans="1:5" x14ac:dyDescent="0.25">
      <c r="E3" s="132" t="str">
        <f>'Общие данные'!B68</f>
        <v>6 yanvar 2025 y.</v>
      </c>
    </row>
    <row r="5" spans="1:5" s="134" customFormat="1" ht="27" customHeight="1" x14ac:dyDescent="0.25">
      <c r="A5" s="282" t="s">
        <v>239</v>
      </c>
      <c r="B5" s="283"/>
      <c r="C5" s="279" t="str">
        <f>'Общие данные'!B8</f>
        <v>DJUMANIYAZOV SHERIPBAY AYITBAYEVICH</v>
      </c>
      <c r="D5" s="280"/>
      <c r="E5" s="281"/>
    </row>
    <row r="7" spans="1:5" ht="15.75" customHeight="1" x14ac:dyDescent="0.25">
      <c r="A7" s="284" t="s">
        <v>357</v>
      </c>
      <c r="B7" s="285"/>
      <c r="C7" s="286"/>
      <c r="D7" s="135" t="s">
        <v>133</v>
      </c>
      <c r="E7" s="135"/>
    </row>
    <row r="8" spans="1:5" x14ac:dyDescent="0.25">
      <c r="A8" s="287"/>
      <c r="B8" s="288"/>
      <c r="C8" s="289"/>
      <c r="D8" s="135" t="s">
        <v>243</v>
      </c>
      <c r="E8" s="135"/>
    </row>
    <row r="9" spans="1:5" ht="15.75" customHeight="1" x14ac:dyDescent="0.25">
      <c r="A9" s="275" t="s">
        <v>240</v>
      </c>
      <c r="B9" s="275"/>
      <c r="C9" s="275"/>
      <c r="D9" s="135" t="s">
        <v>133</v>
      </c>
      <c r="E9" s="135"/>
    </row>
    <row r="10" spans="1:5" x14ac:dyDescent="0.25">
      <c r="A10" s="275"/>
      <c r="B10" s="275"/>
      <c r="C10" s="275"/>
      <c r="D10" s="135" t="s">
        <v>243</v>
      </c>
      <c r="E10" s="135"/>
    </row>
    <row r="11" spans="1:5" ht="15.75" customHeight="1" x14ac:dyDescent="0.25">
      <c r="A11" s="275" t="s">
        <v>241</v>
      </c>
      <c r="B11" s="275"/>
      <c r="C11" s="275"/>
      <c r="D11" s="135" t="s">
        <v>133</v>
      </c>
      <c r="E11" s="135"/>
    </row>
    <row r="12" spans="1:5" x14ac:dyDescent="0.25">
      <c r="A12" s="275"/>
      <c r="B12" s="275"/>
      <c r="C12" s="275"/>
      <c r="D12" s="135" t="s">
        <v>243</v>
      </c>
      <c r="E12" s="135"/>
    </row>
    <row r="13" spans="1:5" ht="34.5" customHeight="1" x14ac:dyDescent="0.25">
      <c r="A13" s="276" t="s">
        <v>242</v>
      </c>
      <c r="B13" s="276"/>
      <c r="C13" s="276"/>
      <c r="D13" s="276"/>
      <c r="E13" s="276"/>
    </row>
    <row r="14" spans="1:5" ht="16.5" thickBot="1" x14ac:dyDescent="0.3">
      <c r="A14" s="277"/>
      <c r="B14" s="277"/>
      <c r="C14" s="277"/>
      <c r="D14" s="277"/>
      <c r="E14" s="277"/>
    </row>
    <row r="15" spans="1:5" ht="16.5" thickBot="1" x14ac:dyDescent="0.3">
      <c r="A15" s="277"/>
      <c r="B15" s="277"/>
      <c r="C15" s="277"/>
      <c r="D15" s="277"/>
      <c r="E15" s="277"/>
    </row>
    <row r="16" spans="1:5" ht="16.5" thickBot="1" x14ac:dyDescent="0.3">
      <c r="A16" s="277"/>
      <c r="B16" s="277"/>
      <c r="C16" s="277"/>
      <c r="D16" s="277"/>
      <c r="E16" s="277"/>
    </row>
    <row r="18" spans="1:8" ht="18.75" customHeight="1" x14ac:dyDescent="0.25">
      <c r="A18" s="275" t="s">
        <v>244</v>
      </c>
      <c r="B18" s="275"/>
      <c r="C18" s="275"/>
      <c r="D18" s="135" t="s">
        <v>133</v>
      </c>
      <c r="E18" s="135"/>
    </row>
    <row r="19" spans="1:8" ht="18.75" customHeight="1" x14ac:dyDescent="0.25">
      <c r="A19" s="275"/>
      <c r="B19" s="275"/>
      <c r="C19" s="275"/>
      <c r="D19" s="135" t="s">
        <v>243</v>
      </c>
      <c r="E19" s="135"/>
    </row>
    <row r="20" spans="1:8" ht="29.25" customHeight="1" x14ac:dyDescent="0.25">
      <c r="A20" s="275" t="s">
        <v>245</v>
      </c>
      <c r="B20" s="275"/>
      <c r="C20" s="275"/>
      <c r="D20" s="135" t="s">
        <v>133</v>
      </c>
      <c r="E20" s="135"/>
    </row>
    <row r="21" spans="1:8" ht="29.25" customHeight="1" x14ac:dyDescent="0.25">
      <c r="A21" s="275"/>
      <c r="B21" s="275"/>
      <c r="C21" s="275"/>
      <c r="D21" s="135" t="s">
        <v>243</v>
      </c>
      <c r="E21" s="135"/>
    </row>
    <row r="23" spans="1:8" ht="15.75" customHeight="1" x14ac:dyDescent="0.25">
      <c r="A23" s="276" t="s">
        <v>246</v>
      </c>
      <c r="B23" s="276"/>
      <c r="C23" s="276"/>
      <c r="D23" s="276"/>
      <c r="E23" s="276"/>
    </row>
    <row r="24" spans="1:8" ht="16.5" thickBot="1" x14ac:dyDescent="0.3">
      <c r="A24" s="277"/>
      <c r="B24" s="277"/>
      <c r="C24" s="277"/>
      <c r="D24" s="277"/>
      <c r="E24" s="277"/>
    </row>
    <row r="25" spans="1:8" ht="16.5" thickBot="1" x14ac:dyDescent="0.3">
      <c r="A25" s="277"/>
      <c r="B25" s="277"/>
      <c r="C25" s="277"/>
      <c r="D25" s="277"/>
      <c r="E25" s="277"/>
    </row>
    <row r="26" spans="1:8" ht="16.5" thickBot="1" x14ac:dyDescent="0.3">
      <c r="A26" s="277"/>
      <c r="B26" s="277"/>
      <c r="C26" s="277"/>
      <c r="D26" s="277"/>
      <c r="E26" s="277"/>
    </row>
    <row r="28" spans="1:8" ht="78.75" customHeight="1" x14ac:dyDescent="0.25">
      <c r="A28" s="274" t="s">
        <v>247</v>
      </c>
      <c r="B28" s="274"/>
      <c r="C28" s="274"/>
      <c r="D28" s="274"/>
      <c r="E28" s="274"/>
    </row>
    <row r="30" spans="1:8" ht="33" customHeight="1" x14ac:dyDescent="0.25">
      <c r="A30" s="274" t="s">
        <v>248</v>
      </c>
      <c r="B30" s="274"/>
      <c r="C30" s="274"/>
      <c r="D30" s="274"/>
      <c r="E30" s="274"/>
      <c r="F30" s="136"/>
      <c r="G30" s="136"/>
      <c r="H30" s="136"/>
    </row>
    <row r="33" spans="1:5" ht="16.5" thickBot="1" x14ac:dyDescent="0.3">
      <c r="A33" s="137" t="str">
        <f>C5</f>
        <v>DJUMANIYAZOV SHERIPBAY AYITBAYEVICH</v>
      </c>
      <c r="D33" s="138"/>
      <c r="E33" s="139"/>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8"/>
  <sheetViews>
    <sheetView view="pageBreakPreview" zoomScaleSheetLayoutView="100" workbookViewId="0">
      <selection activeCell="A29" sqref="A29:D29"/>
    </sheetView>
  </sheetViews>
  <sheetFormatPr defaultColWidth="9.140625" defaultRowHeight="15.75" x14ac:dyDescent="0.25"/>
  <cols>
    <col min="1" max="1" width="20.140625" style="7" customWidth="1"/>
    <col min="2" max="2" width="18.7109375" style="7" customWidth="1"/>
    <col min="3" max="3" width="19.7109375" style="7" customWidth="1"/>
    <col min="4" max="4" width="28.7109375" style="7" customWidth="1"/>
    <col min="5" max="16384" width="9.140625" style="7"/>
  </cols>
  <sheetData>
    <row r="1" spans="1:4" ht="66.75" customHeight="1" x14ac:dyDescent="0.25">
      <c r="C1" s="291" t="str">
        <f>""&amp;'Общие данные'!B151&amp;"ning
"&amp;'Общие данные'!A154&amp;""</f>
        <v>«CLEVER MIKROMOLIYA TASHKILOTI» MChJning
To'rtko'l filial boshlig'i</v>
      </c>
      <c r="D1" s="291"/>
    </row>
    <row r="2" spans="1:4" x14ac:dyDescent="0.25">
      <c r="C2" s="14"/>
      <c r="D2" s="15" t="str">
        <f>""&amp;'Общие данные'!B154&amp;"ga"</f>
        <v>USMANOV X. I.ga</v>
      </c>
    </row>
    <row r="4" spans="1:4" x14ac:dyDescent="0.25">
      <c r="A4" s="290" t="str">
        <f>""&amp;'Общие данные'!C64&amp;" olish uchun Ariza"</f>
        <v>Mikroqarz olish uchun Ariza</v>
      </c>
      <c r="B4" s="290"/>
      <c r="C4" s="290"/>
      <c r="D4" s="290"/>
    </row>
    <row r="5" spans="1:4" x14ac:dyDescent="0.25">
      <c r="A5" s="290"/>
      <c r="B5" s="290"/>
      <c r="C5" s="290"/>
      <c r="D5" s="290"/>
    </row>
    <row r="6" spans="1:4" ht="63" customHeight="1" x14ac:dyDescent="0.25">
      <c r="A6" s="292" t="str">
        <f>""&amp;'Общие данные'!B28&amp;".-da yashovchi O‘zbekiston Respublikasi fuqarosi "&amp;'Общие данные'!B8&amp;"dan. "</f>
        <v xml:space="preserve">QORAQALPOG'ISTON RESPUBLIKASI TO'RTKO'L TUMANI ULLUBOG' OFY .-da yashovchi O‘zbekiston Respublikasi fuqarosi DJUMANIYAZOV SHERIPBAY AYITBAYEVICHdan. </v>
      </c>
      <c r="B6" s="292"/>
      <c r="C6" s="292"/>
      <c r="D6" s="292"/>
    </row>
    <row r="7" spans="1:4" ht="15.75" customHeight="1" x14ac:dyDescent="0.25">
      <c r="A7" s="292" t="str">
        <f>"Tug'ilgan kuni: "&amp;'Общие данные'!B15&amp;""</f>
        <v>Tug'ilgan kuni: 14.11.1971 y</v>
      </c>
      <c r="B7" s="292"/>
      <c r="C7" s="292"/>
      <c r="D7" s="292"/>
    </row>
    <row r="8" spans="1:4" ht="33" customHeight="1" x14ac:dyDescent="0.25">
      <c r="A8" s="292" t="str">
        <f>"Pasport seriyasi: "&amp;'Общие данные'!B16&amp;" "&amp;'Общие данные'!B20&amp;""</f>
        <v>Pasport seriyasi: KA 1247502 QORAQALPOG'ISTON RESPUBLIKASI TO'RTKO'L TUMANI IIB tomonidan 02.01.2019 yilda berilgan</v>
      </c>
      <c r="B8" s="292"/>
      <c r="C8" s="292"/>
      <c r="D8" s="292"/>
    </row>
    <row r="9" spans="1:4" ht="16.5" customHeight="1" x14ac:dyDescent="0.25">
      <c r="A9" s="292" t="str">
        <f>"Asosiy ish joyi : "&amp;'Общие данные'!B58&amp;""</f>
        <v>Asosiy ish joyi : Yakka tartibdagi tadbirkor</v>
      </c>
      <c r="B9" s="292"/>
      <c r="C9" s="292"/>
      <c r="D9" s="292"/>
    </row>
    <row r="10" spans="1:4" ht="15.75" customHeight="1" x14ac:dyDescent="0.25">
      <c r="A10" s="292" t="str">
        <f>"Lavozimi: "&amp;'Общие данные'!B59&amp;""</f>
        <v>Lavozimi: Yakka tartibdagi tadbirkor</v>
      </c>
      <c r="B10" s="292"/>
      <c r="C10" s="292"/>
      <c r="D10" s="292"/>
    </row>
    <row r="11" spans="1:4" x14ac:dyDescent="0.25">
      <c r="A11" s="292" t="str">
        <f>"O’rtacha oylik daromadi: "&amp;FIXED('Общие данные'!B60,2)&amp;" so'm."</f>
        <v>O’rtacha oylik daromadi: 15 000 000,00 so'm.</v>
      </c>
      <c r="B11" s="292"/>
      <c r="C11" s="292"/>
      <c r="D11" s="292"/>
    </row>
    <row r="12" spans="1:4" x14ac:dyDescent="0.25">
      <c r="A12" s="292" t="str">
        <f>"Menga quyidagi shartlarda "&amp;'Общие данные'!B65&amp;" berishingizni so’rayman:"</f>
        <v>Menga quyidagi shartlarda mikroqarz berishingizni so’rayman:</v>
      </c>
      <c r="B12" s="292"/>
      <c r="C12" s="292"/>
      <c r="D12" s="292"/>
    </row>
    <row r="13" spans="1:4" x14ac:dyDescent="0.25">
      <c r="A13" s="292" t="str">
        <f>""&amp;'Общие данные'!C64&amp;" summasi: "&amp;FIXED('Общие данные'!B76,2)&amp;" ("&amp;'Общие данные'!B77&amp;") so'm."</f>
        <v>Mikroqarz summasi: 35 000 000,00 (o'ttiz besh million so'm) so'm.</v>
      </c>
      <c r="B13" s="292"/>
      <c r="C13" s="292"/>
      <c r="D13" s="292"/>
    </row>
    <row r="14" spans="1:4" x14ac:dyDescent="0.25">
      <c r="A14" s="292" t="str">
        <f>""&amp;'Общие данные'!C64&amp;" muddati: "&amp;'Общие данные'!B82&amp;" ("&amp;'Общие данные'!B83&amp;") oy."</f>
        <v>Mikroqarz muddati: 24 (yigira to'rt) oy.</v>
      </c>
      <c r="B14" s="292"/>
      <c r="C14" s="292"/>
      <c r="D14" s="292"/>
    </row>
    <row r="15" spans="1:4" ht="17.25" customHeight="1" x14ac:dyDescent="0.25">
      <c r="A15" s="292" t="str">
        <f>""&amp;'Общие данные'!C64&amp;"dan foydalanganlik uchun foiz stavkasi: yillik  "&amp;'Общие данные'!B86&amp;"% ("&amp;'Общие данные'!B87&amp;") foiz"</f>
        <v>Mikroqarzdan foydalanganlik uchun foiz stavkasi: yillik  60% (Oltmish) foiz</v>
      </c>
      <c r="B15" s="292"/>
      <c r="C15" s="292"/>
      <c r="D15" s="292"/>
    </row>
    <row r="16" spans="1:4" x14ac:dyDescent="0.25">
      <c r="A16" s="292" t="str">
        <f>""&amp;'Общие данные'!C64&amp;" bo'yicha asosiy qarz va foizlarni to'lash:"</f>
        <v>Mikroqarz bo'yicha asosiy qarz va foizlarni to'lash:</v>
      </c>
      <c r="B16" s="292"/>
      <c r="C16" s="292"/>
      <c r="D16" s="292"/>
    </row>
    <row r="17" spans="1:5" ht="20.25" hidden="1" customHeight="1" x14ac:dyDescent="0.25">
      <c r="A17" s="293" t="str">
        <f>" - "&amp;'Общие данные'!B65&amp;" shartnomasi bo'yicha har oy differensial to'lovlari amalga oshiriladi"</f>
        <v xml:space="preserve"> - mikroqarz shartnomasi bo'yicha har oy differensial to'lovlari amalga oshiriladi</v>
      </c>
      <c r="B17" s="293"/>
      <c r="C17" s="293"/>
      <c r="D17" s="293"/>
    </row>
    <row r="18" spans="1:5" ht="33.75" hidden="1" customHeight="1" x14ac:dyDescent="0.25">
      <c r="A18" s="293" t="str">
        <f>" - "&amp;'Общие данные'!B65&amp;" shartnomasi bo'yicha har oy annuitet to'lovlari amalga oshiriladi"</f>
        <v xml:space="preserve"> - mikroqarz shartnomasi bo'yicha har oy annuitet to'lovlari amalga oshiriladi</v>
      </c>
      <c r="B18" s="293"/>
      <c r="C18" s="293"/>
      <c r="D18" s="293"/>
    </row>
    <row r="19" spans="1:5" ht="33.75" customHeight="1" x14ac:dyDescent="0.25">
      <c r="A19" s="293" t="str">
        <f>IF('Общие данные'!B78='Общие данные'!C78,'Кредитная заявка'!A17:D17,IF('Общие данные'!B78='Общие данные'!D78,'Кредитная заявка'!A18:D18))</f>
        <v xml:space="preserve"> - mikroqarz shartnomasi bo'yicha har oy annuitet to'lovlari amalga oshiriladi</v>
      </c>
      <c r="B19" s="293"/>
      <c r="C19" s="293"/>
      <c r="D19" s="293"/>
    </row>
    <row r="20" spans="1:5" ht="33.75" hidden="1" customHeight="1" x14ac:dyDescent="0.25">
      <c r="A20" s="292" t="str">
        <f>IF(DAY('Общие данные'!E67)&lt;15,"   ","  Oxirgi yakuniy to'lov "&amp;'Общие данные'!B65&amp;" shartnomasi tuzilgan kundan boshlab oxirgi oyning oxirgi kunida amalga oshiriladi")</f>
        <v xml:space="preserve">   </v>
      </c>
      <c r="B20" s="292"/>
      <c r="C20" s="292"/>
      <c r="D20" s="292"/>
    </row>
    <row r="21" spans="1:5" x14ac:dyDescent="0.25">
      <c r="A21" s="292" t="str">
        <f>""&amp;'Общие данные'!C64&amp;" ta’minoti Mikroqarz summasiga nisbatan 125% dan kam bo'lmagan holda:"</f>
        <v>Mikroqarz ta’minoti Mikroqarz summasiga nisbatan 125% dan kam bo'lmagan holda:</v>
      </c>
      <c r="B21" s="292"/>
      <c r="C21" s="292"/>
      <c r="D21" s="292"/>
    </row>
    <row r="22" spans="1:5" ht="81" customHeight="1" x14ac:dyDescent="0.25">
      <c r="A22" s="293" t="str">
        <f>"1. "&amp;IF('Общие данные'!B104="Avtotransport",A26,A23)&amp;""</f>
        <v>1.   Egalik huquqi MADRAXIMOV XOLMUROD RAMONBERDI O'GLIga tegishli bo'lgan garovga olingan avtomobil markasi   GM UZ / MATIZ DLX, rangi -  OQ-BELAYA KASABLANKA, ishlab chiqarilgan yili - 2007, davlat raqam belgisi 95P232GA, kuzov turi - YENGIL SEDAN, kuzov raqami XWB4A11AD8A152643, dvigatel raqami F8CV521561KB1, shassi raqami - RAKAMSIZ</v>
      </c>
      <c r="B22" s="293"/>
      <c r="C22" s="293"/>
      <c r="D22" s="293"/>
    </row>
    <row r="23" spans="1:5" ht="79.5" hidden="1" customHeight="1" x14ac:dyDescent="0.25">
      <c r="A23" s="293" t="str">
        <f>IF('Общие данные'!B93='Общие данные'!C93,A25,IF('Общие данные'!B93='Общие данные'!D93,A24,0))</f>
        <v xml:space="preserve"> Egalik huquqi 0ga tegishli bo'lgan umumiy maydoni - 72,13  va yashash maydoni - 37,39 3 - xonali yakka tartibdagi uy-joy, SAMARQAND VILOYATI TAYLOQ TUMANI CHAROG'BON MFY YANGI TAYLOQ QISHLOG'I 6 TURAR JOY 12 QAVAT 58 XONADON </v>
      </c>
      <c r="B23" s="293"/>
      <c r="C23" s="293"/>
      <c r="D23" s="293"/>
    </row>
    <row r="24" spans="1:5" ht="96.75" hidden="1" customHeight="1" x14ac:dyDescent="0.25">
      <c r="A24" s="293" t="str">
        <f>" - Navbatdagi garov (ipoteka) Egalik huquqi asosida  "&amp;'Общие данные'!C118&amp;"ga "&amp;'Общие данные'!C127&amp;", umumiy maydoni - "&amp;'Общие данные'!C131&amp;" va yashash maydoni - "&amp;'Общие данные'!C134&amp;", manzili: "&amp;'Общие данные'!C124&amp;"."</f>
        <v xml:space="preserve"> - Navbatdagi garov (ipoteka) Egalik huquqi asosida  0ga 3 - xonali yakka tartibdagi uy-joy, umumiy maydoni - 72,13 va yashash maydoni - 37,39, manzili: SAMARQAND VILOYATI TAYLOQ TUMANI CHAROG'BON MFY YANGI TAYLOQ QISHLOG'I 6 TURAR JOY 12 QAVAT 58 XONADON.</v>
      </c>
      <c r="B24" s="293"/>
      <c r="C24" s="293"/>
      <c r="D24" s="293"/>
      <c r="E24" s="169"/>
    </row>
    <row r="25" spans="1:5" ht="92.25" hidden="1" customHeight="1" x14ac:dyDescent="0.25">
      <c r="A25" s="293" t="str">
        <f>" Egalik huquqi "&amp;'Общие данные'!C118&amp;"ga tegishli bo'lgan umumiy maydoni - "&amp;'Общие данные'!C131&amp;"  va yashash maydoni - "&amp;'Общие данные'!C134&amp;" "&amp;'Общие данные'!C127&amp;", "&amp;'Общие данные'!C124&amp;" "</f>
        <v xml:space="preserve"> Egalik huquqi 0ga tegishli bo'lgan umumiy maydoni - 72,13  va yashash maydoni - 37,39 3 - xonali yakka tartibdagi uy-joy, SAMARQAND VILOYATI TAYLOQ TUMANI CHAROG'BON MFY YANGI TAYLOQ QISHLOG'I 6 TURAR JOY 12 QAVAT 58 XONADON </v>
      </c>
      <c r="B25" s="293"/>
      <c r="C25" s="293"/>
      <c r="D25" s="293"/>
    </row>
    <row r="26" spans="1:5" ht="78" hidden="1" customHeight="1" x14ac:dyDescent="0.25">
      <c r="A26" s="293" t="str">
        <f>IF('Общие данные'!B93='Общие данные'!C93,'Кредитная заявка'!A28:D28,IF('Общие данные'!B93='Общие данные'!D93,'Кредитная заявка'!A27:D27,0))</f>
        <v xml:space="preserve">  Egalik huquqi MADRAXIMOV XOLMUROD RAMONBERDI O'GLIga tegishli bo'lgan garovga olingan avtomobil markasi   GM UZ / MATIZ DLX, rangi -  OQ-BELAYA KASABLANKA, ishlab chiqarilgan yili - 2007, davlat raqam belgisi 95P232GA, kuzov turi - YENGIL SEDAN, kuzov raqami XWB4A11AD8A152643, dvigatel raqami F8CV521561KB1, shassi raqami - RAKAMSIZ</v>
      </c>
      <c r="B26" s="293"/>
      <c r="C26" s="293"/>
      <c r="D26" s="293"/>
    </row>
    <row r="27" spans="1:5" ht="93" hidden="1" customHeight="1" x14ac:dyDescent="0.25">
      <c r="A27" s="293" t="str">
        <f>" Egalik huquqi "&amp;'Общие данные'!B118&amp;"ga tegishli bo'lgan "&amp;'Общие данные'!B126&amp;", "&amp;'Общие данные'!B134&amp;", davlat raqam belgisi "&amp;'Общие данные'!B127&amp;", "&amp;'Общие данные'!B128&amp;", "&amp;'Общие данные'!B131&amp;" avtotransport vositasi "</f>
        <v xml:space="preserve"> Egalik huquqi MADRAXIMOV XOLMUROD RAMONBERDI O'GLIga tegishli bo'lgan GM UZ / MATIZ DLX, rangi -  OQ-BELAYA KASABLANKA, ishlab chiqarilgan yili - 2007, davlat raqam belgisi 95P232GA, kuzov turi - YENGIL SEDAN, kuzov raqami XWB4A11AD8A152643, dvigatel raqami F8CV521561KB1, shassi raqami - RAKAMSIZ avtotransport vositasi </v>
      </c>
      <c r="B27" s="293"/>
      <c r="C27" s="293"/>
      <c r="D27" s="293"/>
    </row>
    <row r="28" spans="1:5" ht="93.75" hidden="1" customHeight="1" x14ac:dyDescent="0.25">
      <c r="A28" s="293" t="str">
        <f>"  Egalik huquqi "&amp;'Общие данные'!B118&amp;"ga tegishli bo'lgan garovga olingan avtomobil markasi   "&amp;'Общие данные'!B126&amp;", "&amp;'Общие данные'!B134&amp;", davlat raqam belgisi "&amp;'Общие данные'!B127&amp;", "&amp;'Общие данные'!B128&amp;", "&amp;'Общие данные'!B131&amp;""</f>
        <v xml:space="preserve">  Egalik huquqi MADRAXIMOV XOLMUROD RAMONBERDI O'GLIga tegishli bo'lgan garovga olingan avtomobil markasi   GM UZ / MATIZ DLX, rangi -  OQ-BELAYA KASABLANKA, ishlab chiqarilgan yili - 2007, davlat raqam belgisi 95P232GA, kuzov turi - YENGIL SEDAN, kuzov raqami XWB4A11AD8A152643, dvigatel raqami F8CV521561KB1, shassi raqami - RAKAMSIZ</v>
      </c>
      <c r="B28" s="293"/>
      <c r="C28" s="293"/>
      <c r="D28" s="293"/>
    </row>
    <row r="29" spans="1:5" ht="33" customHeight="1" x14ac:dyDescent="0.25">
      <c r="A29" s="294" t="str">
        <f>"2. 	«"&amp;'Общие данные'!B147&amp;"» АJ sug‘urta kompaniyasi tomonidan Mikroqarz to'lamaslik xavfini "&amp;FIXED('Общие данные'!B148,2)&amp;"("&amp;'Общие данные'!B149&amp;") so ' m miqdoriga sug’urta qilish"</f>
        <v>2. 	«KAPITAL SUG'URTA» АJ sug‘urta kompaniyasi tomonidan Mikroqarz to'lamaslik xavfini 10 000 000,00(o'n million so'm) so ' m miqdoriga sug’urta qilish</v>
      </c>
      <c r="B29" s="294"/>
      <c r="C29" s="294"/>
      <c r="D29" s="294"/>
    </row>
    <row r="30" spans="1:5" ht="10.5" customHeight="1" x14ac:dyDescent="0.25">
      <c r="A30" s="292"/>
      <c r="B30" s="292"/>
      <c r="C30" s="292"/>
      <c r="D30" s="292"/>
    </row>
    <row r="31" spans="1:5" ht="53.25" customHeight="1" x14ac:dyDescent="0.25">
      <c r="A31" s="293" t="str">
        <f>"Mazkur ariza bilan "&amp;'Общие данные'!B151&amp;"ga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1" s="293"/>
      <c r="C31" s="293"/>
      <c r="D31" s="293"/>
    </row>
    <row r="32" spans="1:5" ht="15.75" customHeight="1" x14ac:dyDescent="0.25">
      <c r="A32" s="293" t="s">
        <v>249</v>
      </c>
      <c r="B32" s="293"/>
      <c r="C32" s="293"/>
      <c r="D32" s="293"/>
    </row>
    <row r="33" spans="1:4" x14ac:dyDescent="0.25">
      <c r="A33" s="293" t="s">
        <v>250</v>
      </c>
      <c r="B33" s="293"/>
      <c r="C33" s="293"/>
      <c r="D33" s="293"/>
    </row>
    <row r="34" spans="1:4" x14ac:dyDescent="0.25">
      <c r="A34" s="293" t="s">
        <v>251</v>
      </c>
      <c r="B34" s="293"/>
      <c r="C34" s="293"/>
      <c r="D34" s="293"/>
    </row>
    <row r="35" spans="1:4" x14ac:dyDescent="0.25">
      <c r="A35" s="292" t="str">
        <f>"Ariza berilgan sana: "&amp;TEXT('Общие данные'!B2,"ДД.ММ.ГГГГ")&amp;"y."</f>
        <v>Ariza berilgan sana: 06.01.2025y.</v>
      </c>
      <c r="B35" s="292"/>
      <c r="C35" s="292"/>
      <c r="D35" s="292"/>
    </row>
    <row r="36" spans="1:4" x14ac:dyDescent="0.25">
      <c r="A36" s="292"/>
      <c r="B36" s="292"/>
      <c r="C36" s="292"/>
      <c r="D36" s="292"/>
    </row>
    <row r="37" spans="1:4" x14ac:dyDescent="0.25">
      <c r="A37" s="292" t="s">
        <v>252</v>
      </c>
      <c r="B37" s="292"/>
      <c r="C37" s="292"/>
      <c r="D37" s="292"/>
    </row>
    <row r="38" spans="1:4" x14ac:dyDescent="0.25">
      <c r="A38" s="292"/>
      <c r="B38" s="292"/>
      <c r="C38" s="292"/>
      <c r="D38" s="292"/>
    </row>
    <row r="39" spans="1:4" x14ac:dyDescent="0.25">
      <c r="A39" s="292"/>
      <c r="B39" s="292"/>
      <c r="C39" s="292"/>
      <c r="D39" s="292"/>
    </row>
    <row r="40" spans="1:4" ht="15.75" customHeight="1" x14ac:dyDescent="0.25">
      <c r="A40" s="295" t="str">
        <f>'Общие данные'!B5</f>
        <v>DJUMANIYAZOV SHERIPBAY AYITBAYEVICH</v>
      </c>
      <c r="B40" s="295"/>
      <c r="C40" s="295"/>
      <c r="D40" s="12" t="s">
        <v>4</v>
      </c>
    </row>
    <row r="41" spans="1:4" x14ac:dyDescent="0.25">
      <c r="A41" s="11"/>
      <c r="B41" s="11"/>
      <c r="D41" s="13" t="s">
        <v>333</v>
      </c>
    </row>
    <row r="42" spans="1:4" x14ac:dyDescent="0.25">
      <c r="A42" s="292"/>
      <c r="B42" s="292"/>
      <c r="C42" s="292"/>
      <c r="D42" s="292"/>
    </row>
    <row r="43" spans="1:4" x14ac:dyDescent="0.25">
      <c r="A43" s="292"/>
      <c r="B43" s="292"/>
      <c r="C43" s="292"/>
      <c r="D43" s="292"/>
    </row>
    <row r="44" spans="1:4" x14ac:dyDescent="0.25">
      <c r="A44" s="292"/>
      <c r="B44" s="292"/>
      <c r="C44" s="292"/>
      <c r="D44" s="292"/>
    </row>
    <row r="45" spans="1:4" x14ac:dyDescent="0.25">
      <c r="A45" s="292"/>
      <c r="B45" s="292"/>
      <c r="C45" s="292"/>
      <c r="D45" s="292"/>
    </row>
    <row r="46" spans="1:4" x14ac:dyDescent="0.25">
      <c r="A46" s="292"/>
      <c r="B46" s="292"/>
      <c r="C46" s="292"/>
      <c r="D46" s="292"/>
    </row>
    <row r="47" spans="1:4" x14ac:dyDescent="0.25">
      <c r="A47" s="292"/>
      <c r="B47" s="292"/>
      <c r="C47" s="292"/>
      <c r="D47" s="292"/>
    </row>
    <row r="48" spans="1:4" x14ac:dyDescent="0.25">
      <c r="A48" s="292"/>
      <c r="B48" s="292"/>
      <c r="C48" s="292"/>
      <c r="D48" s="292"/>
    </row>
    <row r="49" spans="1:4" x14ac:dyDescent="0.25">
      <c r="A49" s="292"/>
      <c r="B49" s="292"/>
      <c r="C49" s="292"/>
      <c r="D49" s="292"/>
    </row>
    <row r="50" spans="1:4" x14ac:dyDescent="0.25">
      <c r="A50" s="292"/>
      <c r="B50" s="292"/>
      <c r="C50" s="292"/>
      <c r="D50" s="292"/>
    </row>
    <row r="51" spans="1:4" x14ac:dyDescent="0.25">
      <c r="A51" s="292"/>
      <c r="B51" s="292"/>
      <c r="C51" s="292"/>
      <c r="D51" s="292"/>
    </row>
    <row r="52" spans="1:4" x14ac:dyDescent="0.25">
      <c r="A52" s="292"/>
      <c r="B52" s="292"/>
      <c r="C52" s="292"/>
      <c r="D52" s="292"/>
    </row>
    <row r="53" spans="1:4" x14ac:dyDescent="0.25">
      <c r="A53" s="292"/>
      <c r="B53" s="292"/>
      <c r="C53" s="292"/>
      <c r="D53" s="292"/>
    </row>
    <row r="54" spans="1:4" x14ac:dyDescent="0.25">
      <c r="A54" s="292"/>
      <c r="B54" s="292"/>
      <c r="C54" s="292"/>
      <c r="D54" s="292"/>
    </row>
    <row r="55" spans="1:4" x14ac:dyDescent="0.25">
      <c r="A55" s="292"/>
      <c r="B55" s="292"/>
      <c r="C55" s="292"/>
      <c r="D55" s="292"/>
    </row>
    <row r="56" spans="1:4" x14ac:dyDescent="0.25">
      <c r="A56" s="292"/>
      <c r="B56" s="292"/>
      <c r="C56" s="292"/>
      <c r="D56" s="292"/>
    </row>
    <row r="57" spans="1:4" x14ac:dyDescent="0.25">
      <c r="A57" s="292"/>
      <c r="B57" s="292"/>
      <c r="C57" s="292"/>
      <c r="D57" s="292"/>
    </row>
    <row r="58" spans="1:4" x14ac:dyDescent="0.25">
      <c r="A58" s="292"/>
      <c r="B58" s="292"/>
      <c r="C58" s="292"/>
      <c r="D58" s="292"/>
    </row>
    <row r="59" spans="1:4" x14ac:dyDescent="0.25">
      <c r="A59" s="292"/>
      <c r="B59" s="292"/>
      <c r="C59" s="292"/>
      <c r="D59" s="292"/>
    </row>
    <row r="60" spans="1:4" x14ac:dyDescent="0.25">
      <c r="A60" s="292"/>
      <c r="B60" s="292"/>
      <c r="C60" s="292"/>
      <c r="D60" s="292"/>
    </row>
    <row r="61" spans="1:4" x14ac:dyDescent="0.25">
      <c r="A61" s="292"/>
      <c r="B61" s="292"/>
      <c r="C61" s="292"/>
      <c r="D61" s="292"/>
    </row>
    <row r="62" spans="1:4" x14ac:dyDescent="0.25">
      <c r="A62" s="292"/>
      <c r="B62" s="292"/>
      <c r="C62" s="292"/>
      <c r="D62" s="292"/>
    </row>
    <row r="63" spans="1:4" x14ac:dyDescent="0.25">
      <c r="A63" s="292"/>
      <c r="B63" s="292"/>
      <c r="C63" s="292"/>
      <c r="D63" s="292"/>
    </row>
    <row r="64" spans="1:4" x14ac:dyDescent="0.25">
      <c r="A64" s="292"/>
      <c r="B64" s="292"/>
      <c r="C64" s="292"/>
      <c r="D64" s="292"/>
    </row>
    <row r="65" spans="1:4" x14ac:dyDescent="0.25">
      <c r="A65" s="292"/>
      <c r="B65" s="292"/>
      <c r="C65" s="292"/>
      <c r="D65" s="292"/>
    </row>
    <row r="66" spans="1:4" x14ac:dyDescent="0.25">
      <c r="A66" s="292"/>
      <c r="B66" s="292"/>
      <c r="C66" s="292"/>
      <c r="D66" s="292"/>
    </row>
    <row r="67" spans="1:4" x14ac:dyDescent="0.25">
      <c r="A67" s="292"/>
      <c r="B67" s="292"/>
      <c r="C67" s="292"/>
      <c r="D67" s="292"/>
    </row>
    <row r="68" spans="1:4" x14ac:dyDescent="0.25">
      <c r="A68" s="292"/>
      <c r="B68" s="292"/>
      <c r="C68" s="292"/>
      <c r="D68" s="292"/>
    </row>
    <row r="69" spans="1:4" x14ac:dyDescent="0.25">
      <c r="A69" s="292"/>
      <c r="B69" s="292"/>
      <c r="C69" s="292"/>
      <c r="D69" s="292"/>
    </row>
    <row r="70" spans="1:4" x14ac:dyDescent="0.25">
      <c r="A70" s="292"/>
      <c r="B70" s="292"/>
      <c r="C70" s="292"/>
      <c r="D70" s="292"/>
    </row>
    <row r="71" spans="1:4" x14ac:dyDescent="0.25">
      <c r="A71" s="292"/>
      <c r="B71" s="292"/>
      <c r="C71" s="292"/>
      <c r="D71" s="292"/>
    </row>
    <row r="72" spans="1:4" x14ac:dyDescent="0.25">
      <c r="A72" s="292"/>
      <c r="B72" s="292"/>
      <c r="C72" s="292"/>
      <c r="D72" s="292"/>
    </row>
    <row r="73" spans="1:4" x14ac:dyDescent="0.25">
      <c r="A73" s="292"/>
      <c r="B73" s="292"/>
      <c r="C73" s="292"/>
      <c r="D73" s="292"/>
    </row>
    <row r="74" spans="1:4" x14ac:dyDescent="0.25">
      <c r="A74" s="292"/>
      <c r="B74" s="292"/>
      <c r="C74" s="292"/>
      <c r="D74" s="292"/>
    </row>
    <row r="75" spans="1:4" x14ac:dyDescent="0.25">
      <c r="A75" s="292"/>
      <c r="B75" s="292"/>
      <c r="C75" s="292"/>
      <c r="D75" s="292"/>
    </row>
    <row r="76" spans="1:4" x14ac:dyDescent="0.25">
      <c r="A76" s="292"/>
      <c r="B76" s="292"/>
      <c r="C76" s="292"/>
      <c r="D76" s="292"/>
    </row>
    <row r="77" spans="1:4" x14ac:dyDescent="0.25">
      <c r="A77" s="292"/>
      <c r="B77" s="292"/>
      <c r="C77" s="292"/>
      <c r="D77" s="292"/>
    </row>
    <row r="78" spans="1:4" x14ac:dyDescent="0.25">
      <c r="A78" s="292"/>
      <c r="B78" s="292"/>
      <c r="C78" s="292"/>
      <c r="D78" s="292"/>
    </row>
  </sheetData>
  <mergeCells count="75">
    <mergeCell ref="A76:D76"/>
    <mergeCell ref="A77:D77"/>
    <mergeCell ref="A78:D78"/>
    <mergeCell ref="A40:C40"/>
    <mergeCell ref="A71:D71"/>
    <mergeCell ref="A72:D72"/>
    <mergeCell ref="A73:D73"/>
    <mergeCell ref="A74:D74"/>
    <mergeCell ref="A75:D75"/>
    <mergeCell ref="A66:D66"/>
    <mergeCell ref="A67:D67"/>
    <mergeCell ref="A68:D68"/>
    <mergeCell ref="A69:D69"/>
    <mergeCell ref="A70:D70"/>
    <mergeCell ref="A61:D61"/>
    <mergeCell ref="A62:D62"/>
    <mergeCell ref="A63:D63"/>
    <mergeCell ref="A64:D64"/>
    <mergeCell ref="A65:D65"/>
    <mergeCell ref="A56:D56"/>
    <mergeCell ref="A57:D57"/>
    <mergeCell ref="A58:D58"/>
    <mergeCell ref="A59:D59"/>
    <mergeCell ref="A60:D60"/>
    <mergeCell ref="A51:D51"/>
    <mergeCell ref="A52:D52"/>
    <mergeCell ref="A53:D53"/>
    <mergeCell ref="A54:D54"/>
    <mergeCell ref="A55:D55"/>
    <mergeCell ref="A46:D46"/>
    <mergeCell ref="A47:D47"/>
    <mergeCell ref="A48:D48"/>
    <mergeCell ref="A49:D49"/>
    <mergeCell ref="A50:D50"/>
    <mergeCell ref="A35:D35"/>
    <mergeCell ref="A42:D42"/>
    <mergeCell ref="A43:D43"/>
    <mergeCell ref="A44:D44"/>
    <mergeCell ref="A45:D45"/>
    <mergeCell ref="A36:D36"/>
    <mergeCell ref="A37:D37"/>
    <mergeCell ref="A38:D38"/>
    <mergeCell ref="A39:D39"/>
    <mergeCell ref="A31:D31"/>
    <mergeCell ref="A32:D32"/>
    <mergeCell ref="A33:D33"/>
    <mergeCell ref="A34:D34"/>
    <mergeCell ref="A28:D28"/>
    <mergeCell ref="A30:D30"/>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Normal="100" zoomScaleSheetLayoutView="100" workbookViewId="0">
      <selection activeCell="I35" sqref="I35"/>
    </sheetView>
  </sheetViews>
  <sheetFormatPr defaultRowHeight="15" x14ac:dyDescent="0.25"/>
  <cols>
    <col min="1" max="1" width="54.42578125" style="16" customWidth="1"/>
    <col min="2" max="2" width="32.28515625" style="16" customWidth="1"/>
  </cols>
  <sheetData>
    <row r="3" spans="1:2" ht="35.25" customHeight="1" x14ac:dyDescent="0.25">
      <c r="A3" s="296" t="s">
        <v>215</v>
      </c>
      <c r="B3" s="296"/>
    </row>
    <row r="4" spans="1:2" ht="92.25" customHeight="1" x14ac:dyDescent="0.25">
      <c r="A4" s="234" t="str">
        <f>"     Men, fuqaro "&amp;'Общие данные'!B5&amp;" "&amp;'Общие данные'!B153&amp;" bilan "&amp;'Общие данные'!B69&amp;" sanasidagi "&amp;'Общие данные'!B66&amp;"-sonli shartnomaning garov ta'minoti sifatida taqdim etilayotgan mulk "&amp;'Общие данные'!B126&amp;" rusumli avtotransport vositasini qonunga xilof ravishda o‘zlashtirmaslikka, yashirmaslikka, nobud qilmaslikka yoki unga shikast yetkazmaslik majburiyatini olaman."</f>
        <v xml:space="preserve">     Men, fuqaro DJUMANIYAZOV SHERIPBAY AYITBAYEVICH «CLEVER MIKROMOLIYA TASHKILOTI» MChJ bilan 6 yanvar 2025 y. sanasidagi №-TR-sonli shartnomaning garov ta'minoti sifatida taqdim etilayotgan mulk GM UZ / MATIZ DLX rusumli avtotransport vositasini qonunga xilof ravishda o‘zlashtirmaslikka, yashirmaslikka, nobud qilmaslikka yoki unga shikast yetkazmaslik majburiyatini olaman.</v>
      </c>
      <c r="B4" s="234"/>
    </row>
    <row r="5" spans="1:2" ht="56.25" customHeight="1" x14ac:dyDescent="0.25">
      <c r="A5" s="297" t="s">
        <v>216</v>
      </c>
      <c r="B5" s="297"/>
    </row>
    <row r="6" spans="1:2" ht="42.75" customHeight="1" x14ac:dyDescent="0.25"/>
    <row r="7" spans="1:2" x14ac:dyDescent="0.25">
      <c r="A7" s="16" t="str">
        <f>'Общие данные'!B5</f>
        <v>DJUMANIYAZOV SHERIPBAY AYITBAYEVICH</v>
      </c>
      <c r="B7" s="149" t="s">
        <v>217</v>
      </c>
    </row>
    <row r="8" spans="1:2" ht="26.25" customHeight="1" x14ac:dyDescent="0.25"/>
    <row r="9" spans="1:2" ht="26.25" customHeight="1" x14ac:dyDescent="0.25"/>
    <row r="10" spans="1:2" ht="26.25" customHeight="1" x14ac:dyDescent="0.25"/>
    <row r="11" spans="1:2" x14ac:dyDescent="0.25">
      <c r="A11" s="16" t="str">
        <f>"sana:   "&amp;TEXT('Общие данные'!B2,"ДД.ММ.ГГГГ")&amp;" y."</f>
        <v>sana:   06.01.2025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9"/>
  <sheetViews>
    <sheetView view="pageBreakPreview" zoomScale="90" zoomScaleSheetLayoutView="90" workbookViewId="0">
      <selection activeCell="A29" sqref="A29:E29"/>
    </sheetView>
  </sheetViews>
  <sheetFormatPr defaultColWidth="9.140625" defaultRowHeight="15" outlineLevelRow="1" x14ac:dyDescent="0.25"/>
  <cols>
    <col min="1" max="1" width="23.7109375" style="16" customWidth="1"/>
    <col min="2" max="5" width="17" style="16" customWidth="1"/>
    <col min="6" max="16384" width="9.140625" style="16"/>
  </cols>
  <sheetData>
    <row r="1" spans="1:5" ht="36" customHeight="1" x14ac:dyDescent="0.25">
      <c r="A1" s="260" t="str">
        <f>""&amp;'Общие данные'!B151&amp;"
mikromoliya tashkilotining Xulosasi"</f>
        <v>«CLEVER MIKROMOLIYA TASHKILOTI» MChJ
mikromoliya tashkilotining Xulosasi</v>
      </c>
      <c r="B1" s="260"/>
      <c r="C1" s="260"/>
      <c r="D1" s="260"/>
      <c r="E1" s="260"/>
    </row>
    <row r="2" spans="1:5" x14ac:dyDescent="0.25">
      <c r="A2" s="234"/>
      <c r="B2" s="234"/>
      <c r="C2" s="234"/>
      <c r="D2" s="234"/>
      <c r="E2" s="234"/>
    </row>
    <row r="3" spans="1:5" x14ac:dyDescent="0.25">
      <c r="A3" s="260" t="s">
        <v>204</v>
      </c>
      <c r="B3" s="260"/>
      <c r="C3" s="260"/>
      <c r="D3" s="260"/>
      <c r="E3" s="260"/>
    </row>
    <row r="4" spans="1:5" x14ac:dyDescent="0.25">
      <c r="A4" s="234" t="str">
        <f>"Mijozning to'liq ismi sharifi: "&amp;'Общие данные'!B5&amp;""</f>
        <v>Mijozning to'liq ismi sharifi: DJUMANIYAZOV SHERIPBAY AYITBAYEVICH</v>
      </c>
      <c r="B4" s="234"/>
      <c r="C4" s="234"/>
      <c r="D4" s="234"/>
      <c r="E4" s="234"/>
    </row>
    <row r="5" spans="1:5" x14ac:dyDescent="0.25">
      <c r="A5" s="234" t="str">
        <f>"Tug'ilgan sanasi: "&amp;'Общие данные'!B15&amp;""</f>
        <v>Tug'ilgan sanasi: 14.11.1971 y</v>
      </c>
      <c r="B5" s="234"/>
      <c r="C5" s="234"/>
      <c r="D5" s="234"/>
      <c r="E5" s="234"/>
    </row>
    <row r="6" spans="1:5" ht="31.5" customHeight="1" x14ac:dyDescent="0.25">
      <c r="A6" s="234" t="str">
        <f>"Pasport seriyasi "&amp;'Общие данные'!B16&amp;" "&amp;'Общие данные'!B20&amp;", amal qilish muddati - "&amp;'Общие данные'!B21&amp;""</f>
        <v>Pasport seriyasi KA 1247502 QORAQALPOG'ISTON RESPUBLIKASI TO'RTKO'L TUMANI IIB tomonidan 02.01.2019 yilda berilgan, amal qilish muddati - 01.01.2029 y.</v>
      </c>
      <c r="B6" s="234"/>
      <c r="C6" s="234"/>
      <c r="D6" s="234"/>
      <c r="E6" s="234"/>
    </row>
    <row r="7" spans="1:5" ht="48" customHeight="1" x14ac:dyDescent="0.25">
      <c r="A7" s="234" t="str">
        <f>"Ro‘yxatdan o‘tgan manzili: "&amp;'Общие данные'!B28&amp;", mo'ljal: "&amp;'Общие данные'!B26&amp;""</f>
        <v>Ro‘yxatdan o‘tgan manzili: QORAQALPOG'ISTON RESPUBLIKASI TO'RTKO'L TUMANI ULLUBOG' OFY , mo'ljal: 62-SONLI YORDAMCHI MAKTABNI YONI</v>
      </c>
      <c r="B7" s="234"/>
      <c r="C7" s="234"/>
      <c r="D7" s="234"/>
      <c r="E7" s="234"/>
    </row>
    <row r="8" spans="1:5" ht="23.25" customHeight="1" x14ac:dyDescent="0.25">
      <c r="A8" s="234" t="str">
        <f>"Ish joyi: "&amp;'Общие данные'!B52&amp;" lavozimi "&amp;'Общие данные'!B49&amp;"da "&amp;'Общие данные'!B44&amp;""</f>
        <v>Ish joyi:  lavozimi Yakka tartibdagi tadbirkorda Yakka tartibdagi tadbirkor</v>
      </c>
      <c r="B8" s="234"/>
      <c r="C8" s="234"/>
      <c r="D8" s="234"/>
      <c r="E8" s="234"/>
    </row>
    <row r="9" spans="1:5" x14ac:dyDescent="0.25">
      <c r="A9" s="234"/>
      <c r="B9" s="234"/>
      <c r="C9" s="234"/>
      <c r="D9" s="234"/>
      <c r="E9" s="234"/>
    </row>
    <row r="10" spans="1:5" x14ac:dyDescent="0.25">
      <c r="A10" s="260" t="str">
        <f>"Mijoz tomonidan so’ralgan "&amp;'Общие данные'!B65&amp;" shartlari:"</f>
        <v>Mijoz tomonidan so’ralgan mikroqarz shartlari:</v>
      </c>
      <c r="B10" s="260"/>
      <c r="C10" s="260"/>
      <c r="D10" s="260"/>
      <c r="E10" s="260"/>
    </row>
    <row r="11" spans="1:5" x14ac:dyDescent="0.25">
      <c r="A11" s="234" t="str">
        <f>'Кредитная заявка'!A13:D13</f>
        <v>Mikroqarz summasi: 35 000 000,00 (o'ttiz besh million so'm) so'm.</v>
      </c>
      <c r="B11" s="234"/>
      <c r="C11" s="234"/>
      <c r="D11" s="234"/>
      <c r="E11" s="234"/>
    </row>
    <row r="12" spans="1:5" x14ac:dyDescent="0.25">
      <c r="A12" s="234" t="str">
        <f>'Кредитная заявка'!A14:D14</f>
        <v>Mikroqarz muddati: 24 (yigira to'rt) oy.</v>
      </c>
      <c r="B12" s="234"/>
      <c r="C12" s="234"/>
      <c r="D12" s="234"/>
      <c r="E12" s="234"/>
    </row>
    <row r="13" spans="1:5" x14ac:dyDescent="0.25">
      <c r="A13" s="234" t="str">
        <f>'Кредитная заявка'!A15:D15</f>
        <v>Mikroqarzdan foydalanganlik uchun foiz stavkasi: yillik  60% (Oltmish) foiz</v>
      </c>
      <c r="B13" s="234"/>
      <c r="C13" s="234"/>
      <c r="D13" s="234"/>
      <c r="E13" s="234"/>
    </row>
    <row r="14" spans="1:5" x14ac:dyDescent="0.25">
      <c r="A14" s="234" t="str">
        <f>'Кредитная заявка'!A16:D16</f>
        <v>Mikroqarz bo'yicha asosiy qarz va foizlarni to'lash:</v>
      </c>
      <c r="B14" s="234"/>
      <c r="C14" s="234"/>
      <c r="D14" s="234"/>
      <c r="E14" s="234"/>
    </row>
    <row r="15" spans="1:5" ht="18.75" customHeight="1" x14ac:dyDescent="0.25">
      <c r="A15" s="234" t="str">
        <f>'Кредитная заявка'!A19:D19</f>
        <v xml:space="preserve"> - mikroqarz shartnomasi bo'yicha har oy annuitet to'lovlari amalga oshiriladi</v>
      </c>
      <c r="B15" s="234"/>
      <c r="C15" s="234"/>
      <c r="D15" s="234"/>
      <c r="E15" s="234"/>
    </row>
    <row r="16" spans="1:5" ht="14.25" customHeight="1" x14ac:dyDescent="0.25">
      <c r="A16" s="229" t="str">
        <f>'Кредитная заявка'!A20:D20</f>
        <v xml:space="preserve">   </v>
      </c>
      <c r="B16" s="229"/>
      <c r="C16" s="229"/>
      <c r="D16" s="229"/>
      <c r="E16" s="229"/>
    </row>
    <row r="17" spans="1:5" x14ac:dyDescent="0.25">
      <c r="A17" s="234" t="str">
        <f>'Кредитная заявка'!A21:D21</f>
        <v>Mikroqarz ta’minoti Mikroqarz summasiga nisbatan 125% dan kam bo'lmagan holda:</v>
      </c>
      <c r="B17" s="234"/>
      <c r="C17" s="234"/>
      <c r="D17" s="234"/>
      <c r="E17" s="234"/>
    </row>
    <row r="18" spans="1:5" ht="67.5" customHeight="1" x14ac:dyDescent="0.25">
      <c r="A18" s="234" t="str">
        <f>'Кредитная заявка'!A22:D22</f>
        <v>1.   Egalik huquqi MADRAXIMOV XOLMUROD RAMONBERDI O'GLIga tegishli bo'lgan garovga olingan avtomobil markasi   GM UZ / MATIZ DLX, rangi -  OQ-BELAYA KASABLANKA, ishlab chiqarilgan yili - 2007, davlat raqam belgisi 95P232GA, kuzov turi - YENGIL SEDAN, kuzov raqami XWB4A11AD8A152643, dvigatel raqami F8CV521561KB1, shassi raqami - RAKAMSIZ</v>
      </c>
      <c r="B18" s="234"/>
      <c r="C18" s="234"/>
      <c r="D18" s="234"/>
      <c r="E18" s="234"/>
    </row>
    <row r="19" spans="1:5" x14ac:dyDescent="0.25">
      <c r="A19" s="260" t="s">
        <v>205</v>
      </c>
      <c r="B19" s="260"/>
      <c r="C19" s="260"/>
      <c r="D19" s="260"/>
      <c r="E19" s="260"/>
    </row>
    <row r="20" spans="1:5" ht="21" customHeight="1" x14ac:dyDescent="0.25">
      <c r="A20" s="234" t="str">
        <f>"Anketaga muvofiq "&amp;'Общие данные'!B9&amp;"ning o‘rtacha oylik daromadi  "&amp;FIXED('Общие данные'!B60)&amp;" so‘mni tashkil etdi."</f>
        <v>Anketaga muvofiq DJUMANIYAZOV SH Aning o‘rtacha oylik daromadi  15 000 000,00 so‘mni tashkil etdi.</v>
      </c>
      <c r="B20" s="234"/>
      <c r="C20" s="234"/>
      <c r="D20" s="234"/>
      <c r="E20" s="234"/>
    </row>
    <row r="21" spans="1:5" ht="21" customHeight="1" x14ac:dyDescent="0.25">
      <c r="A21" s="234" t="str">
        <f>"Mijozning o'rtacha oylik xarajatlari "&amp;FIXED('Анкета Клиента'!F27)&amp;" so'mni tashkil etdi"</f>
        <v>Mijozning o'rtacha oylik xarajatlari 1 550 000,00 so'mni tashkil etdi</v>
      </c>
      <c r="B21" s="234"/>
      <c r="C21" s="234"/>
      <c r="D21" s="234"/>
      <c r="E21" s="234"/>
    </row>
    <row r="22" spans="1:5" ht="18" hidden="1" customHeight="1" x14ac:dyDescent="0.25">
      <c r="A22" s="234" t="str">
        <f>IF('Общие данные'!B78='Общие данные'!C78,'Заключение КК'!A23:E23,'Заключение КК'!A24:E24)</f>
        <v>Mikroqarz bo‘yicha oylik annuitet to‘lovi miqdori 2 536 000,00 so‘mni tashkil etadi.</v>
      </c>
      <c r="B22" s="234"/>
      <c r="C22" s="234"/>
      <c r="D22" s="234"/>
      <c r="E22" s="234"/>
    </row>
    <row r="23" spans="1:5" ht="21" hidden="1" customHeight="1" x14ac:dyDescent="0.25">
      <c r="A23" s="234" t="str">
        <f>""&amp;'Общие данные'!C64&amp;" shartnomasi bo'yicha birinchi oy uchun to'lov "&amp;FIXED('Общие данные'!B91)&amp;" so'mni tashkil etadi."</f>
        <v>Mikroqarz shartnomasi bo'yicha birinchi oy uchun to'lov 2 536 000,00 so'mni tashkil etadi.</v>
      </c>
      <c r="B23" s="234"/>
      <c r="C23" s="234"/>
      <c r="D23" s="234"/>
      <c r="E23" s="234"/>
    </row>
    <row r="24" spans="1:5" ht="19.5" customHeight="1" x14ac:dyDescent="0.25">
      <c r="A24" s="234" t="str">
        <f>""&amp;'Общие данные'!C64&amp;" bo‘yicha oylik "&amp;'Общие данные'!B78&amp;" to‘lovi miqdori "&amp;FIXED('Общие данные'!B91)&amp;" so‘mni tashkil etadi."</f>
        <v>Mikroqarz bo‘yicha oylik annuitet to‘lovi miqdori 2 536 000,00 so‘mni tashkil etadi.</v>
      </c>
      <c r="B24" s="234"/>
      <c r="C24" s="234"/>
      <c r="D24" s="234"/>
      <c r="E24" s="234"/>
    </row>
    <row r="25" spans="1:5" ht="44.25" customHeight="1" x14ac:dyDescent="0.25">
      <c r="A25" s="229" t="s">
        <v>434</v>
      </c>
      <c r="B25" s="229"/>
      <c r="C25" s="229"/>
      <c r="D25" s="229"/>
      <c r="E25" s="229"/>
    </row>
    <row r="26" spans="1:5" x14ac:dyDescent="0.25">
      <c r="A26" s="260" t="str">
        <f>""&amp;'Общие данные'!C64&amp;" bo’yicha ta’minot:"</f>
        <v>Mikroqarz bo’yicha ta’minot:</v>
      </c>
      <c r="B26" s="260"/>
      <c r="C26" s="260"/>
      <c r="D26" s="260"/>
      <c r="E26" s="260"/>
    </row>
    <row r="27" spans="1:5" ht="31.5" hidden="1" customHeight="1" x14ac:dyDescent="0.25">
      <c r="A27" s="234" t="str">
        <f>" - "&amp;'Общие данные'!B118&amp;" ga mulk huquqi asosida tegishli avtotransport vositasi "&amp;'Общие данные'!B126&amp;" , quyidagi tafsilotlarga muvofiq:"</f>
        <v xml:space="preserve"> - MADRAXIMOV XOLMUROD RAMONBERDI O'GLI ga mulk huquqi asosida tegishli avtotransport vositasi GM UZ / MATIZ DLX , quyidagi tafsilotlarga muvofiq:</v>
      </c>
      <c r="B27" s="234"/>
      <c r="C27" s="234"/>
      <c r="D27" s="234"/>
      <c r="E27" s="234"/>
    </row>
    <row r="28" spans="1:5" ht="67.5" hidden="1" customHeight="1" x14ac:dyDescent="0.25">
      <c r="A28" s="234" t="str">
        <f>" -   "&amp;'Общие данные'!C118&amp;" ga mulk huquqi asosida tegishli ko'chmas mulk shaklida "&amp;'Общие данные'!C127&amp;", manzili: "&amp;'Общие данные'!C124&amp;", quyidagi tafsilotlarga muvofiq:"</f>
        <v xml:space="preserve"> -   0 ga mulk huquqi asosida tegishli ko'chmas mulk shaklida 3 - xonali yakka tartibdagi uy-joy, manzili: SAMARQAND VILOYATI TAYLOQ TUMANI CHAROG'BON MFY YANGI TAYLOQ QISHLOG'I 6 TURAR JOY 12 QAVAT 58 XONADON, quyidagi tafsilotlarga muvofiq:</v>
      </c>
      <c r="B28" s="234"/>
      <c r="C28" s="234"/>
      <c r="D28" s="234"/>
      <c r="E28" s="234"/>
    </row>
    <row r="29" spans="1:5" ht="44.25" customHeight="1" x14ac:dyDescent="0.25">
      <c r="A29" s="234" t="str">
        <f>IF('Общие данные'!B104="Avtotransport",'Заключение КК'!A27:E27,'Заключение КК'!A28:E28)</f>
        <v xml:space="preserve"> - MADRAXIMOV XOLMUROD RAMONBERDI O'GLI ga mulk huquqi asosida tegishli avtotransport vositasi GM UZ / MATIZ DLX , quyidagi tafsilotlarga muvofiq:</v>
      </c>
      <c r="B29" s="234"/>
      <c r="C29" s="234"/>
      <c r="D29" s="234"/>
      <c r="E29" s="234"/>
    </row>
    <row r="30" spans="1:5" s="17" customFormat="1" ht="47.25" customHeight="1" outlineLevel="1" x14ac:dyDescent="0.25">
      <c r="A30" s="40" t="str">
        <f>'Акт согласования'!A29</f>
        <v>Nomi</v>
      </c>
      <c r="B30" s="40" t="str">
        <f>'Акт согласования'!B29</f>
        <v>Kuzov turi  va kuzov raqami*</v>
      </c>
      <c r="C30" s="40" t="str">
        <f>'Акт согласования'!C29</f>
        <v>Dvigatel va shassi raqami*</v>
      </c>
      <c r="D30" s="40" t="str">
        <f>'Акт согласования'!D29</f>
        <v>Ishlab chiqarilgan yili va rangi*</v>
      </c>
      <c r="E30" s="40" t="str">
        <f>'Акт согласования'!E29</f>
        <v>Kelishilgan garov qiymati, so'm</v>
      </c>
    </row>
    <row r="31" spans="1:5" s="21" customFormat="1" ht="92.25" customHeight="1" outlineLevel="1" x14ac:dyDescent="0.25">
      <c r="A31" s="18" t="str">
        <f>'Акт согласования'!A30</f>
        <v>GM UZ / MATIZ DLX</v>
      </c>
      <c r="B31" s="18" t="str">
        <f>'Акт согласования'!B30</f>
        <v>kuzov turi - YENGIL SEDAN, kuzov raqami XWB4A11AD8A152643</v>
      </c>
      <c r="C31" s="18" t="str">
        <f>'Акт согласования'!C30</f>
        <v>dvigatel raqami F8CV521561KB1, shassi raqami - RAKAMSIZ</v>
      </c>
      <c r="D31" s="18" t="str">
        <f>'Акт согласования'!D30</f>
        <v>rangi -  OQ-BELAYA KASABLANKA, ishlab chiqarilgan yili - 2007</v>
      </c>
      <c r="E31" s="18" t="str">
        <f>'Акт согласования'!E30</f>
        <v>52 500 000,00 
(ellik ikki million besh yuz ming so'm)</v>
      </c>
    </row>
    <row r="32" spans="1:5" ht="15.75" customHeight="1" outlineLevel="1" x14ac:dyDescent="0.25">
      <c r="A32" s="234" t="str">
        <f>'Акт согласования'!A22</f>
        <v>-* avtotransport egasi: MADRAXIMOV XOLMUROD RAMONBERDI O'GLI</v>
      </c>
      <c r="B32" s="234"/>
      <c r="C32" s="234"/>
      <c r="D32" s="234"/>
      <c r="E32" s="234"/>
    </row>
    <row r="33" spans="1:5" ht="15" customHeight="1" outlineLevel="1" x14ac:dyDescent="0.25">
      <c r="A33" s="234" t="str">
        <f>'Акт согласования'!A23</f>
        <v>-* texnik pasport: AAE 0278091 13.04.2018 y.</v>
      </c>
      <c r="B33" s="234"/>
      <c r="C33" s="234"/>
      <c r="D33" s="234"/>
      <c r="E33" s="234"/>
    </row>
    <row r="34" spans="1:5" ht="33" customHeight="1" outlineLevel="1" x14ac:dyDescent="0.25">
      <c r="A34" s="234" t="str">
        <f>'Акт согласования'!A24</f>
        <v>-* roʻyxatdan oʻtgan manzili/garaj manzili: QORAQALPOG'ISTON RESPUBLIKASI TO'RTKO'L TUMANI TOZABOG'YOP OFY</v>
      </c>
      <c r="B34" s="234"/>
      <c r="C34" s="234"/>
      <c r="D34" s="234"/>
      <c r="E34" s="234"/>
    </row>
    <row r="35" spans="1:5" ht="15" customHeight="1" outlineLevel="1" x14ac:dyDescent="0.25">
      <c r="A35" s="234" t="str">
        <f>'Акт согласования'!A25</f>
        <v>-* davlat raqami: 95P232GA</v>
      </c>
      <c r="B35" s="234"/>
      <c r="C35" s="234"/>
      <c r="D35" s="234"/>
      <c r="E35" s="234"/>
    </row>
    <row r="36" spans="1:5" ht="9" customHeight="1" x14ac:dyDescent="0.25">
      <c r="A36" s="234"/>
      <c r="B36" s="234"/>
      <c r="C36" s="234"/>
      <c r="D36" s="234"/>
      <c r="E36" s="234"/>
    </row>
    <row r="37" spans="1:5" ht="39" customHeight="1" x14ac:dyDescent="0.25">
      <c r="A37" s="260" t="str">
        <f>""&amp;'Общие данные'!B151&amp;"
mikromoliya tashkilotining Xulosasi"</f>
        <v>«CLEVER MIKROMOLIYA TASHKILOTI» MChJ
mikromoliya tashkilotining Xulosasi</v>
      </c>
      <c r="B37" s="260"/>
      <c r="C37" s="260"/>
      <c r="D37" s="260"/>
      <c r="E37" s="260"/>
    </row>
    <row r="38" spans="1:5" ht="48" customHeight="1" x14ac:dyDescent="0.25">
      <c r="A38" s="234" t="str">
        <f>""&amp;'Общие данные'!B151&amp;" kredit qo‘mitasining xulosasiga quyidagi shartlarda "&amp;'Общие данные'!B10&amp;"ga "&amp;'Общие данные'!B65&amp;" berish masalasi kiritiladi:"</f>
        <v>«CLEVER MIKROMOLIYA TASHKILOTI» MChJ kredit qo‘mitasining xulosasiga quyidagi shartlarda DJUMANIYAZOV SHERIPBAY AYITBAYEVICHga mikroqarz berish masalasi kiritiladi:</v>
      </c>
      <c r="B38" s="234"/>
      <c r="C38" s="234"/>
      <c r="D38" s="234"/>
      <c r="E38" s="234"/>
    </row>
    <row r="39" spans="1:5" x14ac:dyDescent="0.25">
      <c r="A39" s="234" t="str">
        <f>A11</f>
        <v>Mikroqarz summasi: 35 000 000,00 (o'ttiz besh million so'm) so'm.</v>
      </c>
      <c r="B39" s="234"/>
      <c r="C39" s="234"/>
      <c r="D39" s="234"/>
      <c r="E39" s="234"/>
    </row>
    <row r="40" spans="1:5" x14ac:dyDescent="0.25">
      <c r="A40" s="234" t="str">
        <f t="shared" ref="A40:A46" si="0">A12</f>
        <v>Mikroqarz muddati: 24 (yigira to'rt) oy.</v>
      </c>
      <c r="B40" s="234"/>
      <c r="C40" s="234"/>
      <c r="D40" s="234"/>
      <c r="E40" s="234"/>
    </row>
    <row r="41" spans="1:5" x14ac:dyDescent="0.25">
      <c r="A41" s="234" t="str">
        <f t="shared" si="0"/>
        <v>Mikroqarzdan foydalanganlik uchun foiz stavkasi: yillik  60% (Oltmish) foiz</v>
      </c>
      <c r="B41" s="234"/>
      <c r="C41" s="234"/>
      <c r="D41" s="234"/>
      <c r="E41" s="234"/>
    </row>
    <row r="42" spans="1:5" x14ac:dyDescent="0.25">
      <c r="A42" s="234" t="str">
        <f t="shared" si="0"/>
        <v>Mikroqarz bo'yicha asosiy qarz va foizlarni to'lash:</v>
      </c>
      <c r="B42" s="234"/>
      <c r="C42" s="234"/>
      <c r="D42" s="234"/>
      <c r="E42" s="234"/>
    </row>
    <row r="43" spans="1:5" ht="20.25" customHeight="1" x14ac:dyDescent="0.25">
      <c r="A43" s="234" t="str">
        <f t="shared" si="0"/>
        <v xml:space="preserve"> - mikroqarz shartnomasi bo'yicha har oy annuitet to'lovlari amalga oshiriladi</v>
      </c>
      <c r="B43" s="234"/>
      <c r="C43" s="234"/>
      <c r="D43" s="234"/>
      <c r="E43" s="234"/>
    </row>
    <row r="44" spans="1:5" ht="26.25" customHeight="1" x14ac:dyDescent="0.25">
      <c r="A44" s="234" t="str">
        <f t="shared" si="0"/>
        <v xml:space="preserve">   </v>
      </c>
      <c r="B44" s="234"/>
      <c r="C44" s="234"/>
      <c r="D44" s="234"/>
      <c r="E44" s="234"/>
    </row>
    <row r="45" spans="1:5" x14ac:dyDescent="0.25">
      <c r="A45" s="234" t="str">
        <f t="shared" si="0"/>
        <v>Mikroqarz ta’minoti Mikroqarz summasiga nisbatan 125% dan kam bo'lmagan holda:</v>
      </c>
      <c r="B45" s="234"/>
      <c r="C45" s="234"/>
      <c r="D45" s="234"/>
      <c r="E45" s="234"/>
    </row>
    <row r="46" spans="1:5" ht="72" customHeight="1" x14ac:dyDescent="0.25">
      <c r="A46" s="234" t="str">
        <f t="shared" si="0"/>
        <v>1.   Egalik huquqi MADRAXIMOV XOLMUROD RAMONBERDI O'GLIga tegishli bo'lgan garovga olingan avtomobil markasi   GM UZ / MATIZ DLX, rangi -  OQ-BELAYA KASABLANKA, ishlab chiqarilgan yili - 2007, davlat raqam belgisi 95P232GA, kuzov turi - YENGIL SEDAN, kuzov raqami XWB4A11AD8A152643, dvigatel raqami F8CV521561KB1, shassi raqami - RAKAMSIZ</v>
      </c>
      <c r="B46" s="234"/>
      <c r="C46" s="234"/>
      <c r="D46" s="234"/>
      <c r="E46" s="234"/>
    </row>
    <row r="47" spans="1:5" x14ac:dyDescent="0.25">
      <c r="A47" s="234"/>
      <c r="B47" s="234"/>
      <c r="C47" s="234"/>
      <c r="D47" s="234"/>
      <c r="E47" s="234"/>
    </row>
    <row r="48" spans="1:5" ht="36.75" customHeight="1" x14ac:dyDescent="0.25">
      <c r="A48" s="234" t="str">
        <f>""&amp;'Общие данные'!B151&amp;" mikromoliya tashkilotining xulosasi  "&amp;TEXT('Общие данные'!B2,"ДД.ММ.ГГГГ")&amp;" y. tayyorlangan"</f>
        <v>«CLEVER MIKROMOLIYA TASHKILOTI» MChJ mikromoliya tashkilotining xulosasi  06.01.2025 y. tayyorlangan</v>
      </c>
      <c r="B48" s="234"/>
      <c r="C48" s="234"/>
      <c r="D48" s="234"/>
      <c r="E48" s="234"/>
    </row>
    <row r="49" spans="1:5" x14ac:dyDescent="0.25">
      <c r="A49" s="234"/>
      <c r="B49" s="234"/>
      <c r="C49" s="234"/>
      <c r="D49" s="234"/>
      <c r="E49" s="234"/>
    </row>
    <row r="50" spans="1:5" ht="15.75" customHeight="1" x14ac:dyDescent="0.25">
      <c r="A50" s="229"/>
      <c r="B50" s="229"/>
      <c r="C50" s="229"/>
      <c r="D50" s="23"/>
      <c r="E50" s="24"/>
    </row>
    <row r="51" spans="1:5" ht="35.25" customHeight="1" x14ac:dyDescent="0.25">
      <c r="A51" s="229" t="str">
        <f>'Общие данные'!A165</f>
        <v>To'rtko'l filial boshlig'i</v>
      </c>
      <c r="B51" s="229"/>
      <c r="C51" s="229"/>
      <c r="D51" s="24"/>
      <c r="E51" s="24" t="str">
        <f>'Общие данные'!B165</f>
        <v>USMANOV X. I.</v>
      </c>
    </row>
    <row r="52" spans="1:5" x14ac:dyDescent="0.25">
      <c r="A52" s="234"/>
      <c r="B52" s="234"/>
      <c r="C52" s="234"/>
      <c r="D52" s="234"/>
      <c r="E52" s="234"/>
    </row>
    <row r="53" spans="1:5" ht="47.25" customHeight="1" x14ac:dyDescent="0.25">
      <c r="A53" s="234" t="str">
        <f>""&amp;'Общие данные'!B151&amp;" mikromoliya tashkilotining Kredit qo‘mitasi a’zolari "&amp;'Общие данные'!B151&amp;"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3" s="234"/>
      <c r="C53" s="234"/>
      <c r="D53" s="234"/>
      <c r="E53" s="234"/>
    </row>
    <row r="54" spans="1:5" x14ac:dyDescent="0.25">
      <c r="A54" s="20"/>
      <c r="B54" s="20"/>
      <c r="C54" s="20"/>
      <c r="D54" s="20"/>
      <c r="E54" s="20"/>
    </row>
    <row r="55" spans="1:5" x14ac:dyDescent="0.25">
      <c r="A55" s="229" t="s">
        <v>400</v>
      </c>
      <c r="B55" s="229"/>
      <c r="C55" s="20"/>
      <c r="D55" s="20"/>
      <c r="E55" s="20"/>
    </row>
    <row r="56" spans="1:5" x14ac:dyDescent="0.25">
      <c r="A56" s="20"/>
      <c r="B56" s="20"/>
      <c r="C56" s="20"/>
      <c r="D56" s="20"/>
      <c r="E56" s="20"/>
    </row>
    <row r="57" spans="1:5" x14ac:dyDescent="0.25">
      <c r="A57" s="229" t="str">
        <f>'Общие данные'!B164</f>
        <v>Jumanazarov B.T.</v>
      </c>
      <c r="B57" s="229"/>
      <c r="C57" s="23"/>
      <c r="D57" s="23"/>
      <c r="E57" s="23"/>
    </row>
    <row r="58" spans="1:5" x14ac:dyDescent="0.25">
      <c r="A58" s="57"/>
      <c r="B58" s="57"/>
      <c r="C58" s="23"/>
      <c r="D58" s="23"/>
      <c r="E58" s="23"/>
    </row>
    <row r="59" spans="1:5" ht="21" customHeight="1" x14ac:dyDescent="0.25">
      <c r="A59" s="234" t="str">
        <f>'Общие данные'!B163</f>
        <v>Usmanova Z.Sh. v.v.b.</v>
      </c>
      <c r="B59" s="234"/>
      <c r="C59" s="234"/>
      <c r="D59" s="234"/>
      <c r="E59" s="234"/>
    </row>
  </sheetData>
  <mergeCells count="54">
    <mergeCell ref="A53:E53"/>
    <mergeCell ref="A59:E59"/>
    <mergeCell ref="A38:E38"/>
    <mergeCell ref="A39:E39"/>
    <mergeCell ref="A40:E40"/>
    <mergeCell ref="A41:E41"/>
    <mergeCell ref="A42:E42"/>
    <mergeCell ref="A43:E43"/>
    <mergeCell ref="A44:E44"/>
    <mergeCell ref="A45:E45"/>
    <mergeCell ref="A46:E46"/>
    <mergeCell ref="A47:E47"/>
    <mergeCell ref="A55:B55"/>
    <mergeCell ref="A57:B57"/>
    <mergeCell ref="A48:E48"/>
    <mergeCell ref="A49:E49"/>
    <mergeCell ref="A52:E52"/>
    <mergeCell ref="A33:E33"/>
    <mergeCell ref="A34:E34"/>
    <mergeCell ref="A35:E35"/>
    <mergeCell ref="A36:E36"/>
    <mergeCell ref="A37:E37"/>
    <mergeCell ref="A50:C50"/>
    <mergeCell ref="A51:C51"/>
    <mergeCell ref="A32:E32"/>
    <mergeCell ref="A14:E14"/>
    <mergeCell ref="A15:E15"/>
    <mergeCell ref="A16:E16"/>
    <mergeCell ref="A17:E17"/>
    <mergeCell ref="A18:E18"/>
    <mergeCell ref="A27:E27"/>
    <mergeCell ref="A19:E19"/>
    <mergeCell ref="A20:E20"/>
    <mergeCell ref="A24:E24"/>
    <mergeCell ref="A25:E25"/>
    <mergeCell ref="A28:E28"/>
    <mergeCell ref="A29:E29"/>
    <mergeCell ref="A7:E7"/>
    <mergeCell ref="A8:E8"/>
    <mergeCell ref="A9:E9"/>
    <mergeCell ref="A26:E26"/>
    <mergeCell ref="A10:E10"/>
    <mergeCell ref="A11:E11"/>
    <mergeCell ref="A12:E12"/>
    <mergeCell ref="A13:E13"/>
    <mergeCell ref="A23:E23"/>
    <mergeCell ref="A22:E22"/>
    <mergeCell ref="A21:E21"/>
    <mergeCell ref="A6:E6"/>
    <mergeCell ref="A1:E1"/>
    <mergeCell ref="A2:E2"/>
    <mergeCell ref="A3:E3"/>
    <mergeCell ref="A4:E4"/>
    <mergeCell ref="A5:E5"/>
  </mergeCells>
  <pageMargins left="0.7" right="0.7" top="0.75" bottom="0.75" header="0.3" footer="0.3"/>
  <pageSetup paperSize="9" scale="84" orientation="portrait" r:id="rId1"/>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4"/>
  <sheetViews>
    <sheetView view="pageBreakPreview" topLeftCell="A119" zoomScale="55" zoomScaleNormal="55" zoomScaleSheetLayoutView="55" workbookViewId="0">
      <selection activeCell="C31" sqref="C31"/>
    </sheetView>
  </sheetViews>
  <sheetFormatPr defaultColWidth="9.140625" defaultRowHeight="15.75" x14ac:dyDescent="0.25"/>
  <cols>
    <col min="1" max="1" width="50.42578125" style="7" customWidth="1"/>
    <col min="2" max="2" width="57.42578125" style="7" customWidth="1"/>
    <col min="3" max="3" width="93.28515625" style="7" customWidth="1"/>
    <col min="4" max="7" width="9.140625" style="7" customWidth="1"/>
    <col min="8" max="8" width="111.5703125" style="7" customWidth="1"/>
    <col min="9" max="16" width="9.140625" style="7" customWidth="1"/>
    <col min="17" max="16384" width="9.140625" style="7"/>
  </cols>
  <sheetData>
    <row r="1" spans="1:3" x14ac:dyDescent="0.25">
      <c r="A1" s="298" t="str">
        <f>""&amp;'Общие данные'!C64&amp;" shartnoma "&amp;'Общие данные'!B66&amp;""</f>
        <v>Mikroqarz shartnoma №-TR</v>
      </c>
      <c r="B1" s="298"/>
    </row>
    <row r="3" spans="1:3" x14ac:dyDescent="0.25">
      <c r="A3" s="298" t="str">
        <f>"Toshkent shahri                                                                               "&amp;'Общие данные'!B70&amp;""</f>
        <v>Toshkent shahri                                                                               6 yanvar 2025 y.</v>
      </c>
      <c r="B3" s="298"/>
    </row>
    <row r="4" spans="1:3" x14ac:dyDescent="0.25">
      <c r="A4" s="70"/>
    </row>
    <row r="5" spans="1:3" ht="132.75" customHeight="1" x14ac:dyDescent="0.25">
      <c r="A5" s="294" t="str">
        <f>""&amp;'Общие данные'!B151&amp;", bundan buyon «Mikromoliya tashkiloti» deb nomlanuvchi, ishonchnoma asosida xarakat qiluvchi "&amp;'Общие данные'!A154&amp;" "&amp;'Общие данные'!B154&amp;"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To'rtko'l filial boshlig'i USMANOV X. I.  bir tomondan va o‘z manfaati yo‘lida hamda o‘z nomidan harakat qiluvchi O‘zbekiston Respublikasi fuqarosi DJUMANIYAZOV SHERIPBAY AYITBAYEVICH  (pasport raqami KA 1247502, QORAQALPOG'ISTON RESPUBLIKASI TO'RTKO'L TUMANI IIB tomonidan 02.01.2019 yilda berilgan ), bundan buyon «Qarz oluvchi» deb nomlanuvchi, boshqa tomondan, birgalikda “Tomonlar” yoki alohida “Tomon” deb nomlanuvchilar, Qarz oluvchi tomonidan 06.01.2025 yil,mikroqarz olish uchun ariza berilganligini hisobga olib, ushbu Mikroqarz shartnomasini (bundan keyin – «Shartnoma») quyidagilar haqida tuzdilar:</v>
      </c>
      <c r="B5" s="294"/>
    </row>
    <row r="7" spans="1:3" x14ac:dyDescent="0.25">
      <c r="A7" s="298" t="s">
        <v>264</v>
      </c>
      <c r="B7" s="298"/>
    </row>
    <row r="8" spans="1:3" ht="51.75" customHeight="1" x14ac:dyDescent="0.25">
      <c r="A8" s="294" t="str">
        <f>"1.1. Mikromoliya tashkiloti Qarz oluvchiga umumiy miqdori "&amp;FIXED('Общие данные'!B76,2)&amp;" ("&amp;'Общие данные'!C77&amp;") bo‘lgan "&amp;'Общие данные'!B65&amp;"ni "&amp;'Общие данные'!B71&amp;" dan "&amp;'Общие данные'!B73&amp;" gacha bo'lgan muddatga naqd pul va/yoki o'tkazmasi shaklida ajratadi."</f>
        <v>1.1. Mikromoliya tashkiloti Qarz oluvchiga umumiy miqdori 35 000 000,00 (O'ttiz besh million so'm) bo‘lgan mikroqarzni 6 yanvar 2025 y. dan 6 yanvar 2027 y. gacha bo'lgan muddatga naqd pul va/yoki o'tkazmasi shaklida ajratadi.</v>
      </c>
      <c r="B8" s="294"/>
    </row>
    <row r="9" spans="1:3" ht="36" customHeight="1" x14ac:dyDescent="0.25">
      <c r="A9" s="294"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294"/>
    </row>
    <row r="10" spans="1:3" x14ac:dyDescent="0.25">
      <c r="A10" s="33"/>
    </row>
    <row r="11" spans="1:3" x14ac:dyDescent="0.25">
      <c r="A11" s="301" t="str">
        <f>"2. "&amp;'Общие данные'!D64&amp;" BERISH VA QAYTARISH TARTIBI"</f>
        <v>2. MIKROQARZ BERISH VA QAYTARISH TARTIBI</v>
      </c>
      <c r="B11" s="301"/>
      <c r="C11" s="68"/>
    </row>
    <row r="12" spans="1:3" ht="36" customHeight="1" x14ac:dyDescent="0.25">
      <c r="A12" s="294"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94"/>
    </row>
    <row r="13" spans="1:3" ht="35.25" customHeight="1" x14ac:dyDescent="0.25">
      <c r="A13" s="294"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94"/>
    </row>
    <row r="14" spans="1:3" ht="35.25" customHeight="1" x14ac:dyDescent="0.25">
      <c r="A14" s="294"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94"/>
    </row>
    <row r="15" spans="1:3" ht="66" customHeight="1" x14ac:dyDescent="0.25">
      <c r="A15" s="294" t="str">
        <f>"2.4. Mikromoliya tashkiloti, "&amp;'Общие данные'!B65&amp;" berilgan vaqtdan boshlab, "&amp;'Общие данные'!B65&amp;" miqdorining qoldiq summasiga "&amp;'Общие данные'!B86&amp;"% ("&amp;'Общие данные'!C87&amp;")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данные'!B89&amp;" ("&amp;'Общие данные'!B90&amp;")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294"/>
    </row>
    <row r="16" spans="1:3" ht="177.75" customHeight="1" x14ac:dyDescent="0.25">
      <c r="A16" s="294" t="s">
        <v>332</v>
      </c>
      <c r="B16" s="294"/>
    </row>
    <row r="17" spans="1:11" ht="161.25" customHeight="1" x14ac:dyDescent="0.25">
      <c r="A17" s="294"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94"/>
      <c r="C17" s="169" t="s">
        <v>336</v>
      </c>
      <c r="H17" s="7" t="str">
        <f>'Общие данные'!B65</f>
        <v>mikroqarz</v>
      </c>
      <c r="I17" s="7" t="s">
        <v>337</v>
      </c>
    </row>
    <row r="18" spans="1:11" ht="100.5" customHeight="1" x14ac:dyDescent="0.25">
      <c r="A18" s="300" t="s">
        <v>376</v>
      </c>
      <c r="B18" s="300"/>
    </row>
    <row r="19" spans="1:11" ht="36" customHeight="1" x14ac:dyDescent="0.25">
      <c r="A19" s="294"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94"/>
    </row>
    <row r="20" spans="1:11" ht="48.75" customHeight="1" x14ac:dyDescent="0.25">
      <c r="A20" s="294"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94"/>
    </row>
    <row r="21" spans="1:11" ht="113.25" customHeight="1" x14ac:dyDescent="0.25">
      <c r="A21" s="302"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02"/>
      <c r="C21" s="7"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7"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7"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x14ac:dyDescent="0.25">
      <c r="A22" s="301" t="str">
        <f>"3. "&amp;'Общие данные'!D64&amp;" TA'MINOTI BO‘YICHA "</f>
        <v xml:space="preserve">3. MIKROQARZ TA'MINOTI BO‘YICHA </v>
      </c>
      <c r="B22" s="301"/>
    </row>
    <row r="23" spans="1:11" ht="40.5" customHeight="1" x14ac:dyDescent="0.25">
      <c r="A23" s="294" t="str">
        <f>"3.1. Ushbu Shartnoma bo‘yicha taqdim etilgan "&amp;'Общие данные'!C64&amp;" quyidagi Mikroqarz summasiga nisbatan 125% dan kam bo'lmagan garov va Mikroqarz to'lamaslik xavfini sug'urta polisi  bilan ta'minlanadi:"</f>
        <v>3.1. Ushbu Shartnoma bo‘yicha taqdim etilgan Mikroqarz quyidagi Mikroqarz summasiga nisbatan 125% dan kam bo'lmagan garov va Mikroqarz to'lamaslik xavfini sug'urta polisi  bilan ta'minlanadi:</v>
      </c>
      <c r="B23" s="294"/>
    </row>
    <row r="24" spans="1:11" ht="151.5" customHeight="1" x14ac:dyDescent="0.25">
      <c r="A24" s="299" t="str">
        <f>IF('Общие данные'!B104='Общие данные'!C104,договор!A28,IF('Общие данные'!B104='Общие данные'!D104,договор!A25,0))</f>
        <v>3.1.1. Mikromoliya tashkiloti, Qarz oluvchi va MADRAXIMOV XOLMUROD RAMONBERDI O'GLI (27.12.2024 yy. sanasidagi reestr raqami №202401526011103 bo'lgan Ishonchnomaga asosan) tomonidan 2025 yil 6 yanvarda imzolangan 1-sonli garov predmeti qiymatini tasdiqlash dalolatnomasiga muvofiq OQ-BELAYA KASABLANKA rangli, ishlab chiqarilgan yili – 2007 yil,  dvigatel raqami F8CV521561KB1, shassi - RAKAMSIZ,  kuzov turi - YENGIL SEDAN, kuzov raqami №XWB4A11AD8A152643, davlat raqam belgisi 95P232GA bo'lgan GM UZ / MATIZ DLX rusumli avtomashinasi (bundan keyin “Garov predmeti”), egalik huquqiga ega  MADRAXIMOV XOLMUROD RAMONBERDI O'GLIga tegishli va kelishilgan garov qiymati 2025 yil 6 yanvarda imzolangan 1-sonli Garov predmeti qiymatini tasdiqlash dalolatnomasiga muvifiq 52 500 000,00 (ellik ikki million besh yuz ming so'm) so'mni tashkil qiladi. Garov garovining aniq shartlari tegishli notarial rasmiylashtirilgan garov shartnomasi bilan belgilanadi.</v>
      </c>
      <c r="B24" s="299"/>
    </row>
    <row r="25" spans="1:11" ht="129" hidden="1" customHeight="1" x14ac:dyDescent="0.25">
      <c r="A25" s="294" t="str">
        <f>IF('Общие данные'!B93='Общие данные'!C93,договор!A27,IF('Общие данные'!B93='Общие данные'!D93,договор!A26,0))</f>
        <v>3.1.1. Mikromoliya tashkiloti, Qarz oluvchi va MADRAXIMOV XOLMUROD RAMONBERDI O'GLI (27.12.2024 yy. sanasidagi reestr raqami №202401526011103 bo'lgan Ishonchnomaga asosan) tomonidan 2025 yil 6 yanvarda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0ga tegishli va kelishilgan garov qiymati 2025 yil 6 yanvarda imzolangan 1-sonli Garov predmeti qiymatini tasdiqlash dalolatnomasiga muvofiq 52 500 000,00 (ellik ikki million besh yuz ming so'm) so'mni tashkil qiladi. Garovning aniq shartlari tegishli tarzda notarial tasdiqlangan garov shartnomasi bilan belgilangan.</v>
      </c>
      <c r="B25" s="294"/>
    </row>
    <row r="26" spans="1:11" ht="129.75" hidden="1" customHeight="1" x14ac:dyDescent="0.25">
      <c r="A26" s="299" t="str">
        <f>"3.1.1. "&amp;'Общие данные'!N127&amp;" tomonidan "&amp;'Общие данные'!B144&amp;" yil "&amp;'Общие данные'!B146&amp;" "&amp;'Общие данные'!B145&amp;"da imzolangan 1-sonli navbatdagi garov predmeti qiymatini tasdiqlash dalolatnomasiga muvofiq "&amp;'Общие данные'!C124&amp;" manzilida joylashgan, "&amp;'Общие данные'!E127&amp;" bo'lgan, "&amp;'Общие данные'!E126&amp;" ko'rinishidagi ko'chmas mulk (bundan keyin “navbatdagi garov predmeti”), egalik huquqiga ko'ra  "&amp;'Общие данные'!C118&amp;"ga tegishli va kelishilgan garov qiymati "&amp;'Общие данные'!B144&amp;" yil "&amp;'Общие данные'!B146&amp;" "&amp;'Общие данные'!B145&amp;"da imzolangan 1-sonli Garov predmeti qiymatini tasdiqlash dalolatnomasiga muvofiq "&amp;FIXED('Общие данные'!B137,2)&amp;" ("&amp;'Общие данные'!B139&amp;") so'mni tashkil qiladi. Garovning aniq shartlari tegishli tarzda notarial tasdiqlangan garov shartnomasi bilan belgilangan."</f>
        <v>3.1.1. Mikromoliya tashkiloti, Qarz oluvchi va MADRAXIMOV XOLMUROD RAMONBERDI O'GLI (27.12.2024 yy. sanasidagi reestr raqami №202401526011103 bo'lgan Ishonchnomaga asosan) tomonidan 2025 yil 6 yanvarda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0ga tegishli va kelishilgan garov qiymati 2025 yil 6 yanvarda imzolangan 1-sonli Garov predmeti qiymatini tasdiqlash dalolatnomasiga muvofiq 52 500 000,00 (ellik ikki million besh yuz ming so'm) so'mni tashkil qiladi. Garovning aniq shartlari tegishli tarzda notarial tasdiqlangan garov shartnomasi bilan belgilangan.</v>
      </c>
      <c r="B26" s="299"/>
    </row>
    <row r="27" spans="1:11" ht="131.25" hidden="1" customHeight="1" x14ac:dyDescent="0.25">
      <c r="A27" s="294" t="str">
        <f>"3.1.1. "&amp;'Общие данные'!N127&amp;" tomonidan "&amp;'Общие данные'!B144&amp;" yil "&amp;'Общие данные'!B146&amp;" "&amp;'Общие данные'!B145&amp;"da imzolangan 1-sonli Garov predmeti qiymatini tasdiqlash dalolatnomasiga muvofiq "&amp;'Общие данные'!C124&amp;" manzilida joylashgan, "&amp;'Общие данные'!E127&amp;" bo'lgan, "&amp;'Общие данные'!E126&amp;" ko'rinishidagi ko'chmas mulk (bundan keyin “Garov predmeti”), egalik huquqiga ko'ra  "&amp;'Общие данные'!C118&amp;"ga tegishli va kelishilgan garov qiymati "&amp;'Общие данные'!B144&amp;" yil "&amp;'Общие данные'!B146&amp;" "&amp;'Общие данные'!B145&amp;"da imzolangan 1-sonli Garov predmeti qiymatini tasdiqlash dalolatnomasiga muvofiq "&amp;FIXED('Общие данные'!B137,2)&amp;" ("&amp;'Общие данные'!B139&amp;") so'mni tashkil qiladi. Garovning aniq shartlari tegishli tarzda notarial tasdiqlangan garov shartnomasi bilan belgilangan."</f>
        <v>3.1.1. Mikromoliya tashkiloti, Qarz oluvchi va MADRAXIMOV XOLMUROD RAMONBERDI O'GLI (27.12.2024 yy. sanasidagi reestr raqami №202401526011103 bo'lgan Ishonchnomaga asosan) tomonidan 2025 yil 6 yanvarda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0ga tegishli va kelishilgan garov qiymati 2025 yil 6 yanvarda imzolangan 1-sonli Garov predmeti qiymatini tasdiqlash dalolatnomasiga muvofiq 52 500 000,00 (ellik ikki million besh yuz ming so'm) so'mni tashkil qiladi. Garovning aniq shartlari tegishli tarzda notarial tasdiqlangan garov shartnomasi bilan belgilangan.</v>
      </c>
      <c r="B27" s="294"/>
    </row>
    <row r="28" spans="1:11" ht="114" hidden="1" customHeight="1" x14ac:dyDescent="0.25">
      <c r="A28" s="299" t="str">
        <f>IF('Общие данные'!B93='Общие данные'!C93,A29,IF('Общие данные'!B93='Общие данные'!D93,A30,0))</f>
        <v>3.1.1. Mikromoliya tashkiloti, Qarz oluvchi va MADRAXIMOV XOLMUROD RAMONBERDI O'GLI (27.12.2024 yy. sanasidagi reestr raqami №202401526011103 bo'lgan Ishonchnomaga asosan) tomonidan 2025 yil 6 yanvarda imzolangan 1-sonli garov predmeti qiymatini tasdiqlash dalolatnomasiga muvofiq OQ-BELAYA KASABLANKA rangli, ishlab chiqarilgan yili – 2007 yil,  dvigatel raqami F8CV521561KB1, shassi - RAKAMSIZ,  kuzov turi - YENGIL SEDAN, kuzov raqami №XWB4A11AD8A152643, davlat raqam belgisi 95P232GA bo'lgan GM UZ / MATIZ DLX rusumli avtomashinasi (bundan keyin “Garov predmeti”), egalik huquqiga ega  MADRAXIMOV XOLMUROD RAMONBERDI O'GLIga tegishli va kelishilgan garov qiymati 2025 yil 6 yanvarda imzolangan 1-sonli Garov predmeti qiymatini tasdiqlash dalolatnomasiga muvifiq 52 500 000,00 (ellik ikki million besh yuz ming so'm) so'mni tashkil qiladi. Garov garovining aniq shartlari tegishli notarial rasmiylashtirilgan garov shartnomasi bilan belgilanadi.</v>
      </c>
      <c r="B28" s="299"/>
      <c r="K28" s="7" t="s">
        <v>329</v>
      </c>
    </row>
    <row r="29" spans="1:11" ht="114.75" hidden="1" customHeight="1" x14ac:dyDescent="0.25">
      <c r="A29" s="299" t="str">
        <f>"3.1.1. "&amp;'Общие данные'!N127&amp;" tomonidan "&amp;'Общие данные'!B144&amp;" yil "&amp;'Общие данные'!B146&amp;" "&amp;'Общие данные'!B145&amp;"da imzolangan 1-sonli garov predmeti qiymatini tasdiqlash dalolatnomasiga muvofiq "&amp;'Общие данные'!B135&amp;" rangli, ishlab chiqarilgan yili – "&amp;'Общие данные'!B136&amp;" yil,  dvigatel raqami "&amp;'Общие данные'!B132&amp;", shassi - "&amp;'Общие данные'!B133&amp;",  kuzov turi - "&amp;'Общие данные'!B129&amp;", kuzov raqami №"&amp;'Общие данные'!B130&amp;", davlat raqam belgisi "&amp;'Общие данные'!B127&amp;" bo'lgan "&amp;'Общие данные'!B126&amp;" rusumli avtomashinasi (bundan keyin “Garov predmeti”), egalik huquqiga ega  "&amp;'Общие данные'!B118&amp;"ga tegishli va kelishilgan garov qiymati "&amp;'Общие данные'!B144&amp;" yil "&amp;'Общие данные'!B146&amp;" "&amp;'Общие данные'!B145&amp;"da imzolangan 1-sonli Garov predmeti qiymatini tasdiqlash dalolatnomasiga muvifiq "&amp;FIXED('Общие данные'!B137,2)&amp;" ("&amp;'Общие данные'!B139&amp;") so'mni tashkil qiladi. Garov garovining aniq shartlari tegishli notarial rasmiylashtirilgan garov shartnomasi bilan belgilanadi."</f>
        <v>3.1.1. Mikromoliya tashkiloti, Qarz oluvchi va MADRAXIMOV XOLMUROD RAMONBERDI O'GLI (27.12.2024 yy. sanasidagi reestr raqami №202401526011103 bo'lgan Ishonchnomaga asosan) tomonidan 2025 yil 6 yanvarda imzolangan 1-sonli garov predmeti qiymatini tasdiqlash dalolatnomasiga muvofiq OQ-BELAYA KASABLANKA rangli, ishlab chiqarilgan yili – 2007 yil,  dvigatel raqami F8CV521561KB1, shassi - RAKAMSIZ,  kuzov turi - YENGIL SEDAN, kuzov raqami №XWB4A11AD8A152643, davlat raqam belgisi 95P232GA bo'lgan GM UZ / MATIZ DLX rusumli avtomashinasi (bundan keyin “Garov predmeti”), egalik huquqiga ega  MADRAXIMOV XOLMUROD RAMONBERDI O'GLIga tegishli va kelishilgan garov qiymati 2025 yil 6 yanvarda imzolangan 1-sonli Garov predmeti qiymatini tasdiqlash dalolatnomasiga muvifiq 52 500 000,00 (ellik ikki million besh yuz ming so'm) so'mni tashkil qiladi. Garov garovining aniq shartlari tegishli notarial rasmiylashtirilgan garov shartnomasi bilan belgilanadi.</v>
      </c>
      <c r="B29" s="299"/>
    </row>
    <row r="30" spans="1:11" ht="115.5" hidden="1" customHeight="1" x14ac:dyDescent="0.25">
      <c r="A30" s="304" t="str">
        <f>"3.1.1. "&amp;'Общие данные'!N127&amp;" tomonidan "&amp;'Общие данные'!B144&amp;" yil "&amp;'Общие данные'!B146&amp;" "&amp;'Общие данные'!B145&amp;"da imzolangan 1-sonli navbatdagi garov predmeti qiymatini tasdiqlash dalolatnomasiga muvofiq "&amp;'Общие данные'!B135&amp;" rangli, ishlab chiqarilgan yili – "&amp;'Общие данные'!B136&amp;" yil,  dvigatel raqami "&amp;'Общие данные'!B132&amp;", shassi - "&amp;'Общие данные'!B133&amp;",  kuzov turi - "&amp;'Общие данные'!B129&amp;", kuzov raqami №"&amp;'Общие данные'!B130&amp;", davlat raqam belgisi "&amp;'Общие данные'!B127&amp;" bo'lgan "&amp;'Общие данные'!B126&amp;" rusumli avtomashinasi (bundan keyin “navbatdagi garov predmeti”), egalik huquqiga ega  "&amp;'Общие данные'!B118&amp;"ga tegishli va kelishilgan garov qiymati "&amp;'Общие данные'!B144&amp;" yil "&amp;'Общие данные'!B146&amp;" "&amp;'Общие данные'!B145&amp;"da imzolangan 1-sonli Garov predmeti qiymatini tasdiqlash dalolatnomasiga muvifiq "&amp;FIXED('Общие данные'!B137,2)&amp;" ("&amp;'Общие данные'!B139&amp;") so'mni tashkil qiladi. Garov garovining aniq shartlari tegishli notarial rasmiylashtirilgan garov shartnomasi bilan belgilanadi."</f>
        <v>3.1.1. Mikromoliya tashkiloti, Qarz oluvchi va MADRAXIMOV XOLMUROD RAMONBERDI O'GLI (27.12.2024 yy. sanasidagi reestr raqami №202401526011103 bo'lgan Ishonchnomaga asosan) tomonidan 2025 yil 6 yanvarda imzolangan 1-sonli navbatdagi garov predmeti qiymatini tasdiqlash dalolatnomasiga muvofiq OQ-BELAYA KASABLANKA rangli, ishlab chiqarilgan yili – 2007 yil,  dvigatel raqami F8CV521561KB1, shassi - RAKAMSIZ,  kuzov turi - YENGIL SEDAN, kuzov raqami №XWB4A11AD8A152643, davlat raqam belgisi 95P232GA bo'lgan GM UZ / MATIZ DLX rusumli avtomashinasi (bundan keyin “navbatdagi garov predmeti”), egalik huquqiga ega  MADRAXIMOV XOLMUROD RAMONBERDI O'GLIga tegishli va kelishilgan garov qiymati 2025 yil 6 yanvarda imzolangan 1-sonli Garov predmeti qiymatini tasdiqlash dalolatnomasiga muvifiq 52 500 000,00 (ellik ikki million besh yuz ming so'm) so'mni tashkil qiladi. Garov garovining aniq shartlari tegishli notarial rasmiylashtirilgan garov shartnomasi bilan belgilanadi.</v>
      </c>
      <c r="B30" s="304"/>
    </row>
    <row r="31" spans="1:11" ht="114.95" customHeight="1" x14ac:dyDescent="0.25">
      <c r="A31" s="304" t="str">
        <f>CONCATENATE(C31,D31)</f>
        <v>3.1.2. «KAPITAL SUG'URTA» АJ sug‘urta kompaniyasi (keyingi o'rinlarda-Sug‘urtalovchi) tomonidan Mikroqarz to'lamaslik xavfini Mikroqarz summasiga nisbatan 125% dan hisoblab 10 000 000,00(o'n million so'm) so ' m miqdoriga sug’urta qilish. Ushbu shartnoma bo‘yicha Mikroqarz berilgunga qadar Mikromoliya tashkiloti Sug‘urtalovchi 10 000 000,00(o'n million so'm) so ' m miqdoridagi Mikroqarzni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v>
      </c>
      <c r="B31" s="304"/>
      <c r="C31" s="7" t="str">
        <f>"3.1.2. «"&amp;'Общие данные'!B147&amp;"» АJ sug‘urta kompaniyasi (keyingi o'rinlarda-Sug‘urtalovchi) tomonidan "&amp;'Общие данные'!C64&amp;" to'lamaslik xavfini Mikroqarz summasiga nisbatan 125% dan hisoblab "&amp;FIXED('Общие данные'!B148,2)&amp;"("&amp;'Общие данные'!B149&amp;") so ' m miqdoriga sug’urta qilish."</f>
        <v>3.1.2. «KAPITAL SUG'URTA» АJ sug‘urta kompaniyasi (keyingi o'rinlarda-Sug‘urtalovchi) tomonidan Mikroqarz to'lamaslik xavfini Mikroqarz summasiga nisbatan 125% dan hisoblab 10 000 000,00(o'n million so'm) so ' m miqdoriga sug’urta qilish.</v>
      </c>
      <c r="D31" s="7" t="str">
        <f>CONCATENATE(E31,F31)</f>
        <v xml:space="preserve"> Ushbu shartnoma bo‘yicha Mikroqarz berilgunga qadar Mikromoliya tashkiloti Sug‘urtalovchi 10 000 000,00(o'n million so'm) so ' m miqdoridagi Mikroqarzni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v>
      </c>
      <c r="E31" s="7" t="str">
        <f>" Ushbu shartnoma bo‘yicha "&amp;'Общие данные'!C64&amp;" berilgunga qadar Mikromoliya tashkiloti Sug‘urtalovchi "&amp;FIXED('Общие данные'!B148,2)&amp;"("&amp;'Общие данные'!B149&amp;") so ' m miqdoridagi "&amp;'Общие данные'!C64&amp;""</f>
        <v xml:space="preserve"> Ushbu shartnoma bo‘yicha Mikroqarz berilgunga qadar Mikromoliya tashkiloti Sug‘urtalovchi 10 000 000,00(o'n million so'm) so ' m miqdoridagi Mikroqarz</v>
      </c>
      <c r="F31" s="7" t="s">
        <v>440</v>
      </c>
    </row>
    <row r="32" spans="1:11" ht="117" customHeight="1" x14ac:dyDescent="0.25">
      <c r="A32" s="303" t="str">
        <f>CONCATENATE(A33,B33)</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2" s="303"/>
    </row>
    <row r="33" spans="1:8" ht="94.5" hidden="1" x14ac:dyDescent="0.25">
      <c r="A33" s="173" t="s">
        <v>358</v>
      </c>
      <c r="B33" s="33" t="str">
        <f>CONCATENATE(A34,B34)</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4" spans="1:8" ht="78.75" hidden="1" x14ac:dyDescent="0.25">
      <c r="A34" s="173"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4" s="33" t="s">
        <v>339</v>
      </c>
    </row>
    <row r="35" spans="1:8" ht="85.5" customHeight="1" x14ac:dyDescent="0.25">
      <c r="A35" s="303" t="s">
        <v>265</v>
      </c>
      <c r="B35" s="303"/>
    </row>
    <row r="36" spans="1:8" ht="84" customHeight="1" x14ac:dyDescent="0.25">
      <c r="A36" s="303" t="s">
        <v>317</v>
      </c>
      <c r="B36" s="303"/>
    </row>
    <row r="37" spans="1:8" ht="114.6" customHeight="1" x14ac:dyDescent="0.25">
      <c r="A37" s="294" t="s">
        <v>441</v>
      </c>
      <c r="B37" s="294"/>
    </row>
    <row r="39" spans="1:8" x14ac:dyDescent="0.25">
      <c r="A39" s="306" t="s">
        <v>316</v>
      </c>
      <c r="B39" s="306"/>
      <c r="C39" s="80"/>
    </row>
    <row r="40" spans="1:8" x14ac:dyDescent="0.25">
      <c r="A40" s="305" t="s">
        <v>315</v>
      </c>
      <c r="B40" s="305"/>
    </row>
    <row r="41" spans="1:8" ht="116.25" customHeight="1" x14ac:dyDescent="0.25">
      <c r="A41" s="303" t="str">
        <f>CONCATENATE(C41,H41)</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41" s="303"/>
      <c r="C41" s="7" t="str">
        <f>"4.1.1. Ushbu Shartnomada ko‘rsatilgan asoslar bo‘yicha Qarz oluvchiga Shartnomada ko‘zda tutilgan "&amp;'Общие данные'!B65&amp;""</f>
        <v>4.1.1. Ushbu Shartnomada ko‘rsatilgan asoslar bo‘yicha Qarz oluvchiga Shartnomada ko‘zda tutilgan mikroqarz</v>
      </c>
      <c r="H41" s="169" t="s">
        <v>389</v>
      </c>
    </row>
    <row r="42" spans="1:8" ht="39" customHeight="1" x14ac:dyDescent="0.25">
      <c r="A42" s="303"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2" s="303"/>
    </row>
    <row r="43" spans="1:8" x14ac:dyDescent="0.25">
      <c r="A43" s="303" t="s">
        <v>318</v>
      </c>
      <c r="B43" s="303"/>
    </row>
    <row r="44" spans="1:8" ht="30" customHeight="1" x14ac:dyDescent="0.25">
      <c r="A44" s="303" t="str">
        <f>"b) "&amp;'Общие данные'!B65&amp;" summasiga hisoblanadigan asosiy qarz bo‘yicha muddati o‘tgan qarzdorlik va/yoki foizlarning yuzaga kelishi;"</f>
        <v>b) mikroqarz summasiga hisoblanadigan asosiy qarz bo‘yicha muddati o‘tgan qarzdorlik va/yoki foizlarning yuzaga kelishi;</v>
      </c>
      <c r="B44" s="303"/>
    </row>
    <row r="45" spans="1:8" ht="37.5" customHeight="1" x14ac:dyDescent="0.25">
      <c r="A45" s="303" t="s">
        <v>319</v>
      </c>
      <c r="B45" s="303"/>
    </row>
    <row r="46" spans="1:8" ht="52.5" customHeight="1" x14ac:dyDescent="0.25">
      <c r="A46" s="303" t="s">
        <v>320</v>
      </c>
      <c r="B46" s="303"/>
    </row>
    <row r="47" spans="1:8" ht="19.5" customHeight="1" x14ac:dyDescent="0.25">
      <c r="A47" s="303" t="s">
        <v>321</v>
      </c>
      <c r="B47" s="303"/>
    </row>
    <row r="48" spans="1:8" ht="51.75" customHeight="1" x14ac:dyDescent="0.25">
      <c r="A48" s="303"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8" s="303"/>
    </row>
    <row r="49" spans="1:8" ht="33.75" customHeight="1" x14ac:dyDescent="0.25">
      <c r="A49" s="303" t="s">
        <v>314</v>
      </c>
      <c r="B49" s="303"/>
    </row>
    <row r="50" spans="1:8" ht="36.75" customHeight="1" x14ac:dyDescent="0.25">
      <c r="A50" s="303" t="s">
        <v>313</v>
      </c>
      <c r="B50" s="303"/>
      <c r="C50" s="173"/>
    </row>
    <row r="51" spans="1:8" ht="90" customHeight="1" x14ac:dyDescent="0.25">
      <c r="A51" s="294" t="s">
        <v>312</v>
      </c>
      <c r="B51" s="294"/>
      <c r="C51" s="173"/>
    </row>
    <row r="52" spans="1:8" ht="70.5" customHeight="1" x14ac:dyDescent="0.25">
      <c r="A52" s="294" t="s">
        <v>311</v>
      </c>
      <c r="B52" s="294"/>
      <c r="C52" s="173"/>
    </row>
    <row r="53" spans="1:8" ht="39.75" customHeight="1" x14ac:dyDescent="0.25">
      <c r="A53" s="294"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3" s="294"/>
      <c r="C53" s="173"/>
    </row>
    <row r="54" spans="1:8" ht="33" customHeight="1" x14ac:dyDescent="0.25">
      <c r="A54" s="294" t="s">
        <v>322</v>
      </c>
      <c r="B54" s="294"/>
      <c r="C54" s="173"/>
    </row>
    <row r="55" spans="1:8" ht="39.75" customHeight="1" x14ac:dyDescent="0.25">
      <c r="A55" s="294" t="s">
        <v>310</v>
      </c>
      <c r="B55" s="294"/>
      <c r="C55" s="173"/>
    </row>
    <row r="56" spans="1:8" ht="50.25" customHeight="1" x14ac:dyDescent="0.25">
      <c r="A56" s="294" t="str">
        <f>CONCATENATE(C56,H56)</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6" s="294"/>
      <c r="C56" s="173" t="str">
        <f>"4.1.10. Qarz oluvchi taqdim etilgan "&amp;'Общие данные'!B65&amp;"dan Shartnoma tuzilgan kundan boshlab 1 (bir) oy davomida foydalanmagan"</f>
        <v>4.1.10. Qarz oluvchi taqdim etilgan mikroqarzdan Shartnoma tuzilgan kundan boshlab 1 (bir) oy davomida foydalanmagan</v>
      </c>
      <c r="H56" s="7" t="s">
        <v>340</v>
      </c>
    </row>
    <row r="57" spans="1:8" ht="19.5" customHeight="1" x14ac:dyDescent="0.25">
      <c r="A57" s="294" t="str">
        <f>"4.1.11. Oldingi "&amp;'Общие данные'!B65&amp;" to‘liq to‘lanmagunga qadar yangi "&amp;'Общие данные'!B65&amp;" berishni rad etish."</f>
        <v>4.1.11. Oldingi mikroqarz to‘liq to‘lanmagunga qadar yangi mikroqarz berishni rad etish.</v>
      </c>
      <c r="B57" s="294"/>
      <c r="C57" s="173"/>
    </row>
    <row r="59" spans="1:8" x14ac:dyDescent="0.25">
      <c r="A59" s="301" t="s">
        <v>309</v>
      </c>
      <c r="B59" s="301"/>
      <c r="C59" s="172"/>
    </row>
    <row r="60" spans="1:8" x14ac:dyDescent="0.25">
      <c r="A60" s="307" t="s">
        <v>308</v>
      </c>
      <c r="B60" s="307"/>
      <c r="C60" s="174"/>
    </row>
    <row r="61" spans="1:8" ht="36" customHeight="1" x14ac:dyDescent="0.25">
      <c r="A61" s="294"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61" s="294"/>
      <c r="C61" s="173"/>
    </row>
    <row r="62" spans="1:8" ht="36.75" customHeight="1" x14ac:dyDescent="0.25">
      <c r="A62" s="294"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2" s="294"/>
      <c r="C62" s="173"/>
    </row>
    <row r="63" spans="1:8" ht="17.25" customHeight="1" x14ac:dyDescent="0.25">
      <c r="A63" s="294" t="str">
        <f>"5.1.3. "&amp;'Общие данные'!C64&amp;" xizmatlari ko‘rsatish qoidalari bilan tanishish."</f>
        <v>5.1.3. Mikroqarz xizmatlari ko‘rsatish qoidalari bilan tanishish.</v>
      </c>
      <c r="B63" s="294"/>
      <c r="C63" s="173"/>
    </row>
    <row r="64" spans="1:8" ht="36" customHeight="1" x14ac:dyDescent="0.25">
      <c r="A64" s="294"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4" s="294"/>
      <c r="C64" s="173"/>
    </row>
    <row r="65" spans="1:8" ht="33.75" customHeight="1" x14ac:dyDescent="0.25">
      <c r="A65" s="294" t="s">
        <v>323</v>
      </c>
      <c r="B65" s="294"/>
      <c r="C65" s="173"/>
    </row>
    <row r="66" spans="1:8" x14ac:dyDescent="0.25">
      <c r="A66" s="307" t="s">
        <v>307</v>
      </c>
      <c r="B66" s="307"/>
      <c r="C66" s="174"/>
    </row>
    <row r="67" spans="1:8" ht="37.5" customHeight="1" x14ac:dyDescent="0.25">
      <c r="A67" s="294"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7" s="294"/>
      <c r="C67" s="173"/>
    </row>
    <row r="68" spans="1:8" ht="39.75" customHeight="1" x14ac:dyDescent="0.25">
      <c r="A68" s="294" t="s">
        <v>324</v>
      </c>
      <c r="B68" s="294"/>
      <c r="C68" s="173"/>
    </row>
    <row r="69" spans="1:8" ht="27" customHeight="1" x14ac:dyDescent="0.25">
      <c r="A69" s="294" t="str">
        <f>"5.2.3. To‘lov jadvaliga muvofiq "&amp;'Общие данные'!B65&amp;", shuningdek hisoblangan foizlar to‘lovlarini amalga oshirish."</f>
        <v>5.2.3. To‘lov jadvaliga muvofiq mikroqarz, shuningdek hisoblangan foizlar to‘lovlarini amalga oshirish.</v>
      </c>
      <c r="B69" s="294"/>
      <c r="C69" s="173"/>
    </row>
    <row r="70" spans="1:8" ht="84" customHeight="1" x14ac:dyDescent="0.25">
      <c r="A70" s="294" t="str">
        <f>CONCATENATE(C70,H70)</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70" s="294"/>
      <c r="C70" s="173" t="s">
        <v>341</v>
      </c>
      <c r="H70" s="7"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71" spans="1:8" ht="49.5" customHeight="1" x14ac:dyDescent="0.25">
      <c r="A71" s="294" t="s">
        <v>325</v>
      </c>
      <c r="B71" s="294"/>
      <c r="C71" s="173"/>
    </row>
    <row r="72" spans="1:8" ht="36" customHeight="1" x14ac:dyDescent="0.25">
      <c r="A72" s="294"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2" s="294"/>
      <c r="C72" s="173"/>
    </row>
    <row r="73" spans="1:8" ht="51.75" customHeight="1" x14ac:dyDescent="0.25">
      <c r="A73" s="300" t="s">
        <v>342</v>
      </c>
      <c r="B73" s="300"/>
      <c r="C73" s="176"/>
    </row>
    <row r="74" spans="1:8" ht="71.25" customHeight="1" x14ac:dyDescent="0.25">
      <c r="A74" s="294"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4" s="294"/>
      <c r="C74" s="173"/>
    </row>
    <row r="75" spans="1:8" ht="33.75" customHeight="1" x14ac:dyDescent="0.25">
      <c r="A75" s="294"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5" s="294"/>
      <c r="C75" s="173"/>
      <c r="H75" s="7" t="s">
        <v>338</v>
      </c>
    </row>
    <row r="76" spans="1:8" ht="68.25" customHeight="1" x14ac:dyDescent="0.25">
      <c r="A76" s="294" t="str">
        <f>CONCATENATE(C76,H76)</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6" s="294"/>
      <c r="C76" s="173"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6" s="7" t="s">
        <v>343</v>
      </c>
    </row>
    <row r="77" spans="1:8" x14ac:dyDescent="0.25">
      <c r="A77" s="76"/>
    </row>
    <row r="78" spans="1:8" x14ac:dyDescent="0.25">
      <c r="A78" s="306" t="s">
        <v>306</v>
      </c>
      <c r="B78" s="306"/>
      <c r="C78" s="175"/>
    </row>
    <row r="79" spans="1:8" ht="98.25" customHeight="1" x14ac:dyDescent="0.25">
      <c r="A79" s="294" t="str">
        <f>CONCATENATE(C79,H79)</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9" s="294"/>
      <c r="C79" s="173" t="s">
        <v>344</v>
      </c>
      <c r="H79" s="7"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80" spans="1:8" ht="37.5" customHeight="1" x14ac:dyDescent="0.25">
      <c r="A80" s="294" t="s">
        <v>305</v>
      </c>
      <c r="B80" s="294"/>
      <c r="C80" s="173"/>
    </row>
    <row r="81" spans="1:3" ht="35.25" customHeight="1" x14ac:dyDescent="0.25">
      <c r="A81" s="294" t="s">
        <v>304</v>
      </c>
      <c r="B81" s="294"/>
      <c r="C81" s="173"/>
    </row>
    <row r="82" spans="1:3" ht="33" customHeight="1" x14ac:dyDescent="0.25">
      <c r="A82" s="294" t="s">
        <v>303</v>
      </c>
      <c r="B82" s="294"/>
      <c r="C82" s="173"/>
    </row>
    <row r="84" spans="1:3" x14ac:dyDescent="0.25">
      <c r="A84" s="290" t="s">
        <v>302</v>
      </c>
      <c r="B84" s="290"/>
      <c r="C84" s="69"/>
    </row>
    <row r="85" spans="1:3" ht="162.75" customHeight="1" x14ac:dyDescent="0.25">
      <c r="A85" s="294" t="s">
        <v>301</v>
      </c>
      <c r="B85" s="294"/>
      <c r="C85" s="173"/>
    </row>
    <row r="86" spans="1:3" ht="33.75" customHeight="1" x14ac:dyDescent="0.25">
      <c r="A86" s="294" t="s">
        <v>345</v>
      </c>
      <c r="B86" s="294"/>
      <c r="C86" s="173"/>
    </row>
    <row r="87" spans="1:3" ht="51.75" customHeight="1" x14ac:dyDescent="0.25">
      <c r="A87" s="294" t="s">
        <v>300</v>
      </c>
      <c r="B87" s="294"/>
      <c r="C87" s="173"/>
    </row>
    <row r="88" spans="1:3" ht="36" customHeight="1" x14ac:dyDescent="0.25">
      <c r="A88" s="294" t="s">
        <v>299</v>
      </c>
      <c r="B88" s="294"/>
      <c r="C88" s="173"/>
    </row>
    <row r="90" spans="1:3" x14ac:dyDescent="0.25">
      <c r="A90" s="290" t="s">
        <v>298</v>
      </c>
      <c r="B90" s="290"/>
      <c r="C90" s="69"/>
    </row>
    <row r="91" spans="1:3" ht="114.75" customHeight="1" x14ac:dyDescent="0.25">
      <c r="A91" s="294" t="s">
        <v>359</v>
      </c>
      <c r="B91" s="294"/>
      <c r="C91" s="173"/>
    </row>
    <row r="92" spans="1:3" ht="36" customHeight="1" x14ac:dyDescent="0.25">
      <c r="A92" s="294" t="s">
        <v>326</v>
      </c>
      <c r="B92" s="294"/>
      <c r="C92" s="173"/>
    </row>
    <row r="93" spans="1:3" ht="64.5" customHeight="1" x14ac:dyDescent="0.25">
      <c r="A93" s="294"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3" s="294"/>
      <c r="C93" s="173"/>
    </row>
    <row r="95" spans="1:3" x14ac:dyDescent="0.25">
      <c r="A95" s="308" t="s">
        <v>297</v>
      </c>
      <c r="B95" s="308"/>
      <c r="C95" s="78"/>
    </row>
    <row r="96" spans="1:3" ht="20.25" customHeight="1" x14ac:dyDescent="0.25">
      <c r="A96" s="294" t="s">
        <v>296</v>
      </c>
      <c r="B96" s="294"/>
      <c r="C96" s="173"/>
    </row>
    <row r="97" spans="1:3" ht="33.75" customHeight="1" x14ac:dyDescent="0.25">
      <c r="A97" s="294"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7" s="294"/>
      <c r="C97" s="173"/>
    </row>
    <row r="98" spans="1:3" ht="51" customHeight="1" x14ac:dyDescent="0.25">
      <c r="A98" s="294" t="s">
        <v>295</v>
      </c>
      <c r="B98" s="294"/>
      <c r="C98" s="173"/>
    </row>
    <row r="100" spans="1:3" x14ac:dyDescent="0.25">
      <c r="A100" s="301" t="s">
        <v>294</v>
      </c>
      <c r="B100" s="301"/>
      <c r="C100" s="68"/>
    </row>
    <row r="101" spans="1:3" ht="82.5" customHeight="1" x14ac:dyDescent="0.25">
      <c r="A101" s="294" t="s">
        <v>293</v>
      </c>
      <c r="B101" s="294"/>
      <c r="C101" s="173"/>
    </row>
    <row r="102" spans="1:3" ht="66" customHeight="1" x14ac:dyDescent="0.25">
      <c r="A102" s="294" t="s">
        <v>292</v>
      </c>
      <c r="B102" s="294"/>
      <c r="C102" s="173"/>
    </row>
    <row r="103" spans="1:3" ht="48" customHeight="1" x14ac:dyDescent="0.25">
      <c r="A103" s="294" t="s">
        <v>291</v>
      </c>
      <c r="B103" s="294"/>
      <c r="C103" s="173"/>
    </row>
    <row r="105" spans="1:3" x14ac:dyDescent="0.25">
      <c r="A105" s="290" t="s">
        <v>290</v>
      </c>
      <c r="B105" s="290"/>
      <c r="C105" s="157"/>
    </row>
    <row r="106" spans="1:3" ht="37.5" customHeight="1" x14ac:dyDescent="0.25">
      <c r="A106" s="294" t="s">
        <v>289</v>
      </c>
      <c r="B106" s="294"/>
      <c r="C106" s="173"/>
    </row>
    <row r="107" spans="1:3" ht="34.5" customHeight="1" x14ac:dyDescent="0.25">
      <c r="A107" s="294" t="s">
        <v>288</v>
      </c>
      <c r="B107" s="294"/>
      <c r="C107" s="173"/>
    </row>
    <row r="108" spans="1:3" ht="66.75" customHeight="1" x14ac:dyDescent="0.25">
      <c r="A108" s="294" t="s">
        <v>287</v>
      </c>
      <c r="B108" s="294"/>
      <c r="C108" s="173"/>
    </row>
    <row r="109" spans="1:3" ht="51" customHeight="1" x14ac:dyDescent="0.25">
      <c r="A109" s="294" t="s">
        <v>286</v>
      </c>
      <c r="B109" s="294"/>
      <c r="C109" s="173"/>
    </row>
    <row r="110" spans="1:3" ht="37.5" customHeight="1" x14ac:dyDescent="0.25">
      <c r="A110" s="294" t="s">
        <v>285</v>
      </c>
      <c r="B110" s="294"/>
      <c r="C110" s="173"/>
    </row>
    <row r="111" spans="1:3" ht="38.25" customHeight="1" x14ac:dyDescent="0.25">
      <c r="A111" s="294" t="s">
        <v>284</v>
      </c>
      <c r="B111" s="294"/>
      <c r="C111" s="173"/>
    </row>
    <row r="112" spans="1:3" ht="21" customHeight="1" x14ac:dyDescent="0.25">
      <c r="A112" s="294" t="s">
        <v>283</v>
      </c>
      <c r="B112" s="294"/>
      <c r="C112" s="173"/>
    </row>
    <row r="113" spans="1:3" ht="32.25" customHeight="1" x14ac:dyDescent="0.25">
      <c r="A113" s="294"/>
      <c r="B113" s="294"/>
      <c r="C113" s="173"/>
    </row>
    <row r="115" spans="1:3" x14ac:dyDescent="0.25">
      <c r="A115" s="308" t="s">
        <v>327</v>
      </c>
      <c r="B115" s="308"/>
      <c r="C115" s="78"/>
    </row>
    <row r="117" spans="1:3" x14ac:dyDescent="0.25">
      <c r="A117" s="79" t="s">
        <v>282</v>
      </c>
      <c r="B117" s="79" t="s">
        <v>281</v>
      </c>
    </row>
    <row r="119" spans="1:3" ht="31.5" x14ac:dyDescent="0.25">
      <c r="A119" s="78" t="str">
        <f>'Общие данные'!B152</f>
        <v>«CLEVER MIKROMOLIYA TASHKILOTI» MChJ</v>
      </c>
      <c r="B119" s="71" t="str">
        <f>'Общие данные'!B5</f>
        <v>DJUMANIYAZOV SHERIPBAY AYITBAYEVICH</v>
      </c>
    </row>
    <row r="121" spans="1:3" ht="58.5" customHeight="1" x14ac:dyDescent="0.25">
      <c r="A121" s="75" t="str">
        <f>"Manzil: "&amp;'Общие данные'!B157&amp;""</f>
        <v>Manzil: Toshkent shahri, Olmazor tumani, Sagbon ko'chasi, 30 boshi berk, 6-uy</v>
      </c>
      <c r="B121" s="75" t="str">
        <f>"Manzil: "&amp;'Общие данные'!B27&amp;""</f>
        <v xml:space="preserve">Manzil: QORAQALPOG'ISTON RESPUBLIKASI TO'RTKO'L TUMANI ULLUBOG' OFY </v>
      </c>
    </row>
    <row r="122" spans="1:3" ht="17.25" customHeight="1" x14ac:dyDescent="0.25">
      <c r="A122" s="77" t="str">
        <f>"h/r: "&amp;'Общие данные'!B158&amp;""</f>
        <v>h/r: №20216000705068380001</v>
      </c>
    </row>
    <row r="123" spans="1:3" ht="47.25" x14ac:dyDescent="0.25">
      <c r="A123" s="75" t="str">
        <f>"MFO: "&amp;'Общие данные'!B159&amp;" в "&amp;'Общие данные'!B160&amp;""</f>
        <v>MFO: №01042 в ATB “Kapitalbank” Sergeli filiali</v>
      </c>
      <c r="B123" s="75" t="str">
        <f>"pasport seriyasi: "&amp;'Общие данные'!B16&amp;", "&amp;'Общие данные'!B20&amp;""</f>
        <v>pasport seriyasi: KA 1247502, QORAQALPOG'ISTON RESPUBLIKASI TO'RTKO'L TUMANI IIB tomonidan 02.01.2019 yilda berilgan</v>
      </c>
    </row>
    <row r="124" spans="1:3" x14ac:dyDescent="0.25">
      <c r="A124" s="75" t="str">
        <f>"STIR: "&amp;'Общие данные'!B161&amp;""</f>
        <v>STIR: 306365847</v>
      </c>
      <c r="B124" s="70" t="str">
        <f>"Tel: "&amp;'Общие данные'!B40&amp;""</f>
        <v>Tel: 93-370-14-71</v>
      </c>
    </row>
    <row r="125" spans="1:3" x14ac:dyDescent="0.25">
      <c r="A125" s="196" t="str">
        <f>"Tel: (78) 113 31 33"</f>
        <v>Tel: (78) 113 31 33</v>
      </c>
      <c r="B125" s="70" t="str">
        <f>'Общие данные'!B41</f>
        <v>91-269-79-00 UKASI</v>
      </c>
    </row>
    <row r="126" spans="1:3" x14ac:dyDescent="0.25">
      <c r="A126" s="196" t="s">
        <v>8</v>
      </c>
      <c r="B126" s="70" t="str">
        <f>'Общие данные'!B42</f>
        <v>90-708-07-27 UKASI</v>
      </c>
    </row>
    <row r="128" spans="1:3" x14ac:dyDescent="0.25">
      <c r="A128" s="309" t="str">
        <f>'Общие данные'!A165</f>
        <v>To'rtko'l filial boshlig'i</v>
      </c>
    </row>
    <row r="129" spans="1:2" x14ac:dyDescent="0.25">
      <c r="A129" s="309"/>
      <c r="B129" s="69" t="str">
        <f>""&amp;'Общие данные'!B7&amp;"     __________________"</f>
        <v>DJUMANIYAZOV SH A     __________________</v>
      </c>
    </row>
    <row r="131" spans="1:2" x14ac:dyDescent="0.25">
      <c r="A131" s="157" t="str">
        <f>""&amp;'Общие данные'!B165&amp;"     __________________"</f>
        <v>USMANOV X. I.     __________________</v>
      </c>
      <c r="B131" s="187"/>
    </row>
    <row r="134" spans="1:2" hidden="1" x14ac:dyDescent="0.25">
      <c r="A134" s="7" t="str">
        <f>"менеджер :   "&amp;'Общие данные'!B165&amp;"______________"</f>
        <v>менеджер :   USMANOV X. I.______________</v>
      </c>
    </row>
  </sheetData>
  <mergeCells count="101">
    <mergeCell ref="A108:B108"/>
    <mergeCell ref="A128:A129"/>
    <mergeCell ref="A115:B115"/>
    <mergeCell ref="A109:B109"/>
    <mergeCell ref="A110:B110"/>
    <mergeCell ref="A111:B111"/>
    <mergeCell ref="A112:B112"/>
    <mergeCell ref="A113:B113"/>
    <mergeCell ref="A97:B97"/>
    <mergeCell ref="A98:B98"/>
    <mergeCell ref="A100:B100"/>
    <mergeCell ref="A101:B101"/>
    <mergeCell ref="A102:B102"/>
    <mergeCell ref="A103:B103"/>
    <mergeCell ref="A105:B105"/>
    <mergeCell ref="A106:B106"/>
    <mergeCell ref="A107:B107"/>
    <mergeCell ref="A84:B84"/>
    <mergeCell ref="A85:B85"/>
    <mergeCell ref="A92:B92"/>
    <mergeCell ref="A93:B93"/>
    <mergeCell ref="A95:B95"/>
    <mergeCell ref="A96:B96"/>
    <mergeCell ref="A86:B86"/>
    <mergeCell ref="A87:B87"/>
    <mergeCell ref="A88:B88"/>
    <mergeCell ref="A90:B90"/>
    <mergeCell ref="A91:B91"/>
    <mergeCell ref="A79:B79"/>
    <mergeCell ref="A70:B70"/>
    <mergeCell ref="A71:B71"/>
    <mergeCell ref="A72:B72"/>
    <mergeCell ref="A73:B73"/>
    <mergeCell ref="A74:B74"/>
    <mergeCell ref="A80:B80"/>
    <mergeCell ref="A81:B81"/>
    <mergeCell ref="A82:B82"/>
    <mergeCell ref="A64:B64"/>
    <mergeCell ref="A65:B65"/>
    <mergeCell ref="A66:B66"/>
    <mergeCell ref="A67:B67"/>
    <mergeCell ref="A68:B68"/>
    <mergeCell ref="A69:B69"/>
    <mergeCell ref="A75:B75"/>
    <mergeCell ref="A76:B76"/>
    <mergeCell ref="A78:B78"/>
    <mergeCell ref="A54:B54"/>
    <mergeCell ref="A55:B55"/>
    <mergeCell ref="A56:B56"/>
    <mergeCell ref="A57:B57"/>
    <mergeCell ref="A59:B59"/>
    <mergeCell ref="A60:B60"/>
    <mergeCell ref="A61:B61"/>
    <mergeCell ref="A62:B62"/>
    <mergeCell ref="A63:B63"/>
    <mergeCell ref="A52:B52"/>
    <mergeCell ref="A53:B53"/>
    <mergeCell ref="A49:B49"/>
    <mergeCell ref="A48:B48"/>
    <mergeCell ref="A47:B47"/>
    <mergeCell ref="A46:B46"/>
    <mergeCell ref="A45:B45"/>
    <mergeCell ref="A44:B44"/>
    <mergeCell ref="A43:B43"/>
    <mergeCell ref="A32:B32"/>
    <mergeCell ref="A24:B24"/>
    <mergeCell ref="A28:B28"/>
    <mergeCell ref="A29:B29"/>
    <mergeCell ref="A30:B30"/>
    <mergeCell ref="A31:B31"/>
    <mergeCell ref="A11:B11"/>
    <mergeCell ref="A50:B50"/>
    <mergeCell ref="A51:B51"/>
    <mergeCell ref="A42:B42"/>
    <mergeCell ref="A41:B41"/>
    <mergeCell ref="A40:B40"/>
    <mergeCell ref="A39:B39"/>
    <mergeCell ref="A37:B37"/>
    <mergeCell ref="A36:B36"/>
    <mergeCell ref="A35:B35"/>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0" max="1" man="1"/>
    <brk id="66" max="1" man="1"/>
    <brk id="87"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pageSetUpPr fitToPage="1"/>
  </sheetPr>
  <dimension ref="A1:P65"/>
  <sheetViews>
    <sheetView tabSelected="1" view="pageBreakPreview" zoomScaleNormal="100" zoomScaleSheetLayoutView="100" workbookViewId="0">
      <selection activeCell="C16" sqref="C16"/>
    </sheetView>
  </sheetViews>
  <sheetFormatPr defaultColWidth="9.140625" defaultRowHeight="15" outlineLevelCol="1" x14ac:dyDescent="0.25"/>
  <cols>
    <col min="1" max="1" width="9.140625" style="16"/>
    <col min="2" max="2" width="13.7109375" style="16" customWidth="1"/>
    <col min="3" max="3" width="20.140625" style="16" customWidth="1"/>
    <col min="4" max="4" width="20.28515625" style="16" customWidth="1"/>
    <col min="5" max="5" width="19.5703125" style="16" customWidth="1"/>
    <col min="6" max="6" width="18.28515625" style="16" customWidth="1"/>
    <col min="7" max="7" width="10.140625" style="16" customWidth="1" outlineLevel="1"/>
    <col min="8" max="8" width="19.7109375" style="16" customWidth="1"/>
    <col min="9" max="10" width="9.140625" style="16" customWidth="1"/>
    <col min="11" max="16384" width="9.140625" style="16"/>
  </cols>
  <sheetData>
    <row r="1" spans="1:16" ht="9" customHeight="1" x14ac:dyDescent="0.25"/>
    <row r="2" spans="1:16" ht="6" customHeight="1" x14ac:dyDescent="0.25">
      <c r="A2" s="38"/>
      <c r="B2" s="38"/>
      <c r="C2" s="38"/>
      <c r="D2" s="38"/>
      <c r="E2" s="263"/>
      <c r="F2" s="263"/>
      <c r="G2" s="21"/>
    </row>
    <row r="3" spans="1:16" ht="75" customHeight="1" x14ac:dyDescent="0.25">
      <c r="A3" s="38"/>
      <c r="B3" s="38"/>
      <c r="C3" s="38"/>
      <c r="D3" s="38"/>
      <c r="E3" s="312" t="str">
        <f>""&amp;'Общие данные'!B74&amp;" 
"&amp;'Общие данные'!B65&amp;" shartnomasiga 
1 sonli ilova"</f>
        <v>6 yanvar 2025 y.dan №-TR 
mikroqarz shartnomasiga 
1 sonli ilova</v>
      </c>
      <c r="F3" s="312"/>
      <c r="G3" s="21"/>
    </row>
    <row r="4" spans="1:16" ht="6.75" customHeight="1" x14ac:dyDescent="0.25">
      <c r="A4" s="38"/>
      <c r="B4" s="38"/>
      <c r="C4" s="38"/>
      <c r="D4" s="38"/>
      <c r="E4" s="38"/>
      <c r="F4" s="38"/>
    </row>
    <row r="5" spans="1:16" x14ac:dyDescent="0.25">
      <c r="A5" s="264" t="s">
        <v>266</v>
      </c>
      <c r="B5" s="264"/>
      <c r="C5" s="264"/>
      <c r="D5" s="264"/>
      <c r="E5" s="264"/>
      <c r="F5" s="264"/>
    </row>
    <row r="6" spans="1:16" ht="7.5" customHeight="1" x14ac:dyDescent="0.25"/>
    <row r="7" spans="1:16" ht="15" customHeight="1" x14ac:dyDescent="0.25">
      <c r="A7" s="265" t="s">
        <v>15</v>
      </c>
      <c r="B7" s="266" t="s">
        <v>267</v>
      </c>
      <c r="C7" s="266" t="s">
        <v>268</v>
      </c>
      <c r="D7" s="267" t="s">
        <v>269</v>
      </c>
      <c r="E7" s="267"/>
      <c r="F7" s="267"/>
    </row>
    <row r="8" spans="1:16" s="17" customFormat="1" x14ac:dyDescent="0.25">
      <c r="A8" s="265"/>
      <c r="B8" s="266"/>
      <c r="C8" s="266"/>
      <c r="D8" s="18" t="s">
        <v>270</v>
      </c>
      <c r="E8" s="18" t="s">
        <v>271</v>
      </c>
      <c r="F8" s="18" t="s">
        <v>272</v>
      </c>
    </row>
    <row r="9" spans="1:16" x14ac:dyDescent="0.25">
      <c r="A9" s="19">
        <v>1</v>
      </c>
      <c r="B9" s="34">
        <f>'График аннуитет.'!B8</f>
        <v>45691</v>
      </c>
      <c r="C9" s="35">
        <f>IF('Общие данные'!$B$78='Общие данные'!$C$78,'График дифференц'!C8,IF('Общие данные'!$B$78='Общие данные'!$D$78,'График аннуитет.'!C8))</f>
        <v>35000000</v>
      </c>
      <c r="D9" s="35">
        <f>IF('Общие данные'!$B$78='Общие данные'!$C$78,'График дифференц'!D8,IF('Общие данные'!$B$78='Общие данные'!$D$78,'График аннуитет.'!D8))</f>
        <v>925041</v>
      </c>
      <c r="E9" s="35">
        <f>IF('Общие данные'!$B$78='Общие данные'!$C$78,'График дифференц'!E8,IF('Общие данные'!$B$78='Общие данные'!$D$78,'График аннуитет.'!E8))</f>
        <v>1610959</v>
      </c>
      <c r="F9" s="35">
        <f>IF('Общие данные'!$B$78='Общие данные'!$C$78,'График дифференц'!F8,IF('Общие данные'!$B$78='Общие данные'!$D$78,'График аннуитет.'!F8))</f>
        <v>2536000</v>
      </c>
    </row>
    <row r="10" spans="1:16" x14ac:dyDescent="0.25">
      <c r="A10" s="19">
        <v>2</v>
      </c>
      <c r="B10" s="34">
        <f>'График аннуитет.'!B9</f>
        <v>45719</v>
      </c>
      <c r="C10" s="35">
        <f>IF('Общие данные'!$B$78='Общие данные'!$C$78,'График дифференц'!C9,IF('Общие данные'!$B$78='Общие данные'!$D$78,'График аннуитет.'!C9))</f>
        <v>34074959</v>
      </c>
      <c r="D10" s="35">
        <f>IF('Общие данные'!$B$78='Общие данные'!$C$78,'График дифференц'!D9,IF('Общие данные'!$B$78='Общие данные'!$D$78,'График аннуитет.'!D9))</f>
        <v>967618.3600000001</v>
      </c>
      <c r="E10" s="35">
        <f>IF('Общие данные'!$B$78='Общие данные'!$C$78,'График дифференц'!E9,IF('Общие данные'!$B$78='Общие данные'!$D$78,'График аннуитет.'!E9))</f>
        <v>1568381.64</v>
      </c>
      <c r="F10" s="35">
        <f>IF('Общие данные'!$B$78='Общие данные'!$C$78,'График дифференц'!F9,IF('Общие данные'!$B$78='Общие данные'!$D$78,'График аннуитет.'!F9))</f>
        <v>2536000</v>
      </c>
    </row>
    <row r="11" spans="1:16" x14ac:dyDescent="0.25">
      <c r="A11" s="19">
        <v>3</v>
      </c>
      <c r="B11" s="34">
        <f>'График аннуитет.'!B10</f>
        <v>45748</v>
      </c>
      <c r="C11" s="35">
        <f>IF('Общие данные'!$B$78='Общие данные'!$C$78,'График дифференц'!C10,IF('Общие данные'!$B$78='Общие данные'!$D$78,'График аннуитет.'!C10))</f>
        <v>33107340.640000001</v>
      </c>
      <c r="D11" s="35">
        <f>IF('Общие данные'!$B$78='Общие данные'!$C$78,'График дифференц'!D10,IF('Общие данные'!$B$78='Общие данные'!$D$78,'График аннуитет.'!D10))</f>
        <v>957732.13000000012</v>
      </c>
      <c r="E11" s="35">
        <f>IF('Общие данные'!$B$78='Общие данные'!$C$78,'График дифференц'!E10,IF('Общие данные'!$B$78='Общие данные'!$D$78,'График аннуитет.'!E10))</f>
        <v>1578267.8699999999</v>
      </c>
      <c r="F11" s="35">
        <f>IF('Общие данные'!$B$78='Общие данные'!$C$78,'График дифференц'!F10,IF('Общие данные'!$B$78='Общие данные'!$D$78,'График аннуитет.'!F10))</f>
        <v>2536000</v>
      </c>
    </row>
    <row r="12" spans="1:16" x14ac:dyDescent="0.25">
      <c r="A12" s="19">
        <v>4</v>
      </c>
      <c r="B12" s="34">
        <f>'График аннуитет.'!B11</f>
        <v>45778</v>
      </c>
      <c r="C12" s="35">
        <f>IF('Общие данные'!$B$78='Общие данные'!$C$78,'График дифференц'!C11,IF('Общие данные'!$B$78='Общие данные'!$D$78,'График аннуитет.'!C11))</f>
        <v>32149608.510000002</v>
      </c>
      <c r="D12" s="35">
        <f>IF('Общие данные'!$B$78='Общие данные'!$C$78,'График дифференц'!D11,IF('Общие данные'!$B$78='Общие данные'!$D$78,'График аннуитет.'!D11))</f>
        <v>950539.90000000014</v>
      </c>
      <c r="E12" s="35">
        <f>IF('Общие данные'!$B$78='Общие данные'!$C$78,'График дифференц'!E11,IF('Общие данные'!$B$78='Общие данные'!$D$78,'График аннуитет.'!E11))</f>
        <v>1585460.0999999999</v>
      </c>
      <c r="F12" s="35">
        <f>IF('Общие данные'!$B$78='Общие данные'!$C$78,'График дифференц'!F11,IF('Общие данные'!$B$78='Общие данные'!$D$78,'График аннуитет.'!F11))</f>
        <v>2536000</v>
      </c>
      <c r="H12" s="310" t="s">
        <v>377</v>
      </c>
      <c r="I12" s="310"/>
      <c r="J12" s="310"/>
      <c r="K12" s="310"/>
      <c r="L12" s="310"/>
      <c r="M12" s="310"/>
      <c r="N12" s="310"/>
      <c r="O12" s="310"/>
      <c r="P12" s="310"/>
    </row>
    <row r="13" spans="1:16" x14ac:dyDescent="0.25">
      <c r="A13" s="19">
        <v>5</v>
      </c>
      <c r="B13" s="34">
        <f>'График аннуитет.'!B12</f>
        <v>45810</v>
      </c>
      <c r="C13" s="35">
        <f>IF('Общие данные'!$B$78='Общие данные'!$C$78,'График дифференц'!C12,IF('Общие данные'!$B$78='Общие данные'!$D$78,'График аннуитет.'!C12))</f>
        <v>31199068.610000003</v>
      </c>
      <c r="D13" s="35">
        <f>IF('Общие данные'!$B$78='Общие данные'!$C$78,'График дифференц'!D12,IF('Общие данные'!$B$78='Общие данные'!$D$78,'График аннуитет.'!D12))</f>
        <v>894843.52</v>
      </c>
      <c r="E13" s="35">
        <f>IF('Общие данные'!$B$78='Общие данные'!$C$78,'График дифференц'!E12,IF('Общие данные'!$B$78='Общие данные'!$D$78,'График аннуитет.'!E12))</f>
        <v>1641156.48</v>
      </c>
      <c r="F13" s="35">
        <f>IF('Общие данные'!$B$78='Общие данные'!$C$78,'График дифференц'!F12,IF('Общие данные'!$B$78='Общие данные'!$D$78,'График аннуитет.'!F12))</f>
        <v>2536000</v>
      </c>
      <c r="H13" s="310"/>
      <c r="I13" s="310"/>
      <c r="J13" s="310"/>
      <c r="K13" s="310"/>
      <c r="L13" s="310"/>
      <c r="M13" s="310"/>
      <c r="N13" s="310"/>
      <c r="O13" s="310"/>
      <c r="P13" s="310"/>
    </row>
    <row r="14" spans="1:16" x14ac:dyDescent="0.25">
      <c r="A14" s="19">
        <v>6</v>
      </c>
      <c r="B14" s="34">
        <f>'График аннуитет.'!B13</f>
        <v>45839</v>
      </c>
      <c r="C14" s="35">
        <f>IF('Общие данные'!$B$78='Общие данные'!$C$78,'График дифференц'!C13,IF('Общие данные'!$B$78='Общие данные'!$D$78,'График аннуитет.'!C13))</f>
        <v>30304225.090000004</v>
      </c>
      <c r="D14" s="35">
        <f>IF('Общие данные'!$B$78='Общие данные'!$C$78,'График дифференц'!D13,IF('Общие данные'!$B$78='Общие данные'!$D$78,'График аннуитет.'!D13))</f>
        <v>1091360.3599999999</v>
      </c>
      <c r="E14" s="35">
        <f>IF('Общие данные'!$B$78='Общие данные'!$C$78,'График дифференц'!E13,IF('Общие данные'!$B$78='Общие данные'!$D$78,'График аннуитет.'!E13))</f>
        <v>1444639.6400000001</v>
      </c>
      <c r="F14" s="35">
        <f>IF('Общие данные'!$B$78='Общие данные'!$C$78,'График дифференц'!F13,IF('Общие данные'!$B$78='Общие данные'!$D$78,'График аннуитет.'!F13))</f>
        <v>2536000</v>
      </c>
      <c r="H14" s="310"/>
      <c r="I14" s="310"/>
      <c r="J14" s="310"/>
      <c r="K14" s="310"/>
      <c r="L14" s="310"/>
      <c r="M14" s="310"/>
      <c r="N14" s="310"/>
      <c r="O14" s="310"/>
      <c r="P14" s="310"/>
    </row>
    <row r="15" spans="1:16" x14ac:dyDescent="0.25">
      <c r="A15" s="19">
        <v>7</v>
      </c>
      <c r="B15" s="34">
        <f>'График аннуитет.'!B14</f>
        <v>45870</v>
      </c>
      <c r="C15" s="35">
        <f>IF('Общие данные'!$B$78='Общие данные'!$C$78,'График дифференц'!C14,IF('Общие данные'!$B$78='Общие данные'!$D$78,'График аннуитет.'!C14))</f>
        <v>29212864.730000004</v>
      </c>
      <c r="D15" s="35">
        <f>IF('Общие данные'!$B$78='Общие данные'!$C$78,'График дифференц'!D14,IF('Общие данные'!$B$78='Общие данные'!$D$78,'График аннуитет.'!D14))</f>
        <v>1047344.3499999999</v>
      </c>
      <c r="E15" s="35">
        <f>IF('Общие данные'!$B$78='Общие данные'!$C$78,'График дифференц'!E14,IF('Общие данные'!$B$78='Общие данные'!$D$78,'График аннуитет.'!E14))</f>
        <v>1488655.6500000001</v>
      </c>
      <c r="F15" s="35">
        <f>IF('Общие данные'!$B$78='Общие данные'!$C$78,'График дифференц'!F14,IF('Общие данные'!$B$78='Общие данные'!$D$78,'График аннуитет.'!F14))</f>
        <v>2536000</v>
      </c>
      <c r="H15" s="310"/>
      <c r="I15" s="310"/>
      <c r="J15" s="310"/>
      <c r="K15" s="310"/>
      <c r="L15" s="310"/>
      <c r="M15" s="310"/>
      <c r="N15" s="310"/>
      <c r="O15" s="310"/>
      <c r="P15" s="310"/>
    </row>
    <row r="16" spans="1:16" x14ac:dyDescent="0.25">
      <c r="A16" s="19">
        <v>8</v>
      </c>
      <c r="B16" s="34">
        <f>'График аннуитет.'!B15</f>
        <v>45901</v>
      </c>
      <c r="C16" s="35">
        <f>IF('Общие данные'!$B$78='Общие данные'!$C$78,'График дифференц'!C15,IF('Общие данные'!$B$78='Общие данные'!$D$78,'График аннуитет.'!C15))</f>
        <v>28165520.380000003</v>
      </c>
      <c r="D16" s="35">
        <f>IF('Общие данные'!$B$78='Общие данные'!$C$78,'График дифференц'!D15,IF('Общие данные'!$B$78='Общие данные'!$D$78,'График аннуитет.'!D15))</f>
        <v>1100715.81</v>
      </c>
      <c r="E16" s="35">
        <f>IF('Общие данные'!$B$78='Общие данные'!$C$78,'График дифференц'!E15,IF('Общие данные'!$B$78='Общие данные'!$D$78,'График аннуитет.'!E15))</f>
        <v>1435284.19</v>
      </c>
      <c r="F16" s="35">
        <f>IF('Общие данные'!$B$78='Общие данные'!$C$78,'График дифференц'!F15,IF('Общие данные'!$B$78='Общие данные'!$D$78,'График аннуитет.'!F15))</f>
        <v>2536000</v>
      </c>
      <c r="H16" s="310"/>
      <c r="I16" s="310"/>
      <c r="J16" s="310"/>
      <c r="K16" s="310"/>
      <c r="L16" s="310"/>
      <c r="M16" s="310"/>
      <c r="N16" s="310"/>
      <c r="O16" s="310"/>
      <c r="P16" s="310"/>
    </row>
    <row r="17" spans="1:16" x14ac:dyDescent="0.25">
      <c r="A17" s="19">
        <v>9</v>
      </c>
      <c r="B17" s="34">
        <f>'График аннуитет.'!B16</f>
        <v>45931</v>
      </c>
      <c r="C17" s="35">
        <f>IF('Общие данные'!$B$78='Общие данные'!$C$78,'График дифференц'!C16,IF('Общие данные'!$B$78='Общие данные'!$D$78,'График аннуитет.'!C16))</f>
        <v>27064804.570000004</v>
      </c>
      <c r="D17" s="35">
        <f>IF('Общие данные'!$B$78='Общие данные'!$C$78,'График дифференц'!D16,IF('Общие данные'!$B$78='Общие данные'!$D$78,'График аннуитет.'!D16))</f>
        <v>1201297.3</v>
      </c>
      <c r="E17" s="35">
        <f>IF('Общие данные'!$B$78='Общие данные'!$C$78,'График дифференц'!E16,IF('Общие данные'!$B$78='Общие данные'!$D$78,'График аннуитет.'!E16))</f>
        <v>1334702.7</v>
      </c>
      <c r="F17" s="35">
        <f>IF('Общие данные'!$B$78='Общие данные'!$C$78,'График дифференц'!F16,IF('Общие данные'!$B$78='Общие данные'!$D$78,'График аннуитет.'!F16))</f>
        <v>2536000</v>
      </c>
      <c r="H17" s="310"/>
      <c r="I17" s="310"/>
      <c r="J17" s="310"/>
      <c r="K17" s="310"/>
      <c r="L17" s="310"/>
      <c r="M17" s="310"/>
      <c r="N17" s="310"/>
      <c r="O17" s="310"/>
      <c r="P17" s="310"/>
    </row>
    <row r="18" spans="1:16" x14ac:dyDescent="0.25">
      <c r="A18" s="19">
        <v>10</v>
      </c>
      <c r="B18" s="34">
        <f>'График аннуитет.'!B17</f>
        <v>45964</v>
      </c>
      <c r="C18" s="35">
        <f>IF('Общие данные'!$B$78='Общие данные'!$C$78,'График дифференц'!C17,IF('Общие данные'!$B$78='Общие данные'!$D$78,'График аннуитет.'!C17))</f>
        <v>25863507.270000003</v>
      </c>
      <c r="D18" s="35">
        <f>IF('Общие данные'!$B$78='Общие данные'!$C$78,'График дифференц'!D17,IF('Общие данные'!$B$78='Общие данные'!$D$78,'График аннуитет.'!D17))</f>
        <v>1132993.45</v>
      </c>
      <c r="E18" s="35">
        <f>IF('Общие данные'!$B$78='Общие данные'!$C$78,'График дифференц'!E17,IF('Общие данные'!$B$78='Общие данные'!$D$78,'График аннуитет.'!E17))</f>
        <v>1403006.55</v>
      </c>
      <c r="F18" s="35">
        <f>IF('Общие данные'!$B$78='Общие данные'!$C$78,'График дифференц'!F17,IF('Общие данные'!$B$78='Общие данные'!$D$78,'График аннуитет.'!F17))</f>
        <v>2536000</v>
      </c>
      <c r="H18" s="310"/>
      <c r="I18" s="310"/>
      <c r="J18" s="310"/>
      <c r="K18" s="310"/>
      <c r="L18" s="310"/>
      <c r="M18" s="310"/>
      <c r="N18" s="310"/>
      <c r="O18" s="310"/>
      <c r="P18" s="310"/>
    </row>
    <row r="19" spans="1:16" x14ac:dyDescent="0.25">
      <c r="A19" s="19">
        <v>11</v>
      </c>
      <c r="B19" s="34">
        <f>'График аннуитет.'!B18</f>
        <v>45992</v>
      </c>
      <c r="C19" s="35">
        <f>IF('Общие данные'!$B$78='Общие данные'!$C$78,'График дифференц'!C18,IF('Общие данные'!$B$78='Общие данные'!$D$78,'График аннуитет.'!C18))</f>
        <v>24730513.820000004</v>
      </c>
      <c r="D19" s="35">
        <f>IF('Общие данные'!$B$78='Общие данные'!$C$78,'График дифференц'!D18,IF('Общие данные'!$B$78='Общие данные'!$D$78,'График аннуитет.'!D18))</f>
        <v>1397718.8</v>
      </c>
      <c r="E19" s="35">
        <f>IF('Общие данные'!$B$78='Общие данные'!$C$78,'График дифференц'!E18,IF('Общие данные'!$B$78='Общие данные'!$D$78,'График аннуитет.'!E18))</f>
        <v>1138281.2</v>
      </c>
      <c r="F19" s="35">
        <f>IF('Общие данные'!$B$78='Общие данные'!$C$78,'График дифференц'!F18,IF('Общие данные'!$B$78='Общие данные'!$D$78,'График аннуитет.'!F18))</f>
        <v>2536000</v>
      </c>
      <c r="H19" s="310"/>
      <c r="I19" s="310"/>
      <c r="J19" s="310"/>
      <c r="K19" s="310"/>
      <c r="L19" s="310"/>
      <c r="M19" s="310"/>
      <c r="N19" s="310"/>
      <c r="O19" s="310"/>
      <c r="P19" s="310"/>
    </row>
    <row r="20" spans="1:16" x14ac:dyDescent="0.25">
      <c r="A20" s="19">
        <v>12</v>
      </c>
      <c r="B20" s="34">
        <f>'График аннуитет.'!B19</f>
        <v>46023</v>
      </c>
      <c r="C20" s="35">
        <f>IF('Общие данные'!$B$78='Общие данные'!$C$78,'График дифференц'!C19,IF('Общие данные'!$B$78='Общие данные'!$D$78,'График аннуитет.'!C19))</f>
        <v>23332795.020000003</v>
      </c>
      <c r="D20" s="35">
        <f>IF('Общие данные'!$B$78='Общие данные'!$C$78,'График дифференц'!D19,IF('Общие данные'!$B$78='Общие данные'!$D$78,'График аннуитет.'!D19))</f>
        <v>1346986.32</v>
      </c>
      <c r="E20" s="35">
        <f>IF('Общие данные'!$B$78='Общие данные'!$C$78,'График дифференц'!E19,IF('Общие данные'!$B$78='Общие данные'!$D$78,'График аннуитет.'!E19))</f>
        <v>1189013.68</v>
      </c>
      <c r="F20" s="35">
        <f>IF('Общие данные'!$B$78='Общие данные'!$C$78,'График дифференц'!F19,IF('Общие данные'!$B$78='Общие данные'!$D$78,'График аннуитет.'!F19))</f>
        <v>2536000</v>
      </c>
      <c r="H20" s="310"/>
      <c r="I20" s="310"/>
      <c r="J20" s="310"/>
      <c r="K20" s="310"/>
      <c r="L20" s="310"/>
      <c r="M20" s="310"/>
      <c r="N20" s="310"/>
      <c r="O20" s="310"/>
      <c r="P20" s="310"/>
    </row>
    <row r="21" spans="1:16" x14ac:dyDescent="0.25">
      <c r="A21" s="19">
        <v>13</v>
      </c>
      <c r="B21" s="34">
        <f>'График аннуитет.'!B20</f>
        <v>46055</v>
      </c>
      <c r="C21" s="35">
        <f>IF('Общие данные'!$B$78='Общие данные'!$C$78,'График дифференц'!C20,IF('Общие данные'!$B$78='Общие данные'!$D$78,'График аннуитет.'!C20))</f>
        <v>21985808.700000003</v>
      </c>
      <c r="D21" s="35">
        <f>IF('Общие данные'!$B$78='Общие данные'!$C$78,'График дифференц'!D20,IF('Общие данные'!$B$78='Общие данные'!$D$78,'График аннуитет.'!D20))</f>
        <v>1379486.08</v>
      </c>
      <c r="E21" s="35">
        <f>IF('Общие данные'!$B$78='Общие данные'!$C$78,'График дифференц'!E20,IF('Общие данные'!$B$78='Общие данные'!$D$78,'График аннуитет.'!E20))</f>
        <v>1156513.92</v>
      </c>
      <c r="F21" s="35">
        <f>IF('Общие данные'!$B$78='Общие данные'!$C$78,'График дифференц'!F20,IF('Общие данные'!$B$78='Общие данные'!$D$78,'График аннуитет.'!F20))</f>
        <v>2536000</v>
      </c>
      <c r="H21" s="310"/>
      <c r="I21" s="310"/>
      <c r="J21" s="310"/>
      <c r="K21" s="310"/>
      <c r="L21" s="310"/>
      <c r="M21" s="310"/>
      <c r="N21" s="310"/>
      <c r="O21" s="310"/>
      <c r="P21" s="310"/>
    </row>
    <row r="22" spans="1:16" x14ac:dyDescent="0.25">
      <c r="A22" s="19">
        <v>14</v>
      </c>
      <c r="B22" s="34">
        <f>'График аннуитет.'!B21</f>
        <v>46083</v>
      </c>
      <c r="C22" s="35">
        <f>IF('Общие данные'!$B$78='Общие данные'!$C$78,'График дифференц'!C21,IF('Общие данные'!$B$78='Общие данные'!$D$78,'График аннуитет.'!C21))</f>
        <v>20606322.620000005</v>
      </c>
      <c r="D22" s="35">
        <f>IF('Общие данные'!$B$78='Общие данные'!$C$78,'График дифференц'!D21,IF('Общие данные'!$B$78='Общие данные'!$D$78,'График аннуитет.'!D21))</f>
        <v>1587544.52</v>
      </c>
      <c r="E22" s="35">
        <f>IF('Общие данные'!$B$78='Общие данные'!$C$78,'График дифференц'!E21,IF('Общие данные'!$B$78='Общие данные'!$D$78,'График аннуитет.'!E21))</f>
        <v>948455.4800000001</v>
      </c>
      <c r="F22" s="35">
        <f>IF('Общие данные'!$B$78='Общие данные'!$C$78,'График дифференц'!F21,IF('Общие данные'!$B$78='Общие данные'!$D$78,'График аннуитет.'!F21))</f>
        <v>2536000</v>
      </c>
      <c r="H22" s="310"/>
      <c r="I22" s="310"/>
      <c r="J22" s="310"/>
      <c r="K22" s="310"/>
      <c r="L22" s="310"/>
      <c r="M22" s="310"/>
      <c r="N22" s="310"/>
      <c r="O22" s="310"/>
      <c r="P22" s="310"/>
    </row>
    <row r="23" spans="1:16" x14ac:dyDescent="0.25">
      <c r="A23" s="19">
        <v>15</v>
      </c>
      <c r="B23" s="34">
        <f>'График аннуитет.'!B22</f>
        <v>46113</v>
      </c>
      <c r="C23" s="35">
        <f>IF('Общие данные'!$B$78='Общие данные'!$C$78,'График дифференц'!C22,IF('Общие данные'!$B$78='Общие данные'!$D$78,'График аннуитет.'!C22))</f>
        <v>19018778.100000005</v>
      </c>
      <c r="D23" s="35">
        <f>IF('Общие данные'!$B$78='Общие данные'!$C$78,'График дифференц'!D22,IF('Общие данные'!$B$78='Общие данные'!$D$78,'График аннуитет.'!D22))</f>
        <v>1598087.7999999998</v>
      </c>
      <c r="E23" s="35">
        <f>IF('Общие данные'!$B$78='Общие данные'!$C$78,'График дифференц'!E22,IF('Общие данные'!$B$78='Общие данные'!$D$78,'График аннуитет.'!E22))</f>
        <v>937912.20000000007</v>
      </c>
      <c r="F23" s="35">
        <f>IF('Общие данные'!$B$78='Общие данные'!$C$78,'График дифференц'!F22,IF('Общие данные'!$B$78='Общие данные'!$D$78,'График аннуитет.'!F22))</f>
        <v>2536000</v>
      </c>
      <c r="H23" s="310"/>
      <c r="I23" s="310"/>
      <c r="J23" s="310"/>
      <c r="K23" s="310"/>
      <c r="L23" s="310"/>
      <c r="M23" s="310"/>
      <c r="N23" s="310"/>
      <c r="O23" s="310"/>
      <c r="P23" s="310"/>
    </row>
    <row r="24" spans="1:16" x14ac:dyDescent="0.25">
      <c r="A24" s="19">
        <v>16</v>
      </c>
      <c r="B24" s="34">
        <f>'График аннуитет.'!B23</f>
        <v>46143</v>
      </c>
      <c r="C24" s="35">
        <f>IF('Общие данные'!$B$78='Общие данные'!$C$78,'График дифференц'!C23,IF('Общие данные'!$B$78='Общие данные'!$D$78,'График аннуитет.'!C23))</f>
        <v>17420690.300000004</v>
      </c>
      <c r="D24" s="35">
        <f>IF('Общие данные'!$B$78='Общие данные'!$C$78,'График дифференц'!D23,IF('Общие данные'!$B$78='Общие данные'!$D$78,'График аннуитет.'!D23))</f>
        <v>1676897.5</v>
      </c>
      <c r="E24" s="35">
        <f>IF('Общие данные'!$B$78='Общие данные'!$C$78,'График дифференц'!E23,IF('Общие данные'!$B$78='Общие данные'!$D$78,'График аннуитет.'!E23))</f>
        <v>859102.5</v>
      </c>
      <c r="F24" s="35">
        <f>IF('Общие данные'!$B$78='Общие данные'!$C$78,'График дифференц'!F23,IF('Общие данные'!$B$78='Общие данные'!$D$78,'График аннуитет.'!F23))</f>
        <v>2536000</v>
      </c>
      <c r="H24" s="310"/>
      <c r="I24" s="310"/>
      <c r="J24" s="310"/>
      <c r="K24" s="310"/>
      <c r="L24" s="310"/>
      <c r="M24" s="310"/>
      <c r="N24" s="310"/>
      <c r="O24" s="310"/>
      <c r="P24" s="310"/>
    </row>
    <row r="25" spans="1:16" x14ac:dyDescent="0.25">
      <c r="A25" s="19">
        <v>17</v>
      </c>
      <c r="B25" s="34">
        <f>'График аннуитет.'!B24</f>
        <v>46174</v>
      </c>
      <c r="C25" s="35">
        <f>IF('Общие данные'!$B$78='Общие данные'!$C$78,'График дифференц'!C24,IF('Общие данные'!$B$78='Общие данные'!$D$78,'График аннуитет.'!C24))</f>
        <v>15743792.800000004</v>
      </c>
      <c r="D25" s="35">
        <f>IF('Общие данные'!$B$78='Общие данные'!$C$78,'График дифференц'!D24,IF('Общие данные'!$B$78='Общие данные'!$D$78,'График аннуитет.'!D24))</f>
        <v>1733713.49</v>
      </c>
      <c r="E25" s="35">
        <f>IF('Общие данные'!$B$78='Общие данные'!$C$78,'График дифференц'!E24,IF('Общие данные'!$B$78='Общие данные'!$D$78,'График аннуитет.'!E24))</f>
        <v>802286.51</v>
      </c>
      <c r="F25" s="35">
        <f>IF('Общие данные'!$B$78='Общие данные'!$C$78,'График дифференц'!F24,IF('Общие данные'!$B$78='Общие данные'!$D$78,'График аннуитет.'!F24))</f>
        <v>2536000</v>
      </c>
    </row>
    <row r="26" spans="1:16" x14ac:dyDescent="0.25">
      <c r="A26" s="19">
        <v>18</v>
      </c>
      <c r="B26" s="34">
        <f>'График аннуитет.'!B25</f>
        <v>46204</v>
      </c>
      <c r="C26" s="35">
        <f>IF('Общие данные'!$B$78='Общие данные'!$C$78,'График дифференц'!C25,IF('Общие данные'!$B$78='Общие данные'!$D$78,'График аннуитет.'!C25))</f>
        <v>14010079.310000004</v>
      </c>
      <c r="D26" s="35">
        <f>IF('Общие данные'!$B$78='Общие данные'!$C$78,'График дифференц'!D25,IF('Общие данные'!$B$78='Общие данные'!$D$78,'График аннуитет.'!D25))</f>
        <v>1845091.9</v>
      </c>
      <c r="E26" s="35">
        <f>IF('Общие данные'!$B$78='Общие данные'!$C$78,'График дифференц'!E25,IF('Общие данные'!$B$78='Общие данные'!$D$78,'График аннуитет.'!E25))</f>
        <v>690908.1</v>
      </c>
      <c r="F26" s="35">
        <f>IF('Общие данные'!$B$78='Общие данные'!$C$78,'График дифференц'!F25,IF('Общие данные'!$B$78='Общие данные'!$D$78,'График аннуитет.'!F25))</f>
        <v>2536000</v>
      </c>
    </row>
    <row r="27" spans="1:16" x14ac:dyDescent="0.25">
      <c r="A27" s="19">
        <f>1+A26</f>
        <v>19</v>
      </c>
      <c r="B27" s="34">
        <f>'График аннуитет.'!B26</f>
        <v>46237</v>
      </c>
      <c r="C27" s="35">
        <f>IF('Общие данные'!$B$78='Общие данные'!$C$78,'График дифференц'!C26,IF('Общие данные'!$B$78='Общие данные'!$D$78,'График аннуитет.'!C26))</f>
        <v>12164987.410000004</v>
      </c>
      <c r="D27" s="35">
        <f>IF('Общие данные'!$B$78='Общие данные'!$C$78,'График дифференц'!D26,IF('Общие данные'!$B$78='Общие данные'!$D$78,'График аннуитет.'!D26))</f>
        <v>1876091.08</v>
      </c>
      <c r="E27" s="35">
        <f>IF('Общие данные'!$B$78='Общие данные'!$C$78,'График дифференц'!E26,IF('Общие данные'!$B$78='Общие данные'!$D$78,'График аннуитет.'!E26))</f>
        <v>659908.92000000004</v>
      </c>
      <c r="F27" s="35">
        <f>IF('Общие данные'!$B$78='Общие данные'!$C$78,'График дифференц'!F26,IF('Общие данные'!$B$78='Общие данные'!$D$78,'График аннуитет.'!F26))</f>
        <v>2536000</v>
      </c>
    </row>
    <row r="28" spans="1:16" x14ac:dyDescent="0.25">
      <c r="A28" s="19">
        <f t="shared" ref="A28:A43" si="0">1+A27</f>
        <v>20</v>
      </c>
      <c r="B28" s="34">
        <f>'График аннуитет.'!B27</f>
        <v>46266</v>
      </c>
      <c r="C28" s="35">
        <f>IF('Общие данные'!$B$78='Общие данные'!$C$78,'График дифференц'!C27,IF('Общие данные'!$B$78='Общие данные'!$D$78,'График аннуитет.'!C27))</f>
        <v>10288896.330000004</v>
      </c>
      <c r="D28" s="35">
        <f>IF('Общие данные'!$B$78='Общие данные'!$C$78,'График дифференц'!D27,IF('Общие данные'!$B$78='Общие данные'!$D$78,'График аннуитет.'!D27))</f>
        <v>2045515.75</v>
      </c>
      <c r="E28" s="35">
        <f>IF('Общие данные'!$B$78='Общие данные'!$C$78,'График дифференц'!E27,IF('Общие данные'!$B$78='Общие данные'!$D$78,'График аннуитет.'!E27))</f>
        <v>490484.25</v>
      </c>
      <c r="F28" s="35">
        <f>IF('Общие данные'!$B$78='Общие данные'!$C$78,'График дифференц'!F27,IF('Общие данные'!$B$78='Общие данные'!$D$78,'График аннуитет.'!F27))</f>
        <v>2536000</v>
      </c>
    </row>
    <row r="29" spans="1:16" x14ac:dyDescent="0.25">
      <c r="A29" s="19">
        <f t="shared" si="0"/>
        <v>21</v>
      </c>
      <c r="B29" s="34">
        <f>'График аннуитет.'!B28</f>
        <v>46296</v>
      </c>
      <c r="C29" s="35">
        <f>IF('Общие данные'!$B$78='Общие данные'!$C$78,'График дифференц'!C28,IF('Общие данные'!$B$78='Общие данные'!$D$78,'График аннуитет.'!C28))</f>
        <v>8243380.5800000038</v>
      </c>
      <c r="D29" s="35">
        <f>IF('Общие данные'!$B$78='Общие данные'!$C$78,'График дифференц'!D28,IF('Общие данные'!$B$78='Общие данные'!$D$78,'График аннуитет.'!D28))</f>
        <v>2129477.2000000002</v>
      </c>
      <c r="E29" s="35">
        <f>IF('Общие данные'!$B$78='Общие данные'!$C$78,'График дифференц'!E28,IF('Общие данные'!$B$78='Общие данные'!$D$78,'График аннуитет.'!E28))</f>
        <v>406522.8</v>
      </c>
      <c r="F29" s="35">
        <f>IF('Общие данные'!$B$78='Общие данные'!$C$78,'График дифференц'!F28,IF('Общие данные'!$B$78='Общие данные'!$D$78,'График аннуитет.'!F28))</f>
        <v>2536000</v>
      </c>
    </row>
    <row r="30" spans="1:16" x14ac:dyDescent="0.25">
      <c r="A30" s="19">
        <f t="shared" si="0"/>
        <v>22</v>
      </c>
      <c r="B30" s="34">
        <f>'График аннуитет.'!B29</f>
        <v>46328</v>
      </c>
      <c r="C30" s="35">
        <f>IF('Общие данные'!$B$78='Общие данные'!$C$78,'График дифференц'!C29,IF('Общие данные'!$B$78='Общие данные'!$D$78,'График аннуитет.'!C29))</f>
        <v>6113903.3800000036</v>
      </c>
      <c r="D30" s="35">
        <f>IF('Общие данные'!$B$78='Общие данные'!$C$78,'График дифференц'!D29,IF('Общие данные'!$B$78='Общие данные'!$D$78,'График аннуитет.'!D29))</f>
        <v>2214392</v>
      </c>
      <c r="E30" s="35">
        <f>IF('Общие данные'!$B$78='Общие данные'!$C$78,'График дифференц'!E29,IF('Общие данные'!$B$78='Общие данные'!$D$78,'График аннуитет.'!E29))</f>
        <v>321608</v>
      </c>
      <c r="F30" s="35">
        <f>IF('Общие данные'!$B$78='Общие данные'!$C$78,'График дифференц'!F29,IF('Общие данные'!$B$78='Общие данные'!$D$78,'График аннуитет.'!F29))</f>
        <v>2536000</v>
      </c>
    </row>
    <row r="31" spans="1:16" x14ac:dyDescent="0.25">
      <c r="A31" s="19">
        <f t="shared" si="0"/>
        <v>23</v>
      </c>
      <c r="B31" s="34">
        <f>'График аннуитет.'!B30</f>
        <v>46357</v>
      </c>
      <c r="C31" s="35">
        <f>IF('Общие данные'!$B$78='Общие данные'!$C$78,'График дифференц'!C30,IF('Общие данные'!$B$78='Общие данные'!$D$78,'График аннуитет.'!C30))</f>
        <v>3899511.3800000036</v>
      </c>
      <c r="D31" s="35">
        <f>IF('Общие данные'!$B$78='Общие данные'!$C$78,'График дифференц'!D30,IF('Общие данные'!$B$78='Общие данные'!$D$78,'График аннуитет.'!D30))</f>
        <v>2350105.36</v>
      </c>
      <c r="E31" s="35">
        <f>IF('Общие данные'!$B$78='Общие данные'!$C$78,'График дифференц'!E30,IF('Общие данные'!$B$78='Общие данные'!$D$78,'График аннуитет.'!E30))</f>
        <v>185894.63999999998</v>
      </c>
      <c r="F31" s="35">
        <f>IF('Общие данные'!$B$78='Общие данные'!$C$78,'График дифференц'!F30,IF('Общие данные'!$B$78='Общие данные'!$D$78,'График аннуитет.'!F30))</f>
        <v>2536000</v>
      </c>
    </row>
    <row r="32" spans="1:16" x14ac:dyDescent="0.25">
      <c r="A32" s="19">
        <f t="shared" si="0"/>
        <v>24</v>
      </c>
      <c r="B32" s="34">
        <f>'График аннуитет.'!B31</f>
        <v>46393</v>
      </c>
      <c r="C32" s="35">
        <f>IF('Общие данные'!$B$78='Общие данные'!$C$78,'График дифференц'!C31,IF('Общие данные'!$B$78='Общие данные'!$D$78,'График аннуитет.'!C31))</f>
        <v>1549406.0200000037</v>
      </c>
      <c r="D32" s="35">
        <f>IF('Общие данные'!$B$78='Общие данные'!$C$78,'График дифференц'!D31,IF('Общие данные'!$B$78='Общие данные'!$D$78,'График аннуитет.'!D31))</f>
        <v>1549406.0200000037</v>
      </c>
      <c r="E32" s="35">
        <f>IF('Общие данные'!$B$78='Общие данные'!$C$78,'График дифференц'!E31,IF('Общие данные'!$B$78='Общие данные'!$D$78,'График аннуитет.'!E31))</f>
        <v>91690.92</v>
      </c>
      <c r="F32" s="35">
        <f>IF('Общие данные'!$B$78='Общие данные'!$C$78,'График дифференц'!F31,IF('Общие данные'!$B$78='Общие данные'!$D$78,'График аннуитет.'!F31))</f>
        <v>1641096.9400000037</v>
      </c>
    </row>
    <row r="33" spans="1:6" hidden="1" x14ac:dyDescent="0.25">
      <c r="A33" s="19">
        <f t="shared" si="0"/>
        <v>25</v>
      </c>
      <c r="B33" s="34" t="str">
        <f>IF('График аннуитет.'!B32=FALSE,"",'График аннуитет.'!B32)</f>
        <v/>
      </c>
      <c r="C33" s="35">
        <f>IF('Общие данные'!$B$78='Общие данные'!$C$78,'График дифференц'!C32,IF('Общие данные'!$B$78='Общие данные'!$D$78,'График аннуитет.'!C32))</f>
        <v>0</v>
      </c>
      <c r="D33" s="35">
        <f>IF('Общие данные'!$B$78='Общие данные'!$C$78,'График дифференц'!D32,IF('Общие данные'!$B$78='Общие данные'!$D$78,'График аннуитет.'!D32))</f>
        <v>0</v>
      </c>
      <c r="E33" s="35">
        <f>IF('Общие данные'!$B$78='Общие данные'!$C$78,'График дифференц'!E32,IF('Общие данные'!$B$78='Общие данные'!$D$78,'График аннуитет.'!E32))</f>
        <v>0</v>
      </c>
      <c r="F33" s="35">
        <f>IF('Общие данные'!$B$78='Общие данные'!$C$78,'График дифференц'!F32,IF('Общие данные'!$B$78='Общие данные'!$D$78,'График аннуитет.'!F32))</f>
        <v>0</v>
      </c>
    </row>
    <row r="34" spans="1:6" hidden="1" x14ac:dyDescent="0.25">
      <c r="A34" s="19">
        <f t="shared" si="0"/>
        <v>26</v>
      </c>
      <c r="B34" s="34" t="str">
        <f>IF('График аннуитет.'!B33=FALSE,"",'График аннуитет.'!B33)</f>
        <v/>
      </c>
      <c r="C34" s="35">
        <f>IF('Общие данные'!$B$78='Общие данные'!$C$78,'График дифференц'!C33,IF('Общие данные'!$B$78='Общие данные'!$D$78,'График аннуитет.'!C33))</f>
        <v>0</v>
      </c>
      <c r="D34" s="35">
        <f>IF('Общие данные'!$B$78='Общие данные'!$C$78,'График дифференц'!D33,IF('Общие данные'!$B$78='Общие данные'!$D$78,'График аннуитет.'!D33))</f>
        <v>0</v>
      </c>
      <c r="E34" s="35">
        <f>IF('Общие данные'!$B$78='Общие данные'!$C$78,'График дифференц'!E33,IF('Общие данные'!$B$78='Общие данные'!$D$78,'График аннуитет.'!E33))</f>
        <v>0</v>
      </c>
      <c r="F34" s="35">
        <f>IF('Общие данные'!$B$78='Общие данные'!$C$78,'График дифференц'!F33,IF('Общие данные'!$B$78='Общие данные'!$D$78,'График аннуитет.'!F33))</f>
        <v>0</v>
      </c>
    </row>
    <row r="35" spans="1:6" hidden="1" x14ac:dyDescent="0.25">
      <c r="A35" s="19">
        <f t="shared" si="0"/>
        <v>27</v>
      </c>
      <c r="B35" s="34" t="str">
        <f>IF('График аннуитет.'!B34=FALSE,"",'График аннуитет.'!B34)</f>
        <v/>
      </c>
      <c r="C35" s="35">
        <f>IF('Общие данные'!$B$78='Общие данные'!$C$78,'График дифференц'!C34,IF('Общие данные'!$B$78='Общие данные'!$D$78,'График аннуитет.'!C34))</f>
        <v>0</v>
      </c>
      <c r="D35" s="35">
        <f>IF('Общие данные'!$B$78='Общие данные'!$C$78,'График дифференц'!D34,IF('Общие данные'!$B$78='Общие данные'!$D$78,'График аннуитет.'!D34))</f>
        <v>0</v>
      </c>
      <c r="E35" s="35">
        <f>IF('Общие данные'!$B$78='Общие данные'!$C$78,'График дифференц'!E34,IF('Общие данные'!$B$78='Общие данные'!$D$78,'График аннуитет.'!E34))</f>
        <v>0</v>
      </c>
      <c r="F35" s="35">
        <f>IF('Общие данные'!$B$78='Общие данные'!$C$78,'График дифференц'!F34,IF('Общие данные'!$B$78='Общие данные'!$D$78,'График аннуитет.'!F34))</f>
        <v>0</v>
      </c>
    </row>
    <row r="36" spans="1:6" hidden="1" x14ac:dyDescent="0.25">
      <c r="A36" s="19">
        <f t="shared" si="0"/>
        <v>28</v>
      </c>
      <c r="B36" s="34" t="str">
        <f>IF('График аннуитет.'!B35=FALSE,"",'График аннуитет.'!B35)</f>
        <v/>
      </c>
      <c r="C36" s="35">
        <f>IF('Общие данные'!$B$78='Общие данные'!$C$78,'График дифференц'!C35,IF('Общие данные'!$B$78='Общие данные'!$D$78,'График аннуитет.'!C35))</f>
        <v>0</v>
      </c>
      <c r="D36" s="35">
        <f>IF('Общие данные'!$B$78='Общие данные'!$C$78,'График дифференц'!D35,IF('Общие данные'!$B$78='Общие данные'!$D$78,'График аннуитет.'!D35))</f>
        <v>0</v>
      </c>
      <c r="E36" s="35">
        <f>IF('Общие данные'!$B$78='Общие данные'!$C$78,'График дифференц'!E35,IF('Общие данные'!$B$78='Общие данные'!$D$78,'График аннуитет.'!E35))</f>
        <v>0</v>
      </c>
      <c r="F36" s="35">
        <f>IF('Общие данные'!$B$78='Общие данные'!$C$78,'График дифференц'!F35,IF('Общие данные'!$B$78='Общие данные'!$D$78,'График аннуитет.'!F35))</f>
        <v>0</v>
      </c>
    </row>
    <row r="37" spans="1:6" hidden="1" x14ac:dyDescent="0.25">
      <c r="A37" s="19">
        <f t="shared" si="0"/>
        <v>29</v>
      </c>
      <c r="B37" s="34" t="str">
        <f>IF('График аннуитет.'!B36=FALSE,"",'График аннуитет.'!B36)</f>
        <v/>
      </c>
      <c r="C37" s="35">
        <f>IF('Общие данные'!$B$78='Общие данные'!$C$78,'График дифференц'!C36,IF('Общие данные'!$B$78='Общие данные'!$D$78,'График аннуитет.'!C36))</f>
        <v>0</v>
      </c>
      <c r="D37" s="35">
        <f>IF('Общие данные'!$B$78='Общие данные'!$C$78,'График дифференц'!D36,IF('Общие данные'!$B$78='Общие данные'!$D$78,'График аннуитет.'!D36))</f>
        <v>0</v>
      </c>
      <c r="E37" s="35">
        <f>IF('Общие данные'!$B$78='Общие данные'!$C$78,'График дифференц'!E36,IF('Общие данные'!$B$78='Общие данные'!$D$78,'График аннуитет.'!E36))</f>
        <v>0</v>
      </c>
      <c r="F37" s="35">
        <f>IF('Общие данные'!$B$78='Общие данные'!$C$78,'График дифференц'!F36,IF('Общие данные'!$B$78='Общие данные'!$D$78,'График аннуитет.'!F36))</f>
        <v>0</v>
      </c>
    </row>
    <row r="38" spans="1:6" hidden="1" x14ac:dyDescent="0.25">
      <c r="A38" s="19">
        <f t="shared" si="0"/>
        <v>30</v>
      </c>
      <c r="B38" s="34" t="str">
        <f>IF('График аннуитет.'!B37=FALSE,"",'График аннуитет.'!B37)</f>
        <v/>
      </c>
      <c r="C38" s="35">
        <f>IF('Общие данные'!$B$78='Общие данные'!$C$78,'График дифференц'!C37,IF('Общие данные'!$B$78='Общие данные'!$D$78,'График аннуитет.'!C37))</f>
        <v>0</v>
      </c>
      <c r="D38" s="35">
        <f>IF('Общие данные'!$B$78='Общие данные'!$C$78,'График дифференц'!D37,IF('Общие данные'!$B$78='Общие данные'!$D$78,'График аннуитет.'!D37))</f>
        <v>0</v>
      </c>
      <c r="E38" s="35">
        <f>IF('Общие данные'!$B$78='Общие данные'!$C$78,'График дифференц'!E37,IF('Общие данные'!$B$78='Общие данные'!$D$78,'График аннуитет.'!E37))</f>
        <v>0</v>
      </c>
      <c r="F38" s="35">
        <f>IF('Общие данные'!$B$78='Общие данные'!$C$78,'График дифференц'!F37,IF('Общие данные'!$B$78='Общие данные'!$D$78,'График аннуитет.'!F37))</f>
        <v>0</v>
      </c>
    </row>
    <row r="39" spans="1:6" hidden="1" x14ac:dyDescent="0.25">
      <c r="A39" s="19">
        <f t="shared" si="0"/>
        <v>31</v>
      </c>
      <c r="B39" s="34" t="str">
        <f>IF('График аннуитет.'!B38=FALSE,"",'График аннуитет.'!B38)</f>
        <v/>
      </c>
      <c r="C39" s="35">
        <f>IF('Общие данные'!$B$78='Общие данные'!$C$78,'График дифференц'!C38,IF('Общие данные'!$B$78='Общие данные'!$D$78,'График аннуитет.'!C38))</f>
        <v>0</v>
      </c>
      <c r="D39" s="35">
        <f>IF('Общие данные'!$B$78='Общие данные'!$C$78,'График дифференц'!D38,IF('Общие данные'!$B$78='Общие данные'!$D$78,'График аннуитет.'!D38))</f>
        <v>0</v>
      </c>
      <c r="E39" s="35">
        <f>IF('Общие данные'!$B$78='Общие данные'!$C$78,'График дифференц'!E38,IF('Общие данные'!$B$78='Общие данные'!$D$78,'График аннуитет.'!E38))</f>
        <v>0</v>
      </c>
      <c r="F39" s="35">
        <f>IF('Общие данные'!$B$78='Общие данные'!$C$78,'График дифференц'!F38,IF('Общие данные'!$B$78='Общие данные'!$D$78,'График аннуитет.'!F38))</f>
        <v>0</v>
      </c>
    </row>
    <row r="40" spans="1:6" hidden="1" x14ac:dyDescent="0.25">
      <c r="A40" s="19">
        <f t="shared" si="0"/>
        <v>32</v>
      </c>
      <c r="B40" s="34" t="str">
        <f>IF('График аннуитет.'!B39=FALSE,"",'График аннуитет.'!B39)</f>
        <v/>
      </c>
      <c r="C40" s="35">
        <f>IF('Общие данные'!$B$78='Общие данные'!$C$78,'График дифференц'!C39,IF('Общие данные'!$B$78='Общие данные'!$D$78,'График аннуитет.'!C39))</f>
        <v>0</v>
      </c>
      <c r="D40" s="35">
        <f>IF('Общие данные'!$B$78='Общие данные'!$C$78,'График дифференц'!D39,IF('Общие данные'!$B$78='Общие данные'!$D$78,'График аннуитет.'!D39))</f>
        <v>0</v>
      </c>
      <c r="E40" s="35">
        <f>IF('Общие данные'!$B$78='Общие данные'!$C$78,'График дифференц'!E39,IF('Общие данные'!$B$78='Общие данные'!$D$78,'График аннуитет.'!E39))</f>
        <v>0</v>
      </c>
      <c r="F40" s="35">
        <f>IF('Общие данные'!$B$78='Общие данные'!$C$78,'График дифференц'!F39,IF('Общие данные'!$B$78='Общие данные'!$D$78,'График аннуитет.'!F39))</f>
        <v>0</v>
      </c>
    </row>
    <row r="41" spans="1:6" hidden="1" x14ac:dyDescent="0.25">
      <c r="A41" s="19">
        <f t="shared" si="0"/>
        <v>33</v>
      </c>
      <c r="B41" s="34" t="str">
        <f>IF('График аннуитет.'!B40=FALSE,"",'График аннуитет.'!B40)</f>
        <v/>
      </c>
      <c r="C41" s="35">
        <f>IF('Общие данные'!$B$78='Общие данные'!$C$78,'График дифференц'!C40,IF('Общие данные'!$B$78='Общие данные'!$D$78,'График аннуитет.'!C40))</f>
        <v>0</v>
      </c>
      <c r="D41" s="35">
        <f>IF('Общие данные'!$B$78='Общие данные'!$C$78,'График дифференц'!D40,IF('Общие данные'!$B$78='Общие данные'!$D$78,'График аннуитет.'!D40))</f>
        <v>0</v>
      </c>
      <c r="E41" s="35">
        <f>IF('Общие данные'!$B$78='Общие данные'!$C$78,'График дифференц'!E40,IF('Общие данные'!$B$78='Общие данные'!$D$78,'График аннуитет.'!E40))</f>
        <v>0</v>
      </c>
      <c r="F41" s="35">
        <f>IF('Общие данные'!$B$78='Общие данные'!$C$78,'График дифференц'!F40,IF('Общие данные'!$B$78='Общие данные'!$D$78,'График аннуитет.'!F40))</f>
        <v>0</v>
      </c>
    </row>
    <row r="42" spans="1:6" hidden="1" x14ac:dyDescent="0.25">
      <c r="A42" s="19">
        <f t="shared" si="0"/>
        <v>34</v>
      </c>
      <c r="B42" s="34" t="str">
        <f>IF('График аннуитет.'!B41=FALSE,"",'График аннуитет.'!B41)</f>
        <v/>
      </c>
      <c r="C42" s="35">
        <f>IF('Общие данные'!$B$78='Общие данные'!$C$78,'График дифференц'!C41,IF('Общие данные'!$B$78='Общие данные'!$D$78,'График аннуитет.'!C41))</f>
        <v>0</v>
      </c>
      <c r="D42" s="35">
        <f>IF('Общие данные'!$B$78='Общие данные'!$C$78,'График дифференц'!D41,IF('Общие данные'!$B$78='Общие данные'!$D$78,'График аннуитет.'!D41))</f>
        <v>0</v>
      </c>
      <c r="E42" s="35">
        <f>IF('Общие данные'!$B$78='Общие данные'!$C$78,'График дифференц'!E41,IF('Общие данные'!$B$78='Общие данные'!$D$78,'График аннуитет.'!E41))</f>
        <v>0</v>
      </c>
      <c r="F42" s="35">
        <f>IF('Общие данные'!$B$78='Общие данные'!$C$78,'График дифференц'!F41,IF('Общие данные'!$B$78='Общие данные'!$D$78,'График аннуитет.'!F41))</f>
        <v>0</v>
      </c>
    </row>
    <row r="43" spans="1:6" hidden="1" x14ac:dyDescent="0.25">
      <c r="A43" s="19">
        <f t="shared" si="0"/>
        <v>35</v>
      </c>
      <c r="B43" s="34" t="str">
        <f>IF('График аннуитет.'!B42=FALSE,"",'График аннуитет.'!B42)</f>
        <v/>
      </c>
      <c r="C43" s="35">
        <f>IF('Общие данные'!$B$78='Общие данные'!$C$78,'График дифференц'!C42,IF('Общие данные'!$B$78='Общие данные'!$D$78,'График аннуитет.'!C42))</f>
        <v>0</v>
      </c>
      <c r="D43" s="35">
        <f>IF('Общие данные'!$B$78='Общие данные'!$C$78,'График дифференц'!D42,IF('Общие данные'!$B$78='Общие данные'!$D$78,'График аннуитет.'!D42))</f>
        <v>0</v>
      </c>
      <c r="E43" s="35">
        <f>IF('Общие данные'!$B$78='Общие данные'!$C$78,'График дифференц'!E42,IF('Общие данные'!$B$78='Общие данные'!$D$78,'График аннуитет.'!E42))</f>
        <v>0</v>
      </c>
      <c r="F43" s="35">
        <f>IF('Общие данные'!$B$78='Общие данные'!$C$78,'График дифференц'!F42,IF('Общие данные'!$B$78='Общие данные'!$D$78,'График аннуитет.'!F42))</f>
        <v>0</v>
      </c>
    </row>
    <row r="44" spans="1:6" hidden="1" x14ac:dyDescent="0.25">
      <c r="A44" s="19">
        <f>1+A43</f>
        <v>36</v>
      </c>
      <c r="B44" s="34" t="str">
        <f>IF('График аннуитет.'!B43=FALSE,"",'График аннуитет.'!B43)</f>
        <v/>
      </c>
      <c r="C44" s="35">
        <f>IF('Общие данные'!$B$78='Общие данные'!$C$78,'График дифференц'!C43,IF('Общие данные'!$B$78='Общие данные'!$D$78,'График аннуитет.'!C43))</f>
        <v>0</v>
      </c>
      <c r="D44" s="35">
        <f>IF('Общие данные'!$B$78='Общие данные'!$C$78,'График дифференц'!D43,IF('Общие данные'!$B$78='Общие данные'!$D$78,'График аннуитет.'!D43))</f>
        <v>0</v>
      </c>
      <c r="E44" s="35">
        <f>IF('Общие данные'!$B$78='Общие данные'!$C$78,'График дифференц'!E43,IF('Общие данные'!$B$78='Общие данные'!$D$78,'График аннуитет.'!E43))</f>
        <v>0</v>
      </c>
      <c r="F44" s="35">
        <f>IF('Общие данные'!$B$78='Общие данные'!$C$78,'График дифференц'!F43,IF('Общие данные'!$B$78='Общие данные'!$D$78,'График аннуитет.'!F43))</f>
        <v>0</v>
      </c>
    </row>
    <row r="45" spans="1:6" ht="15" customHeight="1" x14ac:dyDescent="0.25">
      <c r="A45" s="47"/>
      <c r="B45" s="48" t="s">
        <v>210</v>
      </c>
      <c r="C45" s="49"/>
      <c r="D45" s="49">
        <f>SUM(D9:D44)</f>
        <v>35000000</v>
      </c>
      <c r="E45" s="49">
        <f t="shared" ref="E45:F45" si="1">SUM(E9:E44)</f>
        <v>24969096.940000005</v>
      </c>
      <c r="F45" s="49">
        <f t="shared" si="1"/>
        <v>59969096.940000005</v>
      </c>
    </row>
    <row r="46" spans="1:6" ht="14.25" customHeight="1" x14ac:dyDescent="0.25">
      <c r="B46" s="36"/>
      <c r="C46" s="37"/>
      <c r="D46" s="37"/>
      <c r="E46" s="37"/>
      <c r="F46" s="37"/>
    </row>
    <row r="47" spans="1:6" ht="47.25" customHeight="1" x14ac:dyDescent="0.25">
      <c r="A47" s="234"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34"/>
      <c r="C47" s="234"/>
      <c r="D47" s="234"/>
      <c r="E47" s="234"/>
      <c r="F47" s="234"/>
    </row>
    <row r="48" spans="1:6" ht="7.5" customHeight="1" x14ac:dyDescent="0.25"/>
    <row r="49" spans="1:6" ht="15" customHeight="1" x14ac:dyDescent="0.25">
      <c r="A49" s="261" t="s">
        <v>273</v>
      </c>
      <c r="B49" s="261"/>
      <c r="C49" s="261"/>
      <c r="D49" s="261"/>
      <c r="E49" s="261"/>
      <c r="F49" s="261"/>
    </row>
    <row r="50" spans="1:6" ht="11.25" customHeight="1" x14ac:dyDescent="0.25">
      <c r="A50" s="262"/>
      <c r="B50" s="262"/>
      <c r="C50" s="262"/>
      <c r="D50" s="262"/>
      <c r="E50" s="262"/>
      <c r="F50" s="262"/>
    </row>
    <row r="51" spans="1:6" ht="30" customHeight="1" x14ac:dyDescent="0.25">
      <c r="A51" s="260" t="str">
        <f>договор!A119</f>
        <v>«CLEVER MIKROMOLIYA TASHKILOTI» MChJ</v>
      </c>
      <c r="B51" s="260"/>
      <c r="C51" s="260"/>
      <c r="D51" s="260" t="str">
        <f>договор!B119</f>
        <v>DJUMANIYAZOV SHERIPBAY AYITBAYEVICH</v>
      </c>
      <c r="E51" s="260"/>
      <c r="F51" s="260"/>
    </row>
    <row r="52" spans="1:6" ht="47.25" customHeight="1" x14ac:dyDescent="0.25">
      <c r="A52" s="256" t="str">
        <f>договор!A121</f>
        <v>Manzil: Toshkent shahri, Olmazor tumani, Sagbon ko'chasi, 30 boshi berk, 6-uy</v>
      </c>
      <c r="B52" s="256"/>
      <c r="C52" s="256"/>
      <c r="D52" s="256" t="str">
        <f>договор!B121</f>
        <v xml:space="preserve">Manzil: QORAQALPOG'ISTON RESPUBLIKASI TO'RTKO'L TUMANI ULLUBOG' OFY </v>
      </c>
      <c r="E52" s="256"/>
      <c r="F52" s="256"/>
    </row>
    <row r="53" spans="1:6" ht="15" customHeight="1" x14ac:dyDescent="0.25">
      <c r="A53" s="256" t="str">
        <f>договор!A122</f>
        <v>h/r: №20216000705068380001</v>
      </c>
      <c r="B53" s="256"/>
      <c r="C53" s="256"/>
      <c r="D53" s="256" t="str">
        <f>договор!B123</f>
        <v>pasport seriyasi: KA 1247502, QORAQALPOG'ISTON RESPUBLIKASI TO'RTKO'L TUMANI IIB tomonidan 02.01.2019 yilda berilgan</v>
      </c>
      <c r="E53" s="256"/>
      <c r="F53" s="256"/>
    </row>
    <row r="54" spans="1:6" ht="32.25" customHeight="1" x14ac:dyDescent="0.25">
      <c r="A54" s="256" t="str">
        <f>договор!A123</f>
        <v>MFO: №01042 в ATB “Kapitalbank” Sergeli filiali</v>
      </c>
      <c r="B54" s="256"/>
      <c r="C54" s="256"/>
      <c r="D54" s="256"/>
      <c r="E54" s="256"/>
      <c r="F54" s="256"/>
    </row>
    <row r="55" spans="1:6" ht="15" customHeight="1" x14ac:dyDescent="0.25">
      <c r="A55" s="256" t="str">
        <f>договор!A124</f>
        <v>STIR: 306365847</v>
      </c>
      <c r="B55" s="256"/>
      <c r="C55" s="256"/>
      <c r="D55" s="256" t="str">
        <f>договор!B124</f>
        <v>Tel: 93-370-14-71</v>
      </c>
      <c r="E55" s="256"/>
      <c r="F55" s="256"/>
    </row>
    <row r="56" spans="1:6" ht="15" customHeight="1" x14ac:dyDescent="0.25">
      <c r="A56" s="256" t="str">
        <f>договор!A125</f>
        <v>Tel: (78) 113 31 33</v>
      </c>
      <c r="B56" s="256"/>
      <c r="C56" s="256"/>
      <c r="D56" s="256" t="str">
        <f>договор!B125</f>
        <v>91-269-79-00 UKASI</v>
      </c>
      <c r="E56" s="256"/>
      <c r="F56" s="256"/>
    </row>
    <row r="57" spans="1:6" ht="15" customHeight="1" x14ac:dyDescent="0.25">
      <c r="A57" s="256" t="str">
        <f>договор!A126</f>
        <v>(78) 113 31 34</v>
      </c>
      <c r="B57" s="256"/>
      <c r="C57" s="256"/>
      <c r="D57" s="256" t="str">
        <f>договор!B126</f>
        <v>90-708-07-27 UKASI</v>
      </c>
      <c r="E57" s="256"/>
      <c r="F57" s="256"/>
    </row>
    <row r="58" spans="1:6" ht="23.25" customHeight="1" x14ac:dyDescent="0.25">
      <c r="A58" s="256"/>
      <c r="B58" s="256"/>
      <c r="C58" s="256"/>
      <c r="D58" s="256" t="str">
        <f>IF(договор!B127=0,"",договор!B127)</f>
        <v/>
      </c>
      <c r="E58" s="256"/>
      <c r="F58" s="256"/>
    </row>
    <row r="59" spans="1:6" ht="29.25" customHeight="1" x14ac:dyDescent="0.25">
      <c r="A59" s="311" t="str">
        <f>'Общие данные'!A165</f>
        <v>To'rtko'l filial boshlig'i</v>
      </c>
      <c r="B59" s="311"/>
      <c r="C59" s="311"/>
      <c r="D59" s="260" t="str">
        <f>договор!B129</f>
        <v>DJUMANIYAZOV SH A     __________________</v>
      </c>
      <c r="E59" s="260"/>
      <c r="F59" s="260"/>
    </row>
    <row r="60" spans="1:6" ht="15" customHeight="1" x14ac:dyDescent="0.25">
      <c r="A60" s="256"/>
      <c r="B60" s="256"/>
      <c r="C60" s="256"/>
      <c r="D60" s="260"/>
      <c r="E60" s="260"/>
      <c r="F60" s="260"/>
    </row>
    <row r="61" spans="1:6" x14ac:dyDescent="0.25">
      <c r="A61" s="311" t="str">
        <f>договор!A131</f>
        <v>USMANOV X. I.     __________________</v>
      </c>
      <c r="B61" s="311"/>
      <c r="C61" s="311"/>
      <c r="D61" s="260"/>
      <c r="E61" s="260"/>
      <c r="F61" s="260"/>
    </row>
    <row r="62" spans="1:6" ht="8.25" customHeight="1" x14ac:dyDescent="0.25">
      <c r="A62" s="256"/>
      <c r="B62" s="256"/>
      <c r="C62" s="256"/>
      <c r="D62" s="256"/>
      <c r="E62" s="256"/>
      <c r="F62" s="256"/>
    </row>
    <row r="63" spans="1:6" ht="30" customHeight="1" x14ac:dyDescent="0.25">
      <c r="A63" s="257"/>
      <c r="B63" s="257"/>
      <c r="C63" s="257"/>
      <c r="D63" s="258"/>
      <c r="E63" s="258"/>
      <c r="F63" s="258"/>
    </row>
    <row r="64" spans="1:6" x14ac:dyDescent="0.25">
      <c r="A64" s="259"/>
      <c r="B64" s="259"/>
      <c r="C64" s="259"/>
      <c r="D64" s="259"/>
      <c r="E64" s="259"/>
      <c r="F64" s="259"/>
    </row>
    <row r="65" spans="1:6" x14ac:dyDescent="0.25">
      <c r="A65" s="255"/>
      <c r="B65" s="255"/>
      <c r="C65" s="255"/>
      <c r="D65" s="255"/>
      <c r="E65" s="255"/>
      <c r="F65" s="255"/>
    </row>
  </sheetData>
  <mergeCells count="42">
    <mergeCell ref="E2:F2"/>
    <mergeCell ref="A5:F5"/>
    <mergeCell ref="A7:A8"/>
    <mergeCell ref="B7:B8"/>
    <mergeCell ref="C7:C8"/>
    <mergeCell ref="D7:F7"/>
    <mergeCell ref="E3:F3"/>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D56:F56"/>
    <mergeCell ref="A57:C57"/>
    <mergeCell ref="D57:F57"/>
    <mergeCell ref="A58:C58"/>
    <mergeCell ref="D58:F58"/>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86"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9"/>
  <sheetViews>
    <sheetView view="pageBreakPreview" topLeftCell="A8" zoomScaleNormal="100" zoomScaleSheetLayoutView="100" workbookViewId="0">
      <selection activeCell="A20" sqref="A20:B20"/>
    </sheetView>
  </sheetViews>
  <sheetFormatPr defaultColWidth="0" defaultRowHeight="15.75" zeroHeight="1" x14ac:dyDescent="0.25"/>
  <cols>
    <col min="1" max="1" width="33" style="7" customWidth="1"/>
    <col min="2" max="2" width="53.42578125" style="7" customWidth="1"/>
    <col min="3" max="16384" width="9.140625" style="7" hidden="1"/>
  </cols>
  <sheetData>
    <row r="5" spans="1:2" x14ac:dyDescent="0.25"/>
    <row r="6" spans="1:2" ht="17.25" customHeight="1" x14ac:dyDescent="0.25">
      <c r="B6" s="15" t="str">
        <f>'Общие данные'!B152</f>
        <v>«CLEVER MIKROMOLIYA TASHKILOTI» MChJ</v>
      </c>
    </row>
    <row r="7" spans="1:2" ht="33" customHeight="1" x14ac:dyDescent="0.25">
      <c r="A7" s="192"/>
      <c r="B7" s="183" t="str">
        <f>""&amp;'Общие данные'!A154&amp;" "&amp;'Общие данные'!B154&amp;"ga"</f>
        <v>To'rtko'l filial boshlig'i USMANOV X. I.ga</v>
      </c>
    </row>
    <row r="8" spans="1:2" ht="31.5" x14ac:dyDescent="0.25">
      <c r="A8" s="170"/>
      <c r="B8" s="183" t="str">
        <f>""&amp;'Общие данные'!B112&amp;"dan"</f>
        <v>MADRAXIMOV XOLMUROD RAMONBERDI O'GLIdan</v>
      </c>
    </row>
    <row r="9" spans="1:2" ht="15.75" hidden="1" customHeight="1" x14ac:dyDescent="0.25">
      <c r="B9" s="8" t="str">
        <f>'Общие данные'!B112</f>
        <v>MADRAXIMOV XOLMUROD RAMONBERDI O'GLI</v>
      </c>
    </row>
    <row r="10" spans="1:2" ht="15.75" hidden="1" customHeight="1" x14ac:dyDescent="0.25">
      <c r="B10" s="8">
        <f>'Общие данные'!C112</f>
        <v>0</v>
      </c>
    </row>
    <row r="11" spans="1:2" ht="15.75" hidden="1" customHeight="1" x14ac:dyDescent="0.25">
      <c r="B11" s="170" t="s">
        <v>275</v>
      </c>
    </row>
    <row r="12" spans="1:2" x14ac:dyDescent="0.25"/>
    <row r="13" spans="1:2" ht="115.5" customHeight="1" x14ac:dyDescent="0.25">
      <c r="A13" s="293" t="str">
        <f>IF('Общие данные'!B104="Avtotransport",A14,A15)</f>
        <v>DJUMANIYAZOV SHERIPBAY AYITBAYEVICH tomonidan so’ralayotgan 24 (yigira to'rt) oy muddatga, 35 000 000 (o'ttiz besh million so'm) miqdoridagi mikroqarzning ta’minoti sifatida menga mulk huquqi asosida tegishli bo’lgan  GM UZ / MATIZ DLX, kuzov turi - YENGIL SEDAN, kuzov raqami XWB4A11AD8A152643, dvigatel raqami F8CV521561KB1, shassi raqami - RAKAMSIZ, rangi -  OQ-BELAYA KASABLANKA, ishlab chiqarilgan yili - 2007, avtotransport vositasini qabul qilishingizni so’rayman:</v>
      </c>
      <c r="B13" s="293"/>
    </row>
    <row r="14" spans="1:2" ht="124.5" hidden="1" customHeight="1" x14ac:dyDescent="0.25">
      <c r="A14" s="293" t="str">
        <f>""&amp;'Общие данные'!B12&amp;" tomonidan so’ralayotgan "&amp;'Общие данные'!B82&amp;" ("&amp;'Общие данные'!B83&amp;") oy muddatga, "&amp;FIXED('Общие данные'!B76,0)&amp;" ("&amp;'Общие данные'!B77&amp;") miqdoridagi "&amp;'Общие данные'!B65&amp;"ning ta’minoti sifatida menga mulk huquqi asosida tegishli bo’lgan  "&amp;'Общие данные'!B126&amp;", "&amp;'Общие данные'!B128&amp;", "&amp;'Общие данные'!B131&amp;", "&amp;'Общие данные'!B134&amp;", avtotransport vositasini qabul qilishingizni so’rayman:"</f>
        <v>DJUMANIYAZOV SHERIPBAY AYITBAYEVICH tomonidan so’ralayotgan 24 (yigira to'rt) oy muddatga, 35 000 000 (o'ttiz besh million so'm) miqdoridagi mikroqarzning ta’minoti sifatida menga mulk huquqi asosida tegishli bo’lgan  GM UZ / MATIZ DLX, kuzov turi - YENGIL SEDAN, kuzov raqami XWB4A11AD8A152643, dvigatel raqami F8CV521561KB1, shassi raqami - RAKAMSIZ, rangi -  OQ-BELAYA KASABLANKA, ishlab chiqarilgan yili - 2007, avtotransport vositasini qabul qilishingizni so’rayman:</v>
      </c>
      <c r="B14" s="293"/>
    </row>
    <row r="15" spans="1:2" ht="116.25" hidden="1" customHeight="1" x14ac:dyDescent="0.25">
      <c r="A15" s="293" t="str">
        <f>""&amp;'Общие данные'!B12&amp;" tomonidan so’ralayotgan "&amp;'Общие данные'!B82&amp;" ("&amp;'Общие данные'!B83&amp;") oy muddatga, "&amp;FIXED('Общие данные'!B76,0)&amp;" ("&amp;'Общие данные'!B77&amp;") miqdoridagi "&amp;'Общие данные'!B65&amp;"ning ta’minoti sifatida menga mulk huquqi asosida tegishli bo’lgan  "&amp;'Общие данные'!C127&amp;", umumiy maydoni "&amp;'Общие данные'!C131&amp;" va yashash maydoni "&amp;'Общие данные'!C134&amp;"  "&amp;'Общие данные'!C124&amp;" manzilda joylashgan ko'chmas mulkni qabul qilishingizni so’rayman:"</f>
        <v>DJUMANIYAZOV SHERIPBAY AYITBAYEVICH tomonidan so’ralayotgan 24 (yigira to'rt) oy muddatga, 35 000 000 (o'ttiz besh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93"/>
    </row>
    <row r="16" spans="1:2" x14ac:dyDescent="0.25"/>
    <row r="17" spans="1:2" x14ac:dyDescent="0.25"/>
    <row r="18" spans="1:2" x14ac:dyDescent="0.25">
      <c r="B18" s="8" t="s">
        <v>274</v>
      </c>
    </row>
    <row r="19" spans="1:2" ht="18.75" customHeight="1" x14ac:dyDescent="0.25">
      <c r="A19" s="7" t="str">
        <f>IF('Общие данные'!B95='Общие данные'!C95,'Общие данные'!B113,'Общие данные'!B7)</f>
        <v>DJUMANIYAZOV SH A</v>
      </c>
      <c r="B19" s="60" t="str">
        <f>'Общие данные'!B2</f>
        <v>06.01.2025</v>
      </c>
    </row>
    <row r="20" spans="1:2" ht="69.75" customHeight="1" x14ac:dyDescent="0.25">
      <c r="A20" s="313" t="str">
        <f>IF('Общие данные'!B95='Общие данные'!D95,CONCATENATE(A24," ",A28,A22),"")</f>
        <v xml:space="preserve">№202401526011103 27.12.2024 y sanasidan xususiy faoliyat ko'rsatuvchi notarius tomonidan QORAQALPOG'ISTON RESPUBLIKASI TO'RTKO'L TUMANI TO'RTKO'L KO'CHASI 45-UY KAMALOVA Z.S. berilgan ishonchnomaga asosan </v>
      </c>
      <c r="B20" s="313"/>
    </row>
    <row r="21" spans="1:2" x14ac:dyDescent="0.25">
      <c r="A21" s="7" t="s">
        <v>27</v>
      </c>
    </row>
    <row r="22" spans="1:2" x14ac:dyDescent="0.25">
      <c r="A22" s="7" t="str">
        <f>" xususiy faoliyat ko'rsatuvchi notarius tomonidan "&amp;'Общие данные'!B99&amp;" "&amp;'Общие данные'!B100&amp;" berilgan ishonchnomaga asosan "</f>
        <v xml:space="preserve"> xususiy faoliyat ko'rsatuvchi notarius tomonidan QORAQALPOG'ISTON RESPUBLIKASI TO'RTKO'L TUMANI TO'RTKO'L KO'CHASI 45-UY KAMALOVA Z.S. berilgan ishonchnomaga asosan </v>
      </c>
    </row>
    <row r="23" spans="1:2" x14ac:dyDescent="0.25"/>
    <row r="24" spans="1:2" x14ac:dyDescent="0.25">
      <c r="A24" s="7" t="str">
        <f>"№"&amp;'Общие данные'!B101&amp; ""</f>
        <v>№202401526011103</v>
      </c>
    </row>
    <row r="25" spans="1:2" x14ac:dyDescent="0.25">
      <c r="A25" s="7" t="str">
        <f>'Общие данные'!B103</f>
        <v>27.12.2024 y</v>
      </c>
    </row>
    <row r="26" spans="1:2" x14ac:dyDescent="0.25">
      <c r="A26" s="7" t="str">
        <f>TEXT(A25,"ДД.ММ.ГГГГ")</f>
        <v>27.12.2024 y</v>
      </c>
    </row>
    <row r="27" spans="1:2" x14ac:dyDescent="0.25">
      <c r="A27" s="7" t="s">
        <v>386</v>
      </c>
    </row>
    <row r="28" spans="1:2" x14ac:dyDescent="0.25">
      <c r="A28" s="7" t="str">
        <f>CONCATENATE(A26,A27)</f>
        <v>27.12.2024 y sanasidan</v>
      </c>
    </row>
    <row r="29" spans="1:2" x14ac:dyDescent="0.25"/>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topLeftCell="A45" zoomScale="145" zoomScaleNormal="100" zoomScaleSheetLayoutView="145" workbookViewId="0">
      <selection activeCell="D52" sqref="D52:E52"/>
    </sheetView>
  </sheetViews>
  <sheetFormatPr defaultColWidth="9.140625" defaultRowHeight="15" outlineLevelRow="1" x14ac:dyDescent="0.25"/>
  <cols>
    <col min="1" max="1" width="28.42578125" style="16" customWidth="1"/>
    <col min="2" max="2" width="22.85546875" style="16" customWidth="1"/>
    <col min="3" max="3" width="22.42578125" style="16" customWidth="1"/>
    <col min="4" max="4" width="21.42578125" style="16" customWidth="1"/>
    <col min="5" max="5" width="21.5703125" style="16" customWidth="1"/>
    <col min="6" max="16384" width="9.140625" style="16"/>
  </cols>
  <sheetData>
    <row r="1" spans="1:5" ht="106.5" customHeight="1" x14ac:dyDescent="0.25"/>
    <row r="2" spans="1:5" x14ac:dyDescent="0.25">
      <c r="A2" s="264" t="str">
        <f>"GAROV PREDMETI QIYMATINI KELISHISH 
№"&amp;'Общие данные'!B142&amp;" SONLI DALOLATNOMASI
 "</f>
        <v xml:space="preserve">GAROV PREDMETI QIYMATINI KELISHISH 
№1 SONLI DALOLATNOMASI
 </v>
      </c>
      <c r="B2" s="264"/>
      <c r="C2" s="264"/>
      <c r="D2" s="264"/>
      <c r="E2" s="264"/>
    </row>
    <row r="3" spans="1:5" x14ac:dyDescent="0.25">
      <c r="A3" s="41"/>
      <c r="B3" s="41"/>
      <c r="C3" s="41"/>
      <c r="D3" s="41"/>
      <c r="E3" s="41"/>
    </row>
    <row r="4" spans="1:5" x14ac:dyDescent="0.25">
      <c r="A4" s="38" t="s">
        <v>208</v>
      </c>
      <c r="B4" s="38"/>
      <c r="C4" s="38"/>
      <c r="D4" s="38"/>
      <c r="E4" s="38" t="str">
        <f>'Общие данные'!B143</f>
        <v>6 yanvar 2025 y.</v>
      </c>
    </row>
    <row r="5" spans="1:5" ht="9" customHeight="1" x14ac:dyDescent="0.25">
      <c r="A5" s="234"/>
      <c r="B5" s="234"/>
      <c r="C5" s="234"/>
      <c r="D5" s="234"/>
      <c r="E5" s="234"/>
    </row>
    <row r="6" spans="1:5" ht="77.25" customHeight="1" x14ac:dyDescent="0.25">
      <c r="A6" s="234" t="str">
        <f>IF('Общие данные'!B104="avtotransport",'Акт согласования'!A10:E10,'Акт согласования'!A7:E7)</f>
        <v>«CLEVER MIKROMOLIYA TASHKILOTI» MChJning (1-tomon) vakili bo‘lgan  To'rtko'l filial boshlig'i USMANOV X. I., O‘zbekiston Respublikasi fuqarosi DJUMANIYAZOV SHERIPBAY AYITBAYEVICH (2-tomon) va garovga beruvchi O‘zbekiston Respublikasi fuqarosi MADRAXIMOV XOLMUROD RAMONBERDI O'GLI (3-tomon) o’rtalarida, 6 yanvar 2025 y.dan №-TR-sonli Mikroqarz shartnomasiga muvofiq 1-tomon 2-tomonga berilgan mikroqarz bo‘yicha ta’minot sifatida taqdim etilgan, 3-tomonga mulk huquqi asosida tegishli bo‘lgan mulkning garov qiymatini kelishish muzokaralari o’tkazildi.</v>
      </c>
      <c r="B6" s="234"/>
      <c r="C6" s="234"/>
      <c r="D6" s="234"/>
      <c r="E6" s="234"/>
    </row>
    <row r="7" spans="1:5" ht="88.5" hidden="1" customHeight="1" x14ac:dyDescent="0.25">
      <c r="A7" s="234" t="str">
        <f>IF('Общие данные'!B94="ha",'Акт согласования'!A9:E9,'Акт согласования'!A8:E8)</f>
        <v xml:space="preserve">«CLEVER MIKROMOLIYA TASHKILOTI» MChJning (1-tomon) vakili bo‘lgan  To'rtko'l filial boshlig'i USMANOV X. I., va O‘zbekiston Respublikasi fuqarosi  DJUMANIYAZOV SHERIPBAY AYITBAYEVICH (2-tomon) va garov egasi 0 (3-tomon) 6 yanvar 2025 y.dan №-TR Mikroqarz shartnomasiga muvofiq 1-tomon 2-tomonga berilgan mikroqarz bo‘yicha ta’minot sifatida taqdim etilgan, 2-tomonga mulk huquqi asosida tegishli bo‘lgan mulkning garov qiymatini kelishish muzokaralari o’tkazildi. </v>
      </c>
      <c r="B7" s="234"/>
      <c r="C7" s="234"/>
      <c r="D7" s="234"/>
      <c r="E7" s="234"/>
    </row>
    <row r="8" spans="1:5" ht="88.5" hidden="1" customHeight="1" x14ac:dyDescent="0.25">
      <c r="A8" s="234" t="str">
        <f>""&amp;'Общие данные'!B151&amp;"ning (1-tomon) vakili bo‘lgan  "&amp;'Общие данные'!A154&amp;" "&amp;'Общие данные'!B154&amp;", va O‘zbekiston Respublikasi fuqarosi  "&amp;'Общие данные'!B5&amp;" (2-tomon) va garov egasi "&amp;'Общие данные'!C118&amp;"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To'rtko'l filial boshlig'i USMANOV X. I., va O‘zbekiston Respublikasi fuqarosi  DJUMANIYAZOV SHERIPBAY AYITBAYEVICH (2-tomon) va garov egasi 0 (3-tomon) 6 yanvar 2025 y.dan №-TR Mikroqarz shartnomasiga muvofiq 1-tomon 2-tomonga berilgan mikroqarz bo‘yicha ta’minot sifatida taqdim etilgan, 2-tomonga mulk huquqi asosida tegishli bo‘lgan mulkning garov qiymatini kelishish muzokaralari o’tkazildi. </v>
      </c>
      <c r="B8" s="234"/>
      <c r="C8" s="234"/>
      <c r="D8" s="234"/>
      <c r="E8" s="234"/>
    </row>
    <row r="9" spans="1:5" ht="88.5" hidden="1" customHeight="1" x14ac:dyDescent="0.25">
      <c r="A9" s="234" t="str">
        <f>""&amp;'Общие данные'!B151&amp;"ning (1-tomon) vakili bo‘lgan  "&amp;'Общие данные'!A154&amp;" "&amp;'Общие данные'!B154&amp;", va O‘zbekiston Respublikasi fuqarosi  "&amp;'Общие данные'!B5&amp;" (2-tomon) va garov egasi "&amp;'Общие данные'!C118&amp;"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To'rtko'l filial boshlig'i USMANOV X. I., va O‘zbekiston Respublikasi fuqarosi  DJUMANIYAZOV SHERIPBAY AYITBAYEVICH (2-tomon) va garov egasi 0 (3-tomon) 6 yanvar 2025 y.dan №-TR Mikroqarz shartnomasiga muvofiq 1-tomon 2-tomonga berilgan mikroqarz bo‘yicha ta’minot sifatida taqdim etilgan, 2-tomonga mulk huquqi asosida tegishli bo‘lgan mulkning garov qiymatini kelishish muzokaralari o’tkazildi. </v>
      </c>
      <c r="B9" s="234"/>
      <c r="C9" s="234"/>
      <c r="D9" s="234"/>
      <c r="E9" s="234"/>
    </row>
    <row r="10" spans="1:5" ht="88.5" hidden="1" customHeight="1" x14ac:dyDescent="0.25">
      <c r="A10" s="234" t="str">
        <f>IF('Общие данные'!B94="ha",'Акт согласования'!A12:E12,'Акт согласования'!A11:E11)</f>
        <v>«CLEVER MIKROMOLIYA TASHKILOTI» MChJning (1-tomon) vakili bo‘lgan  To'rtko'l filial boshlig'i USMANOV X. I., O‘zbekiston Respublikasi fuqarosi DJUMANIYAZOV SHERIPBAY AYITBAYEVICH (2-tomon) va garovga beruvchi O‘zbekiston Respublikasi fuqarosi MADRAXIMOV XOLMUROD RAMONBERDI O'GLI (3-tomon) o’rtalarida, 6 yanvar 2025 y.dan №-TR-sonli Mikroqarz shartnomasiga muvofiq 1-tomon 2-tomonga berilgan mikroqarz bo‘yicha ta’minot sifatida taqdim etilgan, 3-tomonga mulk huquqi asosida tegishli bo‘lgan mulkning garov qiymatini kelishish muzokaralari o’tkazildi.</v>
      </c>
      <c r="B10" s="234"/>
      <c r="C10" s="234"/>
      <c r="D10" s="234"/>
      <c r="E10" s="234"/>
    </row>
    <row r="11" spans="1:5" ht="88.5" hidden="1" customHeight="1" x14ac:dyDescent="0.25">
      <c r="A11" s="234" t="str">
        <f>""&amp;'Общие данные'!B151&amp;"ning (1-tomon) vakili bo‘lgan  "&amp;'Общие данные'!A154&amp;" "&amp;'Общие данные'!B154&amp;", O‘zbekiston Respublikasi fuqarosi "&amp;'Общие данные'!B5&amp;" (2-tomon) va garovga beruvchi O‘zbekiston Respublikasi fuqarosi "&amp;'Общие данные'!B118&amp;"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To'rtko'l filial boshlig'i USMANOV X. I., O‘zbekiston Respublikasi fuqarosi DJUMANIYAZOV SHERIPBAY AYITBAYEVICH (2-tomon) va garovga beruvchi O‘zbekiston Respublikasi fuqarosi MADRAXIMOV XOLMUROD RAMONBERDI O'GLI (3-tomon) o’rtalarida, 6 yanvar 2025 y.dan №-TR-sonli Mikroqarz shartnomasiga muvofiq 1-tomon 2-tomonga berilgan mikroqarz bo‘yicha ta’minot sifatida taqdim etilgan, 3-tomonga mulk huquqi asosida tegishli bo‘lgan mulkning garov qiymatini kelishish muzokaralari o’tkazildi.</v>
      </c>
      <c r="B11" s="234"/>
      <c r="C11" s="234"/>
      <c r="D11" s="234"/>
      <c r="E11" s="234"/>
    </row>
    <row r="12" spans="1:5" ht="88.5" hidden="1" customHeight="1" x14ac:dyDescent="0.25">
      <c r="A12" s="234" t="str">
        <f>""&amp;'Общие данные'!B151&amp;"ning (1-tomon) vakili bo‘lgan  "&amp;'Общие данные'!A154&amp;" "&amp;'Общие данные'!B154&amp;",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To'rtko'l filial boshlig'i USMANOV X. I., O‘zbekiston Respublikasi fuqarosi va garovga beruvchi DJUMANIYAZOV SHERIPBAY AYITBAYEVICH (2-tomon) o’rtalarida, 6 yanvar 2025 y.dan №-TR-sonli Mikroqarz shartnomasiga muvofiq 1-tomon 2-tomonga berilgan mikroqarz bo‘yicha ta’minot sifatida taqdim etilgan, 2-tomonga mulk huquqi asosida tegishli bo‘lgan mulkning garov qiymatini kelishish muzokaralari o’tkazildi.</v>
      </c>
      <c r="B12" s="234"/>
      <c r="C12" s="234"/>
      <c r="D12" s="234"/>
      <c r="E12" s="234"/>
    </row>
    <row r="13" spans="1:5" ht="88.5" hidden="1" customHeight="1" x14ac:dyDescent="0.25">
      <c r="A13" s="234" t="str">
        <f>"Garov predmeti sifatida "&amp;'Общие данные'!B126&amp;", 3-tomonga egalik huquqi tegishli bo'lgan, quyidagi tafsilotlarga ega avtotransport vositasi taqdim etiladi:"</f>
        <v>Garov predmeti sifatida GM UZ / MATIZ DLX, 3-tomonga egalik huquqi tegishli bo'lgan, quyidagi tafsilotlarga ega avtotransport vositasi taqdim etiladi:</v>
      </c>
      <c r="B13" s="234"/>
      <c r="C13" s="234"/>
      <c r="D13" s="234"/>
      <c r="E13" s="234"/>
    </row>
    <row r="14" spans="1:5" ht="88.5" hidden="1" customHeight="1" x14ac:dyDescent="0.25">
      <c r="A14" s="234" t="str">
        <f>"Garov predmeti sifatida "&amp;'Общие данные'!B126&amp;", 2-tomonga egalik huquqi tegishli bo'lgan, quyidagi tafsilotlarga ega avtotransport vositasi taqdim etiladi:"</f>
        <v>Garov predmeti sifatida GM UZ / MATIZ DLX, 2-tomonga egalik huquqi tegishli bo'lgan, quyidagi tafsilotlarga ega avtotransport vositasi taqdim etiladi:</v>
      </c>
      <c r="B14" s="234"/>
      <c r="C14" s="234"/>
      <c r="D14" s="234"/>
      <c r="E14" s="234"/>
    </row>
    <row r="15" spans="1:5" ht="88.5" hidden="1" customHeight="1" x14ac:dyDescent="0.25">
      <c r="A15" s="234" t="str">
        <f>IF('Общие данные'!B94="ha",'Акт согласования'!A14:E14,'Акт согласования'!A13:E13)</f>
        <v>Garov predmeti sifatida GM UZ / MATIZ DLX, 3-tomonga egalik huquqi tegishli bo'lgan, quyidagi tafsilotlarga ega avtotransport vositasi taqdim etiladi:</v>
      </c>
      <c r="B15" s="234"/>
      <c r="C15" s="234"/>
      <c r="D15" s="234"/>
      <c r="E15" s="234"/>
    </row>
    <row r="16" spans="1:5" ht="88.5" hidden="1" customHeight="1" x14ac:dyDescent="0.25">
      <c r="A16" s="234" t="str">
        <f>"Garov predmeti sifatida "&amp;'Общие данные'!C127&amp;", 2-tomonga egalik huquqi tegishli bo'lgan, quyidagi tafsilotlarga ega ko'chmas mulk taqdim etiladi:"</f>
        <v>Garov predmeti sifatida 3 - xonali yakka tartibdagi uy-joy, 2-tomonga egalik huquqi tegishli bo'lgan, quyidagi tafsilotlarga ega ko'chmas mulk taqdim etiladi:</v>
      </c>
      <c r="B16" s="234"/>
      <c r="C16" s="234"/>
      <c r="D16" s="234"/>
      <c r="E16" s="234"/>
    </row>
    <row r="17" spans="1:5" ht="13.5" hidden="1" customHeight="1" x14ac:dyDescent="0.25">
      <c r="A17" s="234" t="str">
        <f>"Garov predmeti sifatida "&amp;'Общие данные'!C127&amp;", 3-tomonga egalik huquqi tegishli bo'lgan, quyidagi tafsilotlarga ega ko'chmas mulk taqdim etiladi:"</f>
        <v>Garov predmeti sifatida 3 - xonali yakka tartibdagi uy-joy, 3-tomonga egalik huquqi tegishli bo'lgan, quyidagi tafsilotlarga ega ko'chmas mulk taqdim etiladi:</v>
      </c>
      <c r="B17" s="234"/>
      <c r="C17" s="234"/>
      <c r="D17" s="234"/>
      <c r="E17" s="234"/>
    </row>
    <row r="18" spans="1:5" ht="11.25" hidden="1" customHeight="1" x14ac:dyDescent="0.25">
      <c r="A18" s="234" t="str">
        <f>IF('Общие данные'!B94="ha",'Акт согласования'!A16:E16,'Акт согласования'!A17:E17)</f>
        <v>Garov predmeti sifatida 3 - xonali yakka tartibdagi uy-joy, 3-tomonga egalik huquqi tegishli bo'lgan, quyidagi tafsilotlarga ega ko'chmas mulk taqdim etiladi:</v>
      </c>
      <c r="B18" s="234"/>
      <c r="C18" s="234"/>
      <c r="D18" s="234"/>
      <c r="E18" s="234"/>
    </row>
    <row r="19" spans="1:5" ht="36.75" customHeight="1" x14ac:dyDescent="0.25">
      <c r="A19" s="234" t="str">
        <f>IF('Общие данные'!B104="Avtotransport",'Акт согласования'!A15:E15,'Акт согласования'!A18:E18)</f>
        <v>Garov predmeti sifatida GM UZ / MATIZ DLX, 3-tomonga egalik huquqi tegishli bo'lgan, quyidagi tafsilotlarga ega avtotransport vositasi taqdim etiladi:</v>
      </c>
      <c r="B19" s="234"/>
      <c r="C19" s="234"/>
      <c r="D19" s="234"/>
      <c r="E19" s="234"/>
    </row>
    <row r="20" spans="1:5" ht="48" customHeight="1" outlineLevel="1" x14ac:dyDescent="0.25">
      <c r="A20" s="40" t="s">
        <v>206</v>
      </c>
      <c r="B20" s="314" t="str">
        <f>IF('Общие данные'!B104='Общие данные'!C104,"Kuzov turi  va kuzov raqami*","Foydali maydoni")</f>
        <v>Kuzov turi  va kuzov raqami*</v>
      </c>
      <c r="C20" s="315"/>
      <c r="D20" s="40" t="str">
        <f>IF('Общие данные'!B104='Общие данные'!C104,"Dvigatel va shassi raqami*","Yashash maydoni")</f>
        <v>Dvigatel va shassi raqami*</v>
      </c>
      <c r="E20" s="40" t="str">
        <f>IF('Общие данные'!B104='Общие данные'!C104,"Ishlab chiqarilgan yili va rangi**","Umumiy maydoni")</f>
        <v>Ishlab chiqarilgan yili va rangi**</v>
      </c>
    </row>
    <row r="21" spans="1:5" ht="65.25" customHeight="1" outlineLevel="1" x14ac:dyDescent="0.25">
      <c r="A21" s="18" t="str">
        <f>IF('Общие данные'!B104='Общие данные'!C104,'Общие данные'!B126,'Общие данные'!C126)</f>
        <v>GM UZ / MATIZ DLX</v>
      </c>
      <c r="B21" s="266" t="str">
        <f>IF('Общие данные'!B104='Общие данные'!C104,'Общие данные'!B128,CONCATENATE('Общие данные'!F131," ","kv.m"))</f>
        <v>kuzov turi - YENGIL SEDAN, kuzov raqami XWB4A11AD8A152643</v>
      </c>
      <c r="C21" s="266"/>
      <c r="D21" s="18" t="str">
        <f>IF('Общие данные'!B104='Общие данные'!C104,'Общие данные'!B131,'Общие данные'!E134)</f>
        <v>dvigatel raqami F8CV521561KB1, shassi raqami - RAKAMSIZ</v>
      </c>
      <c r="E21" s="18" t="str">
        <f>IF('Общие данные'!B104='Общие данные'!C104,'Общие данные'!B134,'Общие данные'!E131)</f>
        <v>rangi -  OQ-BELAYA KASABLANKA, ishlab chiqarilgan yili - 2007</v>
      </c>
    </row>
    <row r="22" spans="1:5" ht="17.25" customHeight="1" outlineLevel="1" x14ac:dyDescent="0.25">
      <c r="A22" s="234" t="str">
        <f>"-* "&amp;IF('Общие данные'!B104='Общие данные'!C104,"avtotransport "&amp;"egasi: "&amp;'Общие данные'!B118&amp;"","ko'chmas mulk"&amp;" egasi: "&amp;'Общие данные'!B118&amp;"")</f>
        <v>-* avtotransport egasi: MADRAXIMOV XOLMUROD RAMONBERDI O'GLI</v>
      </c>
      <c r="B22" s="234"/>
      <c r="C22" s="234"/>
      <c r="D22" s="234"/>
      <c r="E22" s="234"/>
    </row>
    <row r="23" spans="1:5" outlineLevel="1" x14ac:dyDescent="0.25">
      <c r="A23" s="234" t="str">
        <f>IF('Общие данные'!B104='Общие данные'!C104,"-* texnik pasport: "&amp;'Общие данные'!B125&amp;"","-* reest raqami: "&amp;'Общие данные'!C125&amp;"")</f>
        <v>-* texnik pasport: AAE 0278091 13.04.2018 y.</v>
      </c>
      <c r="B23" s="234"/>
      <c r="C23" s="234"/>
      <c r="D23" s="234"/>
      <c r="E23" s="234"/>
    </row>
    <row r="24" spans="1:5" s="198" customFormat="1" outlineLevel="1" x14ac:dyDescent="0.25">
      <c r="A24" s="234" t="str">
        <f>IF('Общие данные'!B104='Общие данные'!C104,"-* roʻyxatdan oʻtgan manzili/garaj manzili: "&amp;'Общие данные'!B123&amp;"","-*  kadastr raqami: "&amp;'Общие данные'!C128&amp;"")</f>
        <v>-* roʻyxatdan oʻtgan manzili/garaj manzili: QORAQALPOG'ISTON RESPUBLIKASI TO'RTKO'L TUMANI TOZABOG'YOP OFY</v>
      </c>
      <c r="B24" s="234"/>
      <c r="C24" s="234"/>
      <c r="D24" s="234"/>
      <c r="E24" s="234"/>
    </row>
    <row r="25" spans="1:5" ht="33" customHeight="1" outlineLevel="1" x14ac:dyDescent="0.25">
      <c r="A25" s="234" t="str">
        <f>IF('Общие данные'!B104='Общие данные'!C104,"-* davlat raqami: "&amp;'Общие данные'!B127&amp;"","-* manzili: "&amp;'Общие данные'!C124&amp;"")</f>
        <v>-* davlat raqami: 95P232GA</v>
      </c>
      <c r="B25" s="234"/>
      <c r="C25" s="234"/>
      <c r="D25" s="234"/>
      <c r="E25" s="234"/>
    </row>
    <row r="26" spans="1:5" ht="65.25" customHeight="1" x14ac:dyDescent="0.25">
      <c r="A26" s="234" t="str">
        <f>IF('Общие данные'!B94="ha",'Акт согласования'!A28:E28,'Акт согласования'!A27:E27)</f>
        <v>Tomonlar o’rtasida o’tkazilgan muzokaralar natijalariga ko‘ra, 2-tomon ta’minot sifatida quyidagi tafsilotlarga ega bo’lgan garov predmetini taqdim etadi, 1-tomon esa ushbu garov predmetini  6 yanvar 2025 y.dan №-TR mikroqarz shartnomasi bo‘yicha berilgan mikroqarz bo‘yicha  
52 500 000,00 (ellik ikki million besh yuz ming so'm) so’m bo‘lgan kelishilgan garov qiymatida qabul qiladi::</v>
      </c>
      <c r="B26" s="234"/>
      <c r="C26" s="234"/>
      <c r="D26" s="234"/>
      <c r="E26" s="234"/>
    </row>
    <row r="27" spans="1:5" ht="66" hidden="1" customHeight="1" x14ac:dyDescent="0.25">
      <c r="A27" s="234"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данные'!B137,2)&amp;" ("&amp;'Общие данные'!B138&amp;") so’m bo‘lgan kelishilgan garov qiymatida qabul qiladi::"</f>
        <v>Tomonlar o’rtasida o’tkazilgan muzokaralar natijalariga ko‘ra, 2-tomon ta’minot sifatida quyidagi tafsilotlarga ega bo’lgan garov predmetini taqdim etadi, 1-tomon esa ushbu garov predmetini  6 yanvar 2025 y.dan №-TR mikroqarz shartnomasi bo‘yicha berilgan mikroqarz bo‘yicha  
52 500 000,00 (ellik ikki million besh yuz ming so'm) so’m bo‘lgan kelishilgan garov qiymatida qabul qiladi::</v>
      </c>
      <c r="B27" s="234"/>
      <c r="C27" s="234"/>
      <c r="D27" s="234"/>
      <c r="E27" s="234"/>
    </row>
    <row r="28" spans="1:5" ht="58.5" hidden="1" customHeight="1" x14ac:dyDescent="0.25">
      <c r="A28" s="234"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данные'!B137,2)&amp;" ("&amp;'Общие данные'!B138&amp;") so’m bo‘lgan kelishilgan garov qiymatida qabul qiladi::"</f>
        <v>Tomonlar o’rtasida o’tkazilgan muzokaralar natijalariga ko‘ra, 2-tomon ta’minot sifatida quyidagi tafsilotlarga ega bo’lgan garov predmetini taqdim etadi, 1-tomon esa ushbu garov predmetini  6 yanvar 2025 y.dan №-TR Mikroqarz shartnomasi bo‘yicha berilgan mikroqarz bo‘yicha  
52 500 000,00 (ellik ikki million besh yuz ming so'm) so’m bo‘lgan kelishilgan garov qiymatida qabul qiladi::</v>
      </c>
      <c r="B28" s="234"/>
      <c r="C28" s="234"/>
      <c r="D28" s="234"/>
      <c r="E28" s="234"/>
    </row>
    <row r="29" spans="1:5" ht="51.75" customHeight="1" outlineLevel="1" x14ac:dyDescent="0.25">
      <c r="A29" s="40" t="s">
        <v>206</v>
      </c>
      <c r="B29" s="40" t="str">
        <f>B20</f>
        <v>Kuzov turi  va kuzov raqami*</v>
      </c>
      <c r="C29" s="40" t="str">
        <f>D20</f>
        <v>Dvigatel va shassi raqami*</v>
      </c>
      <c r="D29" s="40" t="str">
        <f>IF('Общие данные'!B104='Общие данные'!C104,"Ishlab chiqarilgan yili va rangi*","Foydalanishga topshirilgan sanasi")</f>
        <v>Ishlab chiqarilgan yili va rangi*</v>
      </c>
      <c r="E29" s="40" t="s">
        <v>207</v>
      </c>
    </row>
    <row r="30" spans="1:5" ht="76.5" customHeight="1" outlineLevel="1" x14ac:dyDescent="0.25">
      <c r="A30" s="18" t="str">
        <f>A21</f>
        <v>GM UZ / MATIZ DLX</v>
      </c>
      <c r="B30" s="18" t="str">
        <f>B21</f>
        <v>kuzov turi - YENGIL SEDAN, kuzov raqami XWB4A11AD8A152643</v>
      </c>
      <c r="C30" s="18" t="str">
        <f>D21</f>
        <v>dvigatel raqami F8CV521561KB1, shassi raqami - RAKAMSIZ</v>
      </c>
      <c r="D30" s="18" t="str">
        <f>IF('Общие данные'!B104='Общие данные'!C104,E21,TEXT('Общие данные'!C136,"ДД.ММ.ГГГГ"))</f>
        <v>rangi -  OQ-BELAYA KASABLANKA, ishlab chiqarilgan yili - 2007</v>
      </c>
      <c r="E30" s="18" t="str">
        <f>""&amp;FIXED('Общие данные'!B137,2)&amp;" 
("&amp;'Общие данные'!B138&amp;")"</f>
        <v>52 500 000,00 
(ellik ikki million besh yuz ming so'm)</v>
      </c>
    </row>
    <row r="31" spans="1:5" ht="16.5" customHeight="1" x14ac:dyDescent="0.25">
      <c r="A31" s="17"/>
      <c r="B31" s="17"/>
      <c r="C31" s="17"/>
      <c r="D31" s="17"/>
      <c r="E31" s="17"/>
    </row>
    <row r="32" spans="1:5" ht="56.25" hidden="1" customHeight="1" outlineLevel="1" x14ac:dyDescent="0.25">
      <c r="A32" s="40" t="s">
        <v>5</v>
      </c>
      <c r="B32" s="40" t="s">
        <v>19</v>
      </c>
      <c r="C32" s="40" t="s">
        <v>20</v>
      </c>
      <c r="D32" s="40" t="s">
        <v>21</v>
      </c>
      <c r="E32" s="40" t="s">
        <v>6</v>
      </c>
    </row>
    <row r="33" spans="1:5" ht="15.75" hidden="1" customHeight="1" outlineLevel="1" x14ac:dyDescent="0.25">
      <c r="A33" s="18" t="e">
        <f>#REF!</f>
        <v>#REF!</v>
      </c>
      <c r="B33" s="122" t="e">
        <f>#REF!</f>
        <v>#REF!</v>
      </c>
      <c r="C33" s="122" t="e">
        <f>#REF!</f>
        <v>#REF!</v>
      </c>
      <c r="D33" s="122" t="e">
        <f>#REF!</f>
        <v>#REF!</v>
      </c>
      <c r="E33" s="318" t="str">
        <f>""&amp;FIXED('Общие данные'!C137,2)&amp;" ("&amp;'Общие данные'!B138&amp;")"</f>
        <v>52 500 000,00 (ellik ikki million besh yuz ming so'm)</v>
      </c>
    </row>
    <row r="34" spans="1:5" ht="15.75" hidden="1" customHeight="1" outlineLevel="1" x14ac:dyDescent="0.25">
      <c r="A34" s="18"/>
      <c r="B34" s="122"/>
      <c r="C34" s="122"/>
      <c r="D34" s="122"/>
      <c r="E34" s="319"/>
    </row>
    <row r="35" spans="1:5" ht="15.75" hidden="1" customHeight="1" outlineLevel="1" x14ac:dyDescent="0.25">
      <c r="A35" s="18" t="e">
        <f>#REF!</f>
        <v>#REF!</v>
      </c>
      <c r="B35" s="122" t="e">
        <f>#REF!</f>
        <v>#REF!</v>
      </c>
      <c r="C35" s="122" t="e">
        <f>#REF!</f>
        <v>#REF!</v>
      </c>
      <c r="D35" s="122" t="e">
        <f>#REF!</f>
        <v>#REF!</v>
      </c>
      <c r="E35" s="319"/>
    </row>
    <row r="36" spans="1:5" ht="15.75" hidden="1" customHeight="1" outlineLevel="1" x14ac:dyDescent="0.25">
      <c r="A36" s="18" t="e">
        <f>#REF!</f>
        <v>#REF!</v>
      </c>
      <c r="B36" s="122" t="e">
        <f>#REF!</f>
        <v>#REF!</v>
      </c>
      <c r="C36" s="122" t="e">
        <f>#REF!</f>
        <v>#REF!</v>
      </c>
      <c r="D36" s="122" t="e">
        <f>#REF!</f>
        <v>#REF!</v>
      </c>
      <c r="E36" s="319"/>
    </row>
    <row r="37" spans="1:5" ht="15.75" hidden="1" customHeight="1" outlineLevel="1" x14ac:dyDescent="0.25">
      <c r="A37" s="18" t="e">
        <f>#REF!</f>
        <v>#REF!</v>
      </c>
      <c r="B37" s="122" t="e">
        <f>#REF!</f>
        <v>#REF!</v>
      </c>
      <c r="C37" s="122" t="e">
        <f>#REF!</f>
        <v>#REF!</v>
      </c>
      <c r="D37" s="122" t="e">
        <f>#REF!</f>
        <v>#REF!</v>
      </c>
      <c r="E37" s="319"/>
    </row>
    <row r="38" spans="1:5" ht="15.75" hidden="1" customHeight="1" outlineLevel="1" x14ac:dyDescent="0.25">
      <c r="A38" s="18" t="e">
        <f>#REF!</f>
        <v>#REF!</v>
      </c>
      <c r="B38" s="122" t="e">
        <f>#REF!</f>
        <v>#REF!</v>
      </c>
      <c r="C38" s="122" t="e">
        <f>#REF!</f>
        <v>#REF!</v>
      </c>
      <c r="D38" s="122" t="e">
        <f>#REF!</f>
        <v>#REF!</v>
      </c>
      <c r="E38" s="319"/>
    </row>
    <row r="39" spans="1:5" ht="15.75" hidden="1" customHeight="1" outlineLevel="1" x14ac:dyDescent="0.25">
      <c r="A39" s="18" t="e">
        <f>#REF!</f>
        <v>#REF!</v>
      </c>
      <c r="B39" s="122" t="e">
        <f>#REF!</f>
        <v>#REF!</v>
      </c>
      <c r="C39" s="122" t="e">
        <f>#REF!</f>
        <v>#REF!</v>
      </c>
      <c r="D39" s="122" t="e">
        <f>#REF!</f>
        <v>#REF!</v>
      </c>
      <c r="E39" s="319"/>
    </row>
    <row r="40" spans="1:5" ht="15.75" hidden="1" customHeight="1" outlineLevel="1" x14ac:dyDescent="0.25">
      <c r="A40" s="18" t="e">
        <f>#REF!</f>
        <v>#REF!</v>
      </c>
      <c r="B40" s="122" t="e">
        <f>#REF!</f>
        <v>#REF!</v>
      </c>
      <c r="C40" s="122" t="e">
        <f>#REF!</f>
        <v>#REF!</v>
      </c>
      <c r="D40" s="122" t="e">
        <f>#REF!</f>
        <v>#REF!</v>
      </c>
      <c r="E40" s="319"/>
    </row>
    <row r="41" spans="1:5" ht="15.75" hidden="1" customHeight="1" outlineLevel="1" x14ac:dyDescent="0.25">
      <c r="A41" s="18" t="e">
        <f>#REF!</f>
        <v>#REF!</v>
      </c>
      <c r="B41" s="122" t="e">
        <f>#REF!</f>
        <v>#REF!</v>
      </c>
      <c r="C41" s="122" t="e">
        <f>#REF!</f>
        <v>#REF!</v>
      </c>
      <c r="D41" s="122" t="e">
        <f>#REF!</f>
        <v>#REF!</v>
      </c>
      <c r="E41" s="319"/>
    </row>
    <row r="42" spans="1:5" ht="15.75" hidden="1" customHeight="1" outlineLevel="1" x14ac:dyDescent="0.25">
      <c r="A42" s="18" t="e">
        <f>#REF!</f>
        <v>#REF!</v>
      </c>
      <c r="B42" s="122" t="e">
        <f>#REF!</f>
        <v>#REF!</v>
      </c>
      <c r="C42" s="122" t="e">
        <f>#REF!</f>
        <v>#REF!</v>
      </c>
      <c r="D42" s="122" t="e">
        <f>#REF!</f>
        <v>#REF!</v>
      </c>
      <c r="E42" s="319"/>
    </row>
    <row r="43" spans="1:5" ht="15.75" hidden="1" customHeight="1" outlineLevel="1" x14ac:dyDescent="0.25">
      <c r="A43" s="18" t="e">
        <f>#REF!</f>
        <v>#REF!</v>
      </c>
      <c r="B43" s="18" t="e">
        <f>#REF!</f>
        <v>#REF!</v>
      </c>
      <c r="C43" s="18" t="e">
        <f>#REF!</f>
        <v>#REF!</v>
      </c>
      <c r="D43" s="18" t="e">
        <f>#REF!</f>
        <v>#REF!</v>
      </c>
      <c r="E43" s="320"/>
    </row>
    <row r="44" spans="1:5" s="38" customFormat="1" ht="15.75" hidden="1" customHeight="1" outlineLevel="1" x14ac:dyDescent="0.2">
      <c r="A44" s="40" t="e">
        <f>#REF!</f>
        <v>#REF!</v>
      </c>
      <c r="B44" s="40" t="e">
        <f>#REF!</f>
        <v>#REF!</v>
      </c>
      <c r="C44" s="40" t="e">
        <f>#REF!</f>
        <v>#REF!</v>
      </c>
      <c r="D44" s="40" t="e">
        <f>#REF!</f>
        <v>#REF!</v>
      </c>
      <c r="E44" s="40" t="str">
        <f>FIXED('Общие данные'!C137,2)</f>
        <v>52 500 000,00</v>
      </c>
    </row>
    <row r="45" spans="1:5" ht="12.75" customHeight="1" collapsed="1" x14ac:dyDescent="0.25">
      <c r="A45" s="17"/>
      <c r="B45" s="17"/>
      <c r="C45" s="17"/>
      <c r="D45" s="17"/>
      <c r="E45" s="17"/>
    </row>
    <row r="46" spans="1:5" ht="93.75" hidden="1" customHeight="1" x14ac:dyDescent="0.25">
      <c r="A46" s="234"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34"/>
      <c r="C46" s="234"/>
      <c r="D46" s="234"/>
      <c r="E46" s="234"/>
    </row>
    <row r="47" spans="1:5" ht="42" customHeight="1" x14ac:dyDescent="0.25">
      <c r="A47" s="234" t="s">
        <v>211</v>
      </c>
      <c r="B47" s="234"/>
      <c r="C47" s="234"/>
      <c r="D47" s="234"/>
      <c r="E47" s="234"/>
    </row>
    <row r="48" spans="1:5" ht="35.25" customHeight="1" x14ac:dyDescent="0.25">
      <c r="A48" s="234" t="str">
        <f>"Shunday qilib, garov predmetining kelishilgan garov qiymati  "&amp;FIXED('Общие данные'!B137)&amp;" ("&amp;'Общие данные'!B138&amp;") so‘mni tashkil etadi."</f>
        <v>Shunday qilib, garov predmetining kelishilgan garov qiymati  52 500 000,00 (ellik ikki million besh yuz ming so'm) so‘mni tashkil etadi.</v>
      </c>
      <c r="B48" s="234"/>
      <c r="C48" s="234"/>
      <c r="D48" s="234"/>
      <c r="E48" s="234"/>
    </row>
    <row r="49" spans="1:6" ht="35.25" hidden="1" customHeight="1" x14ac:dyDescent="0.25">
      <c r="A49" s="20"/>
      <c r="B49" s="20"/>
      <c r="C49" s="20"/>
      <c r="D49" s="20">
        <f>IF('Общие данные'!B93='Общие данные'!C93,'Общие данные'!C137,IF('Общие данные'!B93='Общие данные'!D93,'Данные для послед. Залога'!M22,0))</f>
        <v>52500000</v>
      </c>
      <c r="E49" s="20" t="str">
        <f>IF('Общие данные'!B93='Общие данные'!C93,'Общие данные'!B138,IF('Общие данные'!B93='Общие данные'!D93,'Данные для послед. Залога'!Q22,0))</f>
        <v>ellik ikki million besh yuz ming so'm</v>
      </c>
    </row>
    <row r="50" spans="1:6" x14ac:dyDescent="0.25">
      <c r="A50" s="311" t="s">
        <v>212</v>
      </c>
      <c r="B50" s="311"/>
      <c r="C50" s="311"/>
      <c r="D50" s="23"/>
      <c r="E50" s="23"/>
    </row>
    <row r="51" spans="1:6" x14ac:dyDescent="0.25">
      <c r="A51" s="229" t="str">
        <f>'Общие данные'!B152</f>
        <v>«CLEVER MIKROMOLIYA TASHKILOTI» MChJ</v>
      </c>
      <c r="B51" s="229"/>
      <c r="C51" s="229"/>
      <c r="D51" s="182"/>
      <c r="E51" s="182"/>
    </row>
    <row r="52" spans="1:6" ht="15" customHeight="1" x14ac:dyDescent="0.25">
      <c r="A52" s="229" t="str">
        <f>""&amp;'Общие данные'!A154&amp;""</f>
        <v>To'rtko'l filial boshlig'i</v>
      </c>
      <c r="B52" s="229"/>
      <c r="C52" s="229"/>
      <c r="D52" s="311" t="str">
        <f>"_______________   "&amp;'Общие данные'!B154&amp;""</f>
        <v>_______________   USMANOV X. I.</v>
      </c>
      <c r="E52" s="311"/>
    </row>
    <row r="53" spans="1:6" x14ac:dyDescent="0.25">
      <c r="A53" s="57"/>
      <c r="B53" s="57"/>
      <c r="C53" s="57"/>
      <c r="D53" s="57"/>
      <c r="E53" s="57"/>
    </row>
    <row r="54" spans="1:6" x14ac:dyDescent="0.25">
      <c r="A54" s="311"/>
      <c r="B54" s="311"/>
      <c r="C54" s="311"/>
      <c r="D54" s="57"/>
      <c r="E54" s="57"/>
    </row>
    <row r="55" spans="1:6" hidden="1" x14ac:dyDescent="0.25">
      <c r="A55" s="229" t="s">
        <v>47</v>
      </c>
      <c r="B55" s="229"/>
      <c r="C55" s="229"/>
      <c r="D55" s="57"/>
      <c r="E55" s="57"/>
    </row>
    <row r="56" spans="1:6" hidden="1" x14ac:dyDescent="0.25">
      <c r="A56" s="229" t="str">
        <f>'Общие данные'!B152</f>
        <v>«CLEVER MIKROMOLIYA TASHKILOTI» MChJ</v>
      </c>
      <c r="B56" s="229"/>
      <c r="C56" s="229"/>
      <c r="D56" s="229" t="str">
        <f>"_______________   "&amp;'Общие данные'!B163&amp;""</f>
        <v>_______________   Usmanova Z.Sh. v.v.b.</v>
      </c>
      <c r="E56" s="229"/>
    </row>
    <row r="57" spans="1:6" ht="12.75" customHeight="1" x14ac:dyDescent="0.25">
      <c r="A57" s="229"/>
      <c r="B57" s="229"/>
      <c r="C57" s="229"/>
      <c r="D57" s="229"/>
      <c r="E57" s="229"/>
    </row>
    <row r="58" spans="1:6" x14ac:dyDescent="0.25">
      <c r="A58" s="311" t="s">
        <v>213</v>
      </c>
      <c r="B58" s="311"/>
      <c r="C58" s="311"/>
      <c r="D58" s="229"/>
      <c r="E58" s="229"/>
    </row>
    <row r="59" spans="1:6" ht="31.5" customHeight="1" x14ac:dyDescent="0.25">
      <c r="A59" s="229" t="s">
        <v>214</v>
      </c>
      <c r="B59" s="229"/>
      <c r="C59" s="229"/>
      <c r="D59" s="311" t="str">
        <f>"_______________  "&amp;'Общие данные'!B7&amp;""</f>
        <v>_______________  DJUMANIYAZOV SH A</v>
      </c>
      <c r="E59" s="311"/>
    </row>
    <row r="60" spans="1:6" ht="12.75" customHeight="1" x14ac:dyDescent="0.25">
      <c r="A60" s="229"/>
      <c r="B60" s="229"/>
      <c r="C60" s="229"/>
      <c r="D60" s="316" t="str">
        <f>IF('Общие данные'!B94="да","",'Общие данные'!B119)</f>
        <v>MADRAXIMOV X R</v>
      </c>
      <c r="E60" s="316"/>
    </row>
    <row r="61" spans="1:6" ht="17.25" customHeight="1" x14ac:dyDescent="0.25">
      <c r="A61" s="311" t="str">
        <f>+IF('Общие данные'!B94="ha"," ","3-tomondan:")</f>
        <v>3-tomondan:</v>
      </c>
      <c r="B61" s="311"/>
      <c r="C61" s="311"/>
      <c r="D61" s="317"/>
      <c r="E61" s="317"/>
      <c r="F61" s="16">
        <f>IF('Общие данные'!B95='Общие данные'!D95,B7,"")</f>
        <v>0</v>
      </c>
    </row>
    <row r="62" spans="1:6" ht="29.25" customHeight="1" x14ac:dyDescent="0.25">
      <c r="A62" s="229" t="str">
        <f>+IF('Общие данные'!B94="ha"," ","O'zbekiston Respublikasi fuqarosi")</f>
        <v>O'zbekiston Respublikasi fuqarosi</v>
      </c>
      <c r="B62" s="229"/>
      <c r="C62" s="229"/>
      <c r="D62" s="311" t="str">
        <f>IF('Общие данные'!B94='Общие данные'!C94,"",A63)</f>
        <v>_______________  DJUMANIYAZOV SH A</v>
      </c>
      <c r="E62" s="311"/>
    </row>
    <row r="63" spans="1:6" ht="70.5" customHeight="1" x14ac:dyDescent="0.25">
      <c r="A63" s="207" t="str">
        <f>IF('Общие данные'!B95='Общие данные'!C95,"_______________  "&amp;'Общие данные'!B113&amp;"","_______________  "&amp;'Общие данные'!B7&amp;"")</f>
        <v>_______________  DJUMANIYAZOV SH A</v>
      </c>
      <c r="B63" s="57"/>
      <c r="C63" s="229" t="str">
        <f>'заявление залогодателя'!A20</f>
        <v xml:space="preserve">№202401526011103 27.12.2024 y sanasidan xususiy faoliyat ko'rsatuvchi notarius tomonidan QORAQALPOG'ISTON RESPUBLIKASI TO'RTKO'L TUMANI TO'RTKO'L KO'CHASI 45-UY KAMALOVA Z.S. berilgan ishonchnomaga asosan </v>
      </c>
      <c r="D63" s="229"/>
      <c r="E63" s="229"/>
    </row>
    <row r="64" spans="1:6" ht="6.75" customHeight="1" x14ac:dyDescent="0.25">
      <c r="D64" s="257"/>
      <c r="E64" s="257"/>
    </row>
  </sheetData>
  <mergeCells count="51">
    <mergeCell ref="A56:C56"/>
    <mergeCell ref="D56:E56"/>
    <mergeCell ref="A27:E27"/>
    <mergeCell ref="A50:C50"/>
    <mergeCell ref="A51:C51"/>
    <mergeCell ref="A52:C52"/>
    <mergeCell ref="D52:E52"/>
    <mergeCell ref="A46:E46"/>
    <mergeCell ref="A47:E47"/>
    <mergeCell ref="E33:E43"/>
    <mergeCell ref="A28:E28"/>
    <mergeCell ref="A48:E48"/>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7:C57"/>
    <mergeCell ref="D57:E57"/>
    <mergeCell ref="A58:C58"/>
    <mergeCell ref="D58:E58"/>
    <mergeCell ref="A59:C59"/>
    <mergeCell ref="D59:E59"/>
    <mergeCell ref="A60:C60"/>
    <mergeCell ref="D60:E60"/>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s>
  <printOptions horizontalCentered="1"/>
  <pageMargins left="0.70866141732283472" right="0.70866141732283472" top="0.74803149606299213" bottom="0.74803149606299213" header="0.31496062992125984" footer="0.31496062992125984"/>
  <pageSetup paperSize="9" scale="64" orientation="portrait" r:id="rId1"/>
  <rowBreaks count="1" manualBreakCount="1">
    <brk id="63" max="4"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topLeftCell="A3" zoomScale="160" zoomScaleSheetLayoutView="160" workbookViewId="0">
      <selection activeCell="A25" sqref="A25:E25"/>
    </sheetView>
  </sheetViews>
  <sheetFormatPr defaultColWidth="9.140625" defaultRowHeight="15" outlineLevelRow="1" x14ac:dyDescent="0.25"/>
  <cols>
    <col min="1" max="1" width="23.85546875" style="16" customWidth="1"/>
    <col min="2" max="2" width="23.28515625" style="16" customWidth="1"/>
    <col min="3" max="3" width="17" style="16" customWidth="1"/>
    <col min="4" max="4" width="17.5703125" style="16" customWidth="1"/>
    <col min="5" max="5" width="19.7109375" style="16" customWidth="1"/>
    <col min="6" max="16384" width="9.140625" style="16"/>
  </cols>
  <sheetData>
    <row r="3" spans="1:5" ht="16.5" customHeight="1" x14ac:dyDescent="0.25"/>
    <row r="4" spans="1:5" ht="17.25" customHeight="1" x14ac:dyDescent="0.25">
      <c r="A4" s="260" t="str">
        <f>""&amp;'Общие данные'!B151&amp;" ijrochi direktorining
"&amp;'Общие данные'!B169&amp;"dagi "&amp;'Общие данные'!B168&amp;"-sonli buyrug‘i"</f>
        <v>«CLEVER MIKROMOLIYA TASHKILOTI» MChJ ijrochi direktorining
6 yanvar 2025 y.dagi №-TR-sonli buyrug‘i</v>
      </c>
      <c r="B4" s="260"/>
      <c r="C4" s="260"/>
      <c r="D4" s="260"/>
      <c r="E4" s="260"/>
    </row>
    <row r="5" spans="1:5" x14ac:dyDescent="0.25">
      <c r="A5" s="260"/>
      <c r="B5" s="260"/>
      <c r="C5" s="260"/>
      <c r="D5" s="260"/>
      <c r="E5" s="260"/>
    </row>
    <row r="6" spans="1:5" x14ac:dyDescent="0.25">
      <c r="A6" s="260"/>
      <c r="B6" s="260"/>
      <c r="C6" s="260"/>
      <c r="D6" s="260"/>
      <c r="E6" s="260"/>
    </row>
    <row r="7" spans="1:5" x14ac:dyDescent="0.25">
      <c r="A7" s="234"/>
      <c r="B7" s="234"/>
      <c r="C7" s="234"/>
      <c r="D7" s="234"/>
      <c r="E7" s="234"/>
    </row>
    <row r="8" spans="1:5" ht="53.25" customHeight="1" x14ac:dyDescent="0.25">
      <c r="A8" s="234" t="str">
        <f>"Men, Abduraximov Nadirbek Kamilevich "&amp;'Общие данные'!B151&amp;" ijrochi direktori, jismoniy shaxs "&amp;'Общие данные'!B10&amp;"ga quyidagi shartlarda "&amp;'Общие данные'!B65&amp;" berishni buyuraman:"</f>
        <v>Men, Abduraximov Nadirbek Kamilevich «CLEVER MIKROMOLIYA TASHKILOTI» MChJ ijrochi direktori, jismoniy shaxs DJUMANIYAZOV SHERIPBAY AYITBAYEVICHga quyidagi shartlarda mikroqarz berishni buyuraman:</v>
      </c>
      <c r="B8" s="234"/>
      <c r="C8" s="234"/>
      <c r="D8" s="234"/>
      <c r="E8" s="234"/>
    </row>
    <row r="9" spans="1:5" ht="26.25" customHeight="1" x14ac:dyDescent="0.25">
      <c r="A9" s="234" t="str">
        <f>'Кредитная заявка'!A13:D13</f>
        <v>Mikroqarz summasi: 35 000 000,00 (o'ttiz besh million so'm) so'm.</v>
      </c>
      <c r="B9" s="234"/>
      <c r="C9" s="234"/>
      <c r="D9" s="234"/>
      <c r="E9" s="234"/>
    </row>
    <row r="10" spans="1:5" ht="21" customHeight="1" x14ac:dyDescent="0.25">
      <c r="A10" s="234" t="str">
        <f>'Кредитная заявка'!A14:D14</f>
        <v>Mikroqarz muddati: 24 (yigira to'rt) oy.</v>
      </c>
      <c r="B10" s="234"/>
      <c r="C10" s="234"/>
      <c r="D10" s="234"/>
      <c r="E10" s="234"/>
    </row>
    <row r="11" spans="1:5" ht="27" customHeight="1" x14ac:dyDescent="0.25">
      <c r="A11" s="234" t="str">
        <f>'Кредитная заявка'!A15:D15</f>
        <v>Mikroqarzdan foydalanganlik uchun foiz stavkasi: yillik  60% (Oltmish) foiz</v>
      </c>
      <c r="B11" s="234"/>
      <c r="C11" s="234"/>
      <c r="D11" s="234"/>
      <c r="E11" s="234"/>
    </row>
    <row r="12" spans="1:5" ht="26.25" customHeight="1" x14ac:dyDescent="0.25">
      <c r="A12" s="234" t="str">
        <f>'Кредитная заявка'!A16:D16</f>
        <v>Mikroqarz bo'yicha asosiy qarz va foizlarni to'lash:</v>
      </c>
      <c r="B12" s="234"/>
      <c r="C12" s="234"/>
      <c r="D12" s="234"/>
      <c r="E12" s="234"/>
    </row>
    <row r="13" spans="1:5" ht="21.75" hidden="1" customHeight="1" x14ac:dyDescent="0.25">
      <c r="A13" s="234" t="str">
        <f>'Кредитная заявка'!A17:D17</f>
        <v xml:space="preserve"> - mikroqarz shartnomasi bo'yicha har oy differensial to'lovlari amalga oshiriladi</v>
      </c>
      <c r="B13" s="234"/>
      <c r="C13" s="234"/>
      <c r="D13" s="234"/>
      <c r="E13" s="234"/>
    </row>
    <row r="14" spans="1:5" hidden="1" x14ac:dyDescent="0.25">
      <c r="A14" s="234" t="str">
        <f>'Кредитная заявка'!A19:D19</f>
        <v xml:space="preserve"> - mikroqarz shartnomasi bo'yicha har oy annuitet to'lovlari amalga oshiriladi</v>
      </c>
      <c r="B14" s="234"/>
      <c r="C14" s="234"/>
      <c r="D14" s="234"/>
      <c r="E14" s="234"/>
    </row>
    <row r="15" spans="1:5" ht="23.25" customHeight="1" x14ac:dyDescent="0.25">
      <c r="A15" s="234" t="str">
        <f>IF('Общие данные'!B104="Avtotransport",'Приказ на сделку'!A14:E14,'Приказ на сделку'!A13:E13)</f>
        <v xml:space="preserve"> - mikroqarz shartnomasi bo'yicha har oy annuitet to'lovlari amalga oshiriladi</v>
      </c>
      <c r="B15" s="234"/>
      <c r="C15" s="234"/>
      <c r="D15" s="234"/>
      <c r="E15" s="234"/>
    </row>
    <row r="16" spans="1:5" ht="45.75" customHeight="1" x14ac:dyDescent="0.25">
      <c r="A16" s="229" t="str">
        <f>IF('Общие данные'!B104='Общие данные'!D104,""&amp;'Общие данные'!C118&amp;"ga tegishli "&amp;'Общие данные'!C127&amp;" ko'rinishidagi ko'chmas mulkni quyidagi ma'lumotlarga muvofiq  garovga qabul qilinsin:",""&amp;'Общие данные'!B118&amp;"ga tegishli "&amp;'Общие данные'!B126&amp;" ko'rinishidagi transport vositasini quyidagi ma'lumotlarga muvofiq garovga qabul qilinsin:")</f>
        <v>MADRAXIMOV XOLMUROD RAMONBERDI O'GLIga tegishli GM UZ / MATIZ DLX ko'rinishidagi transport vositasini quyidagi ma'lumotlarga muvofiq garovga qabul qilinsin:</v>
      </c>
      <c r="B16" s="229"/>
      <c r="C16" s="229"/>
      <c r="D16" s="229"/>
      <c r="E16" s="229"/>
    </row>
    <row r="17" spans="1:5" ht="50.25" hidden="1" customHeight="1" x14ac:dyDescent="0.25">
      <c r="A17" s="234" t="str">
        <f>""&amp;'Общие данные'!C118&amp;"ga tegishli "&amp;'Общие данные'!C127&amp;" ko'rinishidagi ko'chmas mulkni quyidagi ma'lumotlarga muvofiq  garovga qabul qilinsin:"</f>
        <v>0ga tegishli 3 - xonali yakka tartibdagi uy-joy ko'rinishidagi ko'chmas mulkni quyidagi ma'lumotlarga muvofiq  garovga qabul qilinsin:</v>
      </c>
      <c r="B17" s="234"/>
      <c r="C17" s="234"/>
      <c r="D17" s="234"/>
      <c r="E17" s="234"/>
    </row>
    <row r="18" spans="1:5" ht="47.25" hidden="1" customHeight="1" x14ac:dyDescent="0.25">
      <c r="A18" s="234" t="str">
        <f>""&amp;'Общие данные'!B118&amp;"ga tegishli "&amp;'Общие данные'!B126&amp;" ko'rinishidagi transport vositasini quyidagi ma'lumotlarga muvofiq garovga qabul qilinsin:"</f>
        <v>MADRAXIMOV XOLMUROD RAMONBERDI O'GLIga tegishli GM UZ / MATIZ DLX ko'rinishidagi transport vositasini quyidagi ma'lumotlarga muvofiq garovga qabul qilinsin:</v>
      </c>
      <c r="B18" s="234"/>
      <c r="C18" s="234"/>
      <c r="D18" s="234"/>
      <c r="E18" s="234"/>
    </row>
    <row r="19" spans="1:5" s="38" customFormat="1" ht="60" customHeight="1" outlineLevel="1" x14ac:dyDescent="0.2">
      <c r="A19" s="40" t="str">
        <f>'Акт согласования'!A29</f>
        <v>Nomi</v>
      </c>
      <c r="B19" s="40" t="str">
        <f>'Акт согласования'!B29</f>
        <v>Kuzov turi  va kuzov raqami*</v>
      </c>
      <c r="C19" s="40" t="str">
        <f>'Акт согласования'!C29</f>
        <v>Dvigatel va shassi raqami*</v>
      </c>
      <c r="D19" s="40" t="str">
        <f>'Акт согласования'!D29</f>
        <v>Ishlab chiqarilgan yili va rangi*</v>
      </c>
      <c r="E19" s="40" t="str">
        <f>'Акт согласования'!E29</f>
        <v>Kelishilgan garov qiymati, so'm</v>
      </c>
    </row>
    <row r="20" spans="1:5" ht="84.75" customHeight="1" outlineLevel="1" x14ac:dyDescent="0.25">
      <c r="A20" s="18" t="str">
        <f>'Акт согласования'!A30</f>
        <v>GM UZ / MATIZ DLX</v>
      </c>
      <c r="B20" s="18" t="str">
        <f>'Акт согласования'!B30</f>
        <v>kuzov turi - YENGIL SEDAN, kuzov raqami XWB4A11AD8A152643</v>
      </c>
      <c r="C20" s="18" t="str">
        <f>'Акт согласования'!C30</f>
        <v>dvigatel raqami F8CV521561KB1, shassi raqami - RAKAMSIZ</v>
      </c>
      <c r="D20" s="18" t="str">
        <f>'Акт согласования'!D30</f>
        <v>rangi -  OQ-BELAYA KASABLANKA, ishlab chiqarilgan yili - 2007</v>
      </c>
      <c r="E20" s="18" t="str">
        <f>'Акт согласования'!E30</f>
        <v>52 500 000,00 
(ellik ikki million besh yuz ming so'm)</v>
      </c>
    </row>
    <row r="21" spans="1:5" ht="20.25" customHeight="1" outlineLevel="1" x14ac:dyDescent="0.25">
      <c r="A21" s="234" t="str">
        <f>'Акт согласования'!A22:E22</f>
        <v>-* avtotransport egasi: MADRAXIMOV XOLMUROD RAMONBERDI O'GLI</v>
      </c>
      <c r="B21" s="234"/>
      <c r="C21" s="234"/>
      <c r="D21" s="234"/>
      <c r="E21" s="234"/>
    </row>
    <row r="22" spans="1:5" ht="20.25" customHeight="1" outlineLevel="1" x14ac:dyDescent="0.25">
      <c r="A22" s="234" t="str">
        <f>'Акт согласования'!A23:E23</f>
        <v>-* texnik pasport: AAE 0278091 13.04.2018 y.</v>
      </c>
      <c r="B22" s="234"/>
      <c r="C22" s="234"/>
      <c r="D22" s="234"/>
      <c r="E22" s="234"/>
    </row>
    <row r="23" spans="1:5" ht="36" customHeight="1" outlineLevel="1" x14ac:dyDescent="0.25">
      <c r="A23" s="234" t="str">
        <f>'Акт согласования'!A24:E24</f>
        <v>-* roʻyxatdan oʻtgan manzili/garaj manzili: QORAQALPOG'ISTON RESPUBLIKASI TO'RTKO'L TUMANI TOZABOG'YOP OFY</v>
      </c>
      <c r="B23" s="234"/>
      <c r="C23" s="234"/>
      <c r="D23" s="234"/>
      <c r="E23" s="234"/>
    </row>
    <row r="24" spans="1:5" ht="35.25" customHeight="1" outlineLevel="1" x14ac:dyDescent="0.25">
      <c r="A24" s="234" t="str">
        <f>'Акт согласования'!A25:E25</f>
        <v>-* davlat raqami: 95P232GA</v>
      </c>
      <c r="B24" s="234"/>
      <c r="C24" s="234"/>
      <c r="D24" s="234"/>
      <c r="E24" s="234"/>
    </row>
    <row r="25" spans="1:5" ht="31.15" customHeight="1" x14ac:dyDescent="0.25">
      <c r="A25" s="229" t="str">
        <f>"	«"&amp;'Общие данные'!B147&amp;"» АJ sug‘urta kompaniyasi bilan Mikroqarz to'lamaslik xavfini "&amp;FIXED('Общие данные'!B148,2)&amp;"("&amp;'Общие данные'!B149&amp;") so'm miqdoriga sug’urta qilish shartnomasi tuzilsin"</f>
        <v xml:space="preserve">	«KAPITAL SUG'URTA» АJ sug‘urta kompaniyasi bilan Mikroqarz to'lamaslik xavfini 10 000 000,00(o'n million so'm) so'm miqdoriga sug’urta qilish shartnomasi tuzilsin</v>
      </c>
      <c r="B25" s="229"/>
      <c r="C25" s="229"/>
      <c r="D25" s="229"/>
      <c r="E25" s="229"/>
    </row>
    <row r="26" spans="1:5" s="38" customFormat="1" ht="41.25" hidden="1" customHeight="1" outlineLevel="1" x14ac:dyDescent="0.2">
      <c r="A26" s="40" t="s">
        <v>206</v>
      </c>
      <c r="B26" s="40" t="s">
        <v>263</v>
      </c>
      <c r="C26" s="40" t="s">
        <v>280</v>
      </c>
      <c r="D26" s="40" t="s">
        <v>209</v>
      </c>
      <c r="E26" s="40" t="str">
        <f>'Акт согласования'!E29</f>
        <v>Kelishilgan garov qiymati, so'm</v>
      </c>
    </row>
    <row r="27" spans="1:5" hidden="1" outlineLevel="1" x14ac:dyDescent="0.25">
      <c r="A27" s="18" t="e">
        <f>'Акт согласования'!A33</f>
        <v>#REF!</v>
      </c>
      <c r="B27" s="122" t="e">
        <f>'Акт согласования'!B33</f>
        <v>#REF!</v>
      </c>
      <c r="C27" s="122" t="e">
        <f>'Акт согласования'!C33</f>
        <v>#REF!</v>
      </c>
      <c r="D27" s="122" t="e">
        <f>'Акт согласования'!D33</f>
        <v>#REF!</v>
      </c>
      <c r="E27" s="266" t="str">
        <f>'Акт согласования'!E33</f>
        <v>52 500 000,00 (ellik ikki million besh yuz ming so'm)</v>
      </c>
    </row>
    <row r="28" spans="1:5" hidden="1" outlineLevel="1" x14ac:dyDescent="0.25">
      <c r="A28" s="18">
        <f>'Акт согласования'!A34</f>
        <v>0</v>
      </c>
      <c r="B28" s="122">
        <f>'Акт согласования'!B34</f>
        <v>0</v>
      </c>
      <c r="C28" s="122">
        <f>'Акт согласования'!C34</f>
        <v>0</v>
      </c>
      <c r="D28" s="122">
        <f>'Акт согласования'!D34</f>
        <v>0</v>
      </c>
      <c r="E28" s="266"/>
    </row>
    <row r="29" spans="1:5" hidden="1" outlineLevel="1" x14ac:dyDescent="0.25">
      <c r="A29" s="18" t="e">
        <f>'Акт согласования'!A35</f>
        <v>#REF!</v>
      </c>
      <c r="B29" s="122" t="e">
        <f>'Акт согласования'!B35</f>
        <v>#REF!</v>
      </c>
      <c r="C29" s="122" t="e">
        <f>'Акт согласования'!C35</f>
        <v>#REF!</v>
      </c>
      <c r="D29" s="122" t="e">
        <f>'Акт согласования'!D35</f>
        <v>#REF!</v>
      </c>
      <c r="E29" s="266"/>
    </row>
    <row r="30" spans="1:5" hidden="1" outlineLevel="1" x14ac:dyDescent="0.25">
      <c r="A30" s="18" t="e">
        <f>'Акт согласования'!A36</f>
        <v>#REF!</v>
      </c>
      <c r="B30" s="122" t="e">
        <f>'Акт согласования'!B36</f>
        <v>#REF!</v>
      </c>
      <c r="C30" s="122" t="e">
        <f>'Акт согласования'!C36</f>
        <v>#REF!</v>
      </c>
      <c r="D30" s="122" t="e">
        <f>'Акт согласования'!D36</f>
        <v>#REF!</v>
      </c>
      <c r="E30" s="266"/>
    </row>
    <row r="31" spans="1:5" hidden="1" outlineLevel="1" x14ac:dyDescent="0.25">
      <c r="A31" s="18" t="e">
        <f>'Акт согласования'!A37</f>
        <v>#REF!</v>
      </c>
      <c r="B31" s="122" t="e">
        <f>'Акт согласования'!B37</f>
        <v>#REF!</v>
      </c>
      <c r="C31" s="122" t="e">
        <f>'Акт согласования'!C37</f>
        <v>#REF!</v>
      </c>
      <c r="D31" s="122" t="e">
        <f>'Акт согласования'!D37</f>
        <v>#REF!</v>
      </c>
      <c r="E31" s="266"/>
    </row>
    <row r="32" spans="1:5" hidden="1" outlineLevel="1" x14ac:dyDescent="0.25">
      <c r="A32" s="18" t="e">
        <f>'Акт согласования'!A38</f>
        <v>#REF!</v>
      </c>
      <c r="B32" s="122" t="e">
        <f>'Акт согласования'!B38</f>
        <v>#REF!</v>
      </c>
      <c r="C32" s="122" t="e">
        <f>'Акт согласования'!C38</f>
        <v>#REF!</v>
      </c>
      <c r="D32" s="122" t="e">
        <f>'Акт согласования'!D38</f>
        <v>#REF!</v>
      </c>
      <c r="E32" s="266"/>
    </row>
    <row r="33" spans="1:5" hidden="1" outlineLevel="1" x14ac:dyDescent="0.25">
      <c r="A33" s="18" t="e">
        <f>'Акт согласования'!A39</f>
        <v>#REF!</v>
      </c>
      <c r="B33" s="122" t="e">
        <f>'Акт согласования'!B39</f>
        <v>#REF!</v>
      </c>
      <c r="C33" s="122" t="e">
        <f>'Акт согласования'!C39</f>
        <v>#REF!</v>
      </c>
      <c r="D33" s="122" t="e">
        <f>'Акт согласования'!D39</f>
        <v>#REF!</v>
      </c>
      <c r="E33" s="266"/>
    </row>
    <row r="34" spans="1:5" hidden="1" outlineLevel="1" x14ac:dyDescent="0.25">
      <c r="A34" s="18" t="e">
        <f>'Акт согласования'!A40</f>
        <v>#REF!</v>
      </c>
      <c r="B34" s="122" t="e">
        <f>'Акт согласования'!B40</f>
        <v>#REF!</v>
      </c>
      <c r="C34" s="122" t="e">
        <f>'Акт согласования'!C40</f>
        <v>#REF!</v>
      </c>
      <c r="D34" s="122" t="e">
        <f>'Акт согласования'!D40</f>
        <v>#REF!</v>
      </c>
      <c r="E34" s="266"/>
    </row>
    <row r="35" spans="1:5" hidden="1" outlineLevel="1" x14ac:dyDescent="0.25">
      <c r="A35" s="18" t="e">
        <f>'Акт согласования'!A41</f>
        <v>#REF!</v>
      </c>
      <c r="B35" s="122" t="e">
        <f>'Акт согласования'!B41</f>
        <v>#REF!</v>
      </c>
      <c r="C35" s="122" t="e">
        <f>'Акт согласования'!C41</f>
        <v>#REF!</v>
      </c>
      <c r="D35" s="122" t="e">
        <f>'Акт согласования'!D41</f>
        <v>#REF!</v>
      </c>
      <c r="E35" s="266"/>
    </row>
    <row r="36" spans="1:5" hidden="1" outlineLevel="1" x14ac:dyDescent="0.25">
      <c r="A36" s="18" t="e">
        <f>'Акт согласования'!A42</f>
        <v>#REF!</v>
      </c>
      <c r="B36" s="122" t="e">
        <f>'Акт согласования'!B42</f>
        <v>#REF!</v>
      </c>
      <c r="C36" s="122" t="e">
        <f>'Акт согласования'!C42</f>
        <v>#REF!</v>
      </c>
      <c r="D36" s="122" t="e">
        <f>'Акт согласования'!D42</f>
        <v>#REF!</v>
      </c>
      <c r="E36" s="266"/>
    </row>
    <row r="37" spans="1:5" hidden="1" outlineLevel="1" x14ac:dyDescent="0.25">
      <c r="A37" s="18" t="e">
        <f>'Акт согласования'!A43</f>
        <v>#REF!</v>
      </c>
      <c r="B37" s="18" t="e">
        <f>'Акт согласования'!B43</f>
        <v>#REF!</v>
      </c>
      <c r="C37" s="18" t="e">
        <f>'Акт согласования'!C43</f>
        <v>#REF!</v>
      </c>
      <c r="D37" s="18" t="e">
        <f>'Акт согласования'!D43</f>
        <v>#REF!</v>
      </c>
      <c r="E37" s="266"/>
    </row>
    <row r="38" spans="1:5" s="38" customFormat="1" ht="14.25" hidden="1" outlineLevel="1" x14ac:dyDescent="0.2">
      <c r="A38" s="40" t="e">
        <f>'Акт согласования'!A44</f>
        <v>#REF!</v>
      </c>
      <c r="B38" s="40" t="e">
        <f>'Акт согласования'!B44</f>
        <v>#REF!</v>
      </c>
      <c r="C38" s="40" t="e">
        <f>'Акт согласования'!C44</f>
        <v>#REF!</v>
      </c>
      <c r="D38" s="40" t="e">
        <f>'Акт согласования'!D44</f>
        <v>#REF!</v>
      </c>
      <c r="E38" s="40" t="str">
        <f>'Акт согласования'!E44</f>
        <v>52 500 000,00</v>
      </c>
    </row>
    <row r="39" spans="1:5" s="38" customFormat="1" ht="15" hidden="1" customHeight="1" outlineLevel="1" x14ac:dyDescent="0.2">
      <c r="A39" s="234" t="e">
        <f>_xlfn.SINGLE('Акт согласования'!#REF!)</f>
        <v>#REF!</v>
      </c>
      <c r="B39" s="234"/>
      <c r="C39" s="234"/>
      <c r="D39" s="234"/>
      <c r="E39" s="234"/>
    </row>
    <row r="40" spans="1:5" s="38" customFormat="1" hidden="1" outlineLevel="1" x14ac:dyDescent="0.2">
      <c r="A40" s="234" t="e">
        <f>_xlfn.SINGLE('Акт согласования'!#REF!)</f>
        <v>#REF!</v>
      </c>
      <c r="B40" s="234"/>
      <c r="C40" s="234"/>
      <c r="D40" s="234"/>
      <c r="E40" s="234"/>
    </row>
    <row r="41" spans="1:5" s="38" customFormat="1" hidden="1" outlineLevel="1" x14ac:dyDescent="0.2">
      <c r="A41" s="234" t="e">
        <f>_xlfn.SINGLE('Акт согласования'!#REF!)</f>
        <v>#REF!</v>
      </c>
      <c r="B41" s="234"/>
      <c r="C41" s="234"/>
      <c r="D41" s="234"/>
      <c r="E41" s="234"/>
    </row>
    <row r="42" spans="1:5" s="38" customFormat="1" hidden="1" outlineLevel="1" x14ac:dyDescent="0.2">
      <c r="A42" s="234" t="e">
        <f>_xlfn.SINGLE('Акт согласования'!#REF!)</f>
        <v>#REF!</v>
      </c>
      <c r="B42" s="234"/>
      <c r="C42" s="234"/>
      <c r="D42" s="234"/>
      <c r="E42" s="234"/>
    </row>
    <row r="43" spans="1:5" s="38" customFormat="1" collapsed="1" x14ac:dyDescent="0.2">
      <c r="A43" s="234"/>
      <c r="B43" s="234"/>
      <c r="C43" s="234"/>
      <c r="D43" s="234"/>
      <c r="E43" s="234"/>
    </row>
    <row r="44" spans="1:5" s="38" customFormat="1" x14ac:dyDescent="0.2">
      <c r="A44" s="234"/>
      <c r="B44" s="234"/>
      <c r="C44" s="234"/>
      <c r="D44" s="234"/>
      <c r="E44" s="234"/>
    </row>
    <row r="45" spans="1:5" s="38" customFormat="1" hidden="1" x14ac:dyDescent="0.2">
      <c r="A45" s="234"/>
      <c r="B45" s="234"/>
      <c r="C45" s="234"/>
      <c r="D45" s="234"/>
      <c r="E45" s="234"/>
    </row>
    <row r="46" spans="1:5" s="38" customFormat="1" ht="14.25" hidden="1" x14ac:dyDescent="0.2">
      <c r="A46" s="54"/>
      <c r="B46" s="54"/>
      <c r="C46" s="54"/>
      <c r="D46" s="54"/>
      <c r="E46" s="54"/>
    </row>
    <row r="47" spans="1:5" hidden="1" x14ac:dyDescent="0.25">
      <c r="A47" s="234"/>
      <c r="B47" s="234"/>
      <c r="C47" s="234"/>
      <c r="D47" s="234"/>
      <c r="E47" s="234"/>
    </row>
    <row r="48" spans="1:5" ht="15" customHeight="1" x14ac:dyDescent="0.25">
      <c r="A48" s="311" t="s">
        <v>380</v>
      </c>
      <c r="B48" s="311"/>
      <c r="C48" s="311"/>
      <c r="D48" s="321"/>
      <c r="E48" s="321"/>
    </row>
    <row r="49" spans="1:5" ht="15" customHeight="1" x14ac:dyDescent="0.25">
      <c r="A49" s="311" t="s">
        <v>390</v>
      </c>
      <c r="B49" s="311"/>
      <c r="C49" s="311"/>
      <c r="D49" s="321" t="s">
        <v>400</v>
      </c>
      <c r="E49" s="321"/>
    </row>
    <row r="50" spans="1:5" x14ac:dyDescent="0.25">
      <c r="A50" s="234"/>
      <c r="B50" s="234"/>
      <c r="C50" s="234"/>
      <c r="D50" s="234"/>
      <c r="E50" s="234"/>
    </row>
    <row r="51" spans="1:5" x14ac:dyDescent="0.25">
      <c r="A51" s="234"/>
      <c r="B51" s="234"/>
      <c r="C51" s="234"/>
      <c r="D51" s="234"/>
      <c r="E51" s="234"/>
    </row>
    <row r="52" spans="1:5" x14ac:dyDescent="0.25">
      <c r="A52" s="234"/>
      <c r="B52" s="234"/>
      <c r="C52" s="234"/>
      <c r="D52" s="234"/>
      <c r="E52" s="234"/>
    </row>
    <row r="53" spans="1:5" x14ac:dyDescent="0.25">
      <c r="A53" s="234"/>
      <c r="B53" s="234"/>
      <c r="C53" s="234"/>
      <c r="D53" s="234"/>
      <c r="E53" s="234"/>
    </row>
    <row r="54" spans="1:5" x14ac:dyDescent="0.25">
      <c r="A54" s="234"/>
      <c r="B54" s="234"/>
      <c r="C54" s="234"/>
      <c r="D54" s="234"/>
      <c r="E54" s="234"/>
    </row>
    <row r="55" spans="1:5" x14ac:dyDescent="0.25">
      <c r="A55" s="234"/>
      <c r="B55" s="234"/>
      <c r="C55" s="234"/>
      <c r="D55" s="234"/>
      <c r="E55" s="234"/>
    </row>
  </sheetData>
  <mergeCells count="37">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12:E12"/>
    <mergeCell ref="A53:E53"/>
    <mergeCell ref="A21:E21"/>
    <mergeCell ref="A15:E15"/>
    <mergeCell ref="A17:E17"/>
    <mergeCell ref="A16:E16"/>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6" zoomScaleSheetLayoutView="100" workbookViewId="0">
      <selection activeCell="P15" sqref="P15"/>
    </sheetView>
  </sheetViews>
  <sheetFormatPr defaultColWidth="9.140625" defaultRowHeight="15" x14ac:dyDescent="0.25"/>
  <cols>
    <col min="1" max="1" width="3.42578125" style="16" customWidth="1"/>
    <col min="2" max="3" width="17.85546875" style="21" customWidth="1"/>
    <col min="4" max="4" width="15" style="21" customWidth="1"/>
    <col min="5" max="5" width="17.85546875" style="21" customWidth="1"/>
    <col min="6" max="6" width="9" style="21" customWidth="1"/>
    <col min="7" max="7" width="4.7109375" style="21" customWidth="1"/>
    <col min="8" max="16384" width="9.140625" style="16"/>
  </cols>
  <sheetData>
    <row r="1" spans="2:7" ht="15.75" thickBot="1" x14ac:dyDescent="0.3"/>
    <row r="2" spans="2:7" ht="62.25" customHeight="1" x14ac:dyDescent="0.35">
      <c r="B2" s="332" t="str">
        <f>'Общие данные'!B152</f>
        <v>«CLEVER MIKROMOLIYA TASHKILOTI» MChJ</v>
      </c>
      <c r="C2" s="333"/>
      <c r="D2" s="333"/>
      <c r="E2" s="333"/>
      <c r="F2" s="334"/>
      <c r="G2" s="42"/>
    </row>
    <row r="3" spans="2:7" x14ac:dyDescent="0.25">
      <c r="B3" s="325"/>
      <c r="C3" s="259"/>
      <c r="D3" s="259"/>
      <c r="E3" s="259"/>
      <c r="F3" s="326"/>
      <c r="G3" s="43"/>
    </row>
    <row r="4" spans="2:7" ht="8.25" customHeight="1" x14ac:dyDescent="0.25">
      <c r="B4" s="58"/>
      <c r="F4" s="59"/>
      <c r="G4" s="43"/>
    </row>
    <row r="5" spans="2:7" ht="12" customHeight="1" x14ac:dyDescent="0.25">
      <c r="B5" s="45"/>
      <c r="C5" s="43"/>
      <c r="D5" s="43"/>
      <c r="E5" s="43"/>
      <c r="F5" s="46"/>
      <c r="G5" s="43"/>
    </row>
    <row r="6" spans="2:7" ht="6.75" customHeight="1" x14ac:dyDescent="0.25">
      <c r="B6" s="45"/>
      <c r="C6" s="43"/>
      <c r="D6" s="43"/>
      <c r="E6" s="43"/>
      <c r="F6" s="46"/>
      <c r="G6" s="43"/>
    </row>
    <row r="7" spans="2:7" ht="6.75" customHeight="1" x14ac:dyDescent="0.25">
      <c r="B7" s="45"/>
      <c r="C7" s="43"/>
      <c r="D7" s="43"/>
      <c r="E7" s="43"/>
      <c r="F7" s="46"/>
      <c r="G7" s="43"/>
    </row>
    <row r="8" spans="2:7" x14ac:dyDescent="0.25">
      <c r="B8" s="45"/>
      <c r="C8" s="43"/>
      <c r="D8" s="43"/>
      <c r="E8" s="43"/>
      <c r="F8" s="46"/>
      <c r="G8" s="43"/>
    </row>
    <row r="9" spans="2:7" x14ac:dyDescent="0.25">
      <c r="B9" s="45"/>
      <c r="C9" s="43"/>
      <c r="D9" s="43"/>
      <c r="E9" s="43"/>
      <c r="F9" s="46"/>
      <c r="G9" s="43"/>
    </row>
    <row r="10" spans="2:7" x14ac:dyDescent="0.25">
      <c r="B10" s="325" t="s">
        <v>27</v>
      </c>
      <c r="C10" s="259"/>
      <c r="D10" s="259"/>
      <c r="E10" s="259"/>
      <c r="F10" s="326"/>
      <c r="G10" s="43"/>
    </row>
    <row r="11" spans="2:7" x14ac:dyDescent="0.25">
      <c r="B11" s="325" t="s">
        <v>27</v>
      </c>
      <c r="C11" s="259"/>
      <c r="D11" s="259"/>
      <c r="E11" s="259"/>
      <c r="F11" s="326"/>
      <c r="G11" s="43"/>
    </row>
    <row r="12" spans="2:7" ht="135" customHeight="1" x14ac:dyDescent="0.8">
      <c r="B12" s="335" t="str">
        <f>'Общие данные'!B5</f>
        <v>DJUMANIYAZOV SHERIPBAY AYITBAYEVICH</v>
      </c>
      <c r="C12" s="336"/>
      <c r="D12" s="336"/>
      <c r="E12" s="336"/>
      <c r="F12" s="337"/>
      <c r="G12" s="44"/>
    </row>
    <row r="13" spans="2:7" x14ac:dyDescent="0.25">
      <c r="B13" s="325"/>
      <c r="C13" s="259"/>
      <c r="D13" s="259"/>
      <c r="E13" s="259"/>
      <c r="F13" s="326"/>
      <c r="G13" s="43"/>
    </row>
    <row r="14" spans="2:7" x14ac:dyDescent="0.25">
      <c r="B14" s="45"/>
      <c r="C14" s="43"/>
      <c r="D14" s="43"/>
      <c r="E14" s="43"/>
      <c r="F14" s="46"/>
      <c r="G14" s="43"/>
    </row>
    <row r="15" spans="2:7" x14ac:dyDescent="0.25">
      <c r="B15" s="45"/>
      <c r="C15" s="43"/>
      <c r="D15" s="43"/>
      <c r="E15" s="43"/>
      <c r="F15" s="46"/>
      <c r="G15" s="43"/>
    </row>
    <row r="16" spans="2:7" x14ac:dyDescent="0.25">
      <c r="B16" s="45"/>
      <c r="C16" s="43"/>
      <c r="D16" s="43"/>
      <c r="E16" s="43"/>
      <c r="F16" s="46"/>
      <c r="G16" s="43"/>
    </row>
    <row r="17" spans="2:7" x14ac:dyDescent="0.25">
      <c r="B17" s="45"/>
      <c r="C17" s="43"/>
      <c r="D17" s="43"/>
      <c r="E17" s="43"/>
      <c r="F17" s="46"/>
      <c r="G17" s="43"/>
    </row>
    <row r="18" spans="2:7" x14ac:dyDescent="0.25">
      <c r="B18" s="325"/>
      <c r="C18" s="259"/>
      <c r="D18" s="259"/>
      <c r="E18" s="259"/>
      <c r="F18" s="326"/>
      <c r="G18" s="43"/>
    </row>
    <row r="19" spans="2:7" ht="20.25" x14ac:dyDescent="0.3">
      <c r="B19" s="329" t="str">
        <f>""&amp;'Общие данные'!C64&amp;" shartnoma "&amp;'Общие данные'!B74&amp;""</f>
        <v>Mikroqarz shartnoma 6 yanvar 2025 y.dan №-TR</v>
      </c>
      <c r="C19" s="330"/>
      <c r="D19" s="330"/>
      <c r="E19" s="330"/>
      <c r="F19" s="331"/>
      <c r="G19" s="43"/>
    </row>
    <row r="20" spans="2:7" x14ac:dyDescent="0.25">
      <c r="B20" s="325"/>
      <c r="C20" s="259"/>
      <c r="D20" s="259"/>
      <c r="E20" s="259"/>
      <c r="F20" s="326"/>
      <c r="G20" s="43"/>
    </row>
    <row r="21" spans="2:7" x14ac:dyDescent="0.25">
      <c r="B21" s="325"/>
      <c r="C21" s="259"/>
      <c r="D21" s="259"/>
      <c r="E21" s="259"/>
      <c r="F21" s="326"/>
      <c r="G21" s="43"/>
    </row>
    <row r="22" spans="2:7" x14ac:dyDescent="0.25">
      <c r="B22" s="325"/>
      <c r="C22" s="259"/>
      <c r="D22" s="259"/>
      <c r="E22" s="259"/>
      <c r="F22" s="326"/>
      <c r="G22" s="43"/>
    </row>
    <row r="23" spans="2:7" x14ac:dyDescent="0.25">
      <c r="B23" s="325"/>
      <c r="C23" s="259"/>
      <c r="D23" s="259"/>
      <c r="E23" s="259"/>
      <c r="F23" s="326"/>
      <c r="G23" s="43"/>
    </row>
    <row r="24" spans="2:7" x14ac:dyDescent="0.25">
      <c r="B24" s="327" t="str">
        <f>" Foiz stavkasi: "&amp;'Общие данные'!B86&amp;"%"</f>
        <v xml:space="preserve"> Foiz stavkasi: 60%</v>
      </c>
      <c r="C24" s="233"/>
      <c r="D24" s="233"/>
      <c r="E24" s="233"/>
      <c r="F24" s="328"/>
      <c r="G24" s="43"/>
    </row>
    <row r="25" spans="2:7" ht="15" customHeight="1" x14ac:dyDescent="0.25">
      <c r="B25" s="327" t="str">
        <f>" "&amp;'Общие данные'!C64&amp;" muddati: "&amp;'Общие данные'!B82&amp;" oy"</f>
        <v xml:space="preserve"> Mikroqarz muddati: 24 oy</v>
      </c>
      <c r="C25" s="233"/>
      <c r="D25" s="233"/>
      <c r="E25" s="233"/>
      <c r="F25" s="328"/>
      <c r="G25" s="43"/>
    </row>
    <row r="26" spans="2:7" x14ac:dyDescent="0.25">
      <c r="B26" s="327" t="str">
        <f>" "&amp;'Общие данные'!C64&amp;" miqdori: "&amp;FIXED('Общие данные'!B76,2)&amp;" so'm"</f>
        <v xml:space="preserve"> Mikroqarz miqdori: 35 000 000,00 so'm</v>
      </c>
      <c r="C26" s="233"/>
      <c r="D26" s="233"/>
      <c r="E26" s="233"/>
      <c r="F26" s="328"/>
      <c r="G26" s="43"/>
    </row>
    <row r="27" spans="2:7" x14ac:dyDescent="0.25">
      <c r="B27" s="325"/>
      <c r="C27" s="259"/>
      <c r="D27" s="259"/>
      <c r="E27" s="259"/>
      <c r="F27" s="326"/>
      <c r="G27" s="43"/>
    </row>
    <row r="28" spans="2:7" hidden="1" x14ac:dyDescent="0.25">
      <c r="G28" s="43"/>
    </row>
    <row r="29" spans="2:7" x14ac:dyDescent="0.25">
      <c r="B29" s="325"/>
      <c r="C29" s="259"/>
      <c r="D29" s="259"/>
      <c r="E29" s="259"/>
      <c r="F29" s="326"/>
      <c r="G29" s="43"/>
    </row>
    <row r="30" spans="2:7" ht="12.75" customHeight="1" x14ac:dyDescent="0.25">
      <c r="B30" s="45"/>
      <c r="C30" s="43"/>
      <c r="D30" s="43"/>
      <c r="E30" s="43"/>
      <c r="F30" s="46"/>
      <c r="G30" s="43"/>
    </row>
    <row r="31" spans="2:7" x14ac:dyDescent="0.25">
      <c r="B31" s="45"/>
      <c r="C31" s="43"/>
      <c r="D31" s="43"/>
      <c r="E31" s="43"/>
      <c r="F31" s="46"/>
      <c r="G31" s="43"/>
    </row>
    <row r="32" spans="2:7" ht="2.25" customHeight="1" x14ac:dyDescent="0.25">
      <c r="B32" s="45"/>
      <c r="C32" s="43"/>
      <c r="D32" s="43"/>
      <c r="E32" s="43"/>
      <c r="F32" s="46"/>
      <c r="G32" s="43"/>
    </row>
    <row r="33" spans="2:7" x14ac:dyDescent="0.25">
      <c r="B33" s="45"/>
      <c r="C33" s="43"/>
      <c r="D33" s="43"/>
      <c r="E33" s="43"/>
      <c r="F33" s="46"/>
      <c r="G33" s="43"/>
    </row>
    <row r="34" spans="2:7" x14ac:dyDescent="0.25">
      <c r="B34" s="45"/>
      <c r="C34" s="43"/>
      <c r="D34" s="43"/>
      <c r="E34" s="43"/>
      <c r="F34" s="46"/>
      <c r="G34" s="43"/>
    </row>
    <row r="35" spans="2:7" x14ac:dyDescent="0.25">
      <c r="B35" s="45"/>
      <c r="C35" s="43"/>
      <c r="D35" s="43"/>
      <c r="E35" s="43"/>
      <c r="F35" s="46"/>
      <c r="G35" s="43"/>
    </row>
    <row r="36" spans="2:7" x14ac:dyDescent="0.25">
      <c r="B36" s="45"/>
      <c r="C36" s="43"/>
      <c r="D36" s="43"/>
      <c r="E36" s="43"/>
      <c r="F36" s="46"/>
      <c r="G36" s="43"/>
    </row>
    <row r="37" spans="2:7" x14ac:dyDescent="0.25">
      <c r="B37" s="45"/>
      <c r="C37" s="43"/>
      <c r="D37" s="43"/>
      <c r="E37" s="43"/>
      <c r="F37" s="46"/>
      <c r="G37" s="43"/>
    </row>
    <row r="38" spans="2:7" x14ac:dyDescent="0.25">
      <c r="B38" s="45"/>
      <c r="C38" s="43"/>
      <c r="D38" s="43"/>
      <c r="E38" s="43"/>
      <c r="F38" s="46"/>
      <c r="G38" s="43"/>
    </row>
    <row r="39" spans="2:7" x14ac:dyDescent="0.25">
      <c r="B39" s="45"/>
      <c r="C39" s="43"/>
      <c r="D39" s="43"/>
      <c r="E39" s="43"/>
      <c r="F39" s="46"/>
      <c r="G39" s="43"/>
    </row>
    <row r="40" spans="2:7" ht="15.75" thickBot="1" x14ac:dyDescent="0.3">
      <c r="B40" s="322" t="str">
        <f>"Toshkent sh., "&amp;'Общие данные'!B70&amp;""</f>
        <v>Toshkent sh., 6 yanvar 2025 y.</v>
      </c>
      <c r="C40" s="323"/>
      <c r="D40" s="323"/>
      <c r="E40" s="323"/>
      <c r="F40" s="324"/>
      <c r="G40" s="43"/>
    </row>
    <row r="41" spans="2:7" x14ac:dyDescent="0.25">
      <c r="B41" s="259"/>
      <c r="C41" s="259"/>
      <c r="D41" s="259"/>
      <c r="E41" s="259"/>
      <c r="F41" s="259"/>
      <c r="G41" s="43"/>
    </row>
    <row r="42" spans="2:7" x14ac:dyDescent="0.25">
      <c r="B42" s="259"/>
      <c r="C42" s="259"/>
      <c r="D42" s="259"/>
      <c r="E42" s="259"/>
      <c r="F42" s="259"/>
      <c r="G42" s="43"/>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x14ac:dyDescent="0.25"/>
  <cols>
    <col min="1" max="1" width="33.85546875" style="16" customWidth="1"/>
    <col min="2" max="2" width="21.28515625" style="16" customWidth="1"/>
    <col min="3" max="3" width="19.140625" style="16" customWidth="1"/>
    <col min="4" max="5" width="21.28515625" style="16" customWidth="1"/>
    <col min="6" max="16384" width="9.140625" style="16"/>
  </cols>
  <sheetData>
    <row r="2" spans="1:5" x14ac:dyDescent="0.25">
      <c r="A2" s="119" t="s">
        <v>49</v>
      </c>
    </row>
    <row r="3" spans="1:5" x14ac:dyDescent="0.25">
      <c r="A3" s="119" t="s">
        <v>50</v>
      </c>
    </row>
    <row r="6" spans="1:5" ht="20.25" customHeight="1" x14ac:dyDescent="0.25">
      <c r="E6" s="120" t="s">
        <v>36</v>
      </c>
    </row>
    <row r="7" spans="1:5" x14ac:dyDescent="0.25">
      <c r="E7" s="120" t="s">
        <v>51</v>
      </c>
    </row>
    <row r="9" spans="1:5" ht="107.25" customHeight="1" x14ac:dyDescent="0.25">
      <c r="A9" s="339"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данные'!B76)&amp;" ("&amp;'Общие данные'!B77&amp;") сум, сроком на "&amp;'Общие данные'!B82&amp;" ("&amp;'Общие данные'!B83&amp;")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данные'!B104='Общие данные'!C104,"автотранспортного средство марки "&amp;'Общие данные'!B126&amp;" принадлежащее на правах собственности "&amp;'Общие данные'!B118&amp;"","недвижимого имущества в виде "&amp;'Общие данные'!C127&amp;", общей площадью - "&amp;'Общие данные'!C131&amp;" и жилой площадью - "&amp;'Общие данные'!C134&amp;", расположенного по адресу: "&amp;'Общие данные'!C124&amp;", принадлежащее на правах собственности "&amp;'Общие данные'!C118&amp;".")</f>
        <v xml:space="preserve">          Между ООО «Clever Mikrokredit Tashkiloti» и DJUMANIYAZOV SHERIPBAY AYITBAYEVICH  (паспорт: KA 1247502 QORAQALPOG'ISTON RESPUBLIKASI TO'RTKO'L TUMANI IIB tomonidan 02.01.2019 yilda berilgan) заключен договор микрозайма 6 yanvar 2025 y.dan №-TR, на сумму 35 000 000,00 (o'ttiz besh million so'm) сум, сроком на 24 (yigira to'rt) месяцев. В качестве своевременного исполнения обязательств по договору Микрозайма 6 yanvar 2025 y.dan №-TR планирует предоставить нижеследующее автотранспортного средство марки GM UZ / MATIZ DLX принадлежащее на правах собственности MADRAXIMOV XOLMUROD RAMONBERDI O'GLI</v>
      </c>
      <c r="B9" s="339"/>
      <c r="C9" s="339"/>
      <c r="D9" s="339"/>
      <c r="E9" s="339"/>
    </row>
    <row r="11" spans="1:5" ht="28.5" x14ac:dyDescent="0.25">
      <c r="A11" s="40" t="str">
        <f>'Приказ на сделку'!A19</f>
        <v>Nomi</v>
      </c>
      <c r="B11" s="40" t="str">
        <f>'Приказ на сделку'!B19</f>
        <v>Kuzov turi  va kuzov raqami*</v>
      </c>
      <c r="C11" s="40" t="str">
        <f>'Приказ на сделку'!C19</f>
        <v>Dvigatel va shassi raqami*</v>
      </c>
      <c r="D11" s="40" t="str">
        <f>'Приказ на сделку'!D19</f>
        <v>Ishlab chiqarilgan yili va rangi*</v>
      </c>
      <c r="E11" s="40" t="str">
        <f>'Приказ на сделку'!E19</f>
        <v>Kelishilgan garov qiymati, so'm</v>
      </c>
    </row>
    <row r="12" spans="1:5" ht="73.5" customHeight="1" x14ac:dyDescent="0.25">
      <c r="A12" s="40" t="str">
        <f>'Приказ на сделку'!A20</f>
        <v>GM UZ / MATIZ DLX</v>
      </c>
      <c r="B12" s="40" t="str">
        <f>'Приказ на сделку'!B20</f>
        <v>kuzov turi - YENGIL SEDAN, kuzov raqami XWB4A11AD8A152643</v>
      </c>
      <c r="C12" s="40" t="str">
        <f>'Приказ на сделку'!C20</f>
        <v>dvigatel raqami F8CV521561KB1, shassi raqami - RAKAMSIZ</v>
      </c>
      <c r="D12" s="40" t="str">
        <f>'Приказ на сделку'!D20</f>
        <v>rangi -  OQ-BELAYA KASABLANKA, ishlab chiqarilgan yili - 2007</v>
      </c>
      <c r="E12" s="40" t="str">
        <f>'Приказ на сделку'!E20</f>
        <v>52 500 000,00 
(ellik ikki million besh yuz ming so'm)</v>
      </c>
    </row>
    <row r="13" spans="1:5" x14ac:dyDescent="0.25">
      <c r="A13" s="343" t="str">
        <f>'Приказ на сделку'!A21:E21</f>
        <v>-* avtotransport egasi: MADRAXIMOV XOLMUROD RAMONBERDI O'GLI</v>
      </c>
      <c r="B13" s="343"/>
      <c r="C13" s="343"/>
      <c r="D13" s="343"/>
      <c r="E13" s="343"/>
    </row>
    <row r="14" spans="1:5" x14ac:dyDescent="0.25">
      <c r="A14" s="343" t="str">
        <f>'Приказ на сделку'!A22:E22</f>
        <v>-* texnik pasport: AAE 0278091 13.04.2018 y.</v>
      </c>
      <c r="B14" s="343"/>
      <c r="C14" s="343"/>
      <c r="D14" s="343"/>
      <c r="E14" s="343"/>
    </row>
    <row r="15" spans="1:5" x14ac:dyDescent="0.25">
      <c r="A15" s="343" t="str">
        <f>'Приказ на сделку'!A23:E23</f>
        <v>-* roʻyxatdan oʻtgan manzili/garaj manzili: QORAQALPOG'ISTON RESPUBLIKASI TO'RTKO'L TUMANI TOZABOG'YOP OFY</v>
      </c>
      <c r="B15" s="343"/>
      <c r="C15" s="343"/>
      <c r="D15" s="343"/>
      <c r="E15" s="343"/>
    </row>
    <row r="16" spans="1:5" x14ac:dyDescent="0.25">
      <c r="A16" s="343" t="str">
        <f>'Приказ на сделку'!A24:E24</f>
        <v>-* davlat raqami: 95P232GA</v>
      </c>
      <c r="B16" s="343"/>
      <c r="C16" s="343"/>
      <c r="D16" s="343"/>
      <c r="E16" s="343"/>
    </row>
    <row r="17" spans="1:5" ht="3" customHeight="1" x14ac:dyDescent="0.25"/>
    <row r="19" spans="1:5" ht="59.25" hidden="1" customHeight="1" x14ac:dyDescent="0.25">
      <c r="A19" s="40" t="str">
        <f>'Акт согласования'!A32</f>
        <v>Наименование</v>
      </c>
      <c r="B19" s="40" t="str">
        <f>'Акт согласования'!B32</f>
        <v>Полезная площадь</v>
      </c>
      <c r="C19" s="40" t="str">
        <f>'Акт согласования'!C32</f>
        <v>Жилая площадь</v>
      </c>
      <c r="D19" s="40" t="str">
        <f>'Акт согласования'!D32</f>
        <v>Общая площадь</v>
      </c>
      <c r="E19" s="40" t="str">
        <f>'Акт согласования'!E32</f>
        <v>Согласованная залоговая стоимость, сум</v>
      </c>
    </row>
    <row r="20" spans="1:5" ht="17.25" hidden="1" customHeight="1" x14ac:dyDescent="0.25">
      <c r="A20" s="18" t="e">
        <f>'Акт согласования'!A33</f>
        <v>#REF!</v>
      </c>
      <c r="B20" s="18" t="e">
        <f>'Акт согласования'!B33</f>
        <v>#REF!</v>
      </c>
      <c r="C20" s="18" t="e">
        <f>'Акт согласования'!C33</f>
        <v>#REF!</v>
      </c>
      <c r="D20" s="18" t="e">
        <f>'Акт согласования'!D33</f>
        <v>#REF!</v>
      </c>
      <c r="E20" s="318" t="str">
        <f>""&amp;FIXED('Общие данные'!C137,2)&amp;" ("&amp;'Общие данные'!C138&amp;")"</f>
        <v>52 500 000,00 (ellik ikki million besh yuz ming so'm)</v>
      </c>
    </row>
    <row r="21" spans="1:5" ht="17.25" hidden="1" customHeight="1" x14ac:dyDescent="0.25">
      <c r="A21" s="18">
        <f>'Акт согласования'!A34</f>
        <v>0</v>
      </c>
      <c r="B21" s="18">
        <f>'Акт согласования'!B34</f>
        <v>0</v>
      </c>
      <c r="C21" s="18">
        <f>'Акт согласования'!C34</f>
        <v>0</v>
      </c>
      <c r="D21" s="18">
        <f>'Акт согласования'!D34</f>
        <v>0</v>
      </c>
      <c r="E21" s="319"/>
    </row>
    <row r="22" spans="1:5" ht="17.25" hidden="1" customHeight="1" x14ac:dyDescent="0.25">
      <c r="A22" s="18" t="e">
        <f>'Акт согласования'!A35</f>
        <v>#REF!</v>
      </c>
      <c r="B22" s="18" t="e">
        <f>'Акт согласования'!B35</f>
        <v>#REF!</v>
      </c>
      <c r="C22" s="18" t="e">
        <f>'Акт согласования'!C35</f>
        <v>#REF!</v>
      </c>
      <c r="D22" s="18" t="e">
        <f>'Акт согласования'!D35</f>
        <v>#REF!</v>
      </c>
      <c r="E22" s="319"/>
    </row>
    <row r="23" spans="1:5" ht="17.25" hidden="1" customHeight="1" x14ac:dyDescent="0.25">
      <c r="A23" s="18" t="e">
        <f>'Акт согласования'!A36</f>
        <v>#REF!</v>
      </c>
      <c r="B23" s="18" t="e">
        <f>'Акт согласования'!B36</f>
        <v>#REF!</v>
      </c>
      <c r="C23" s="18" t="e">
        <f>'Акт согласования'!C36</f>
        <v>#REF!</v>
      </c>
      <c r="D23" s="18" t="e">
        <f>'Акт согласования'!D36</f>
        <v>#REF!</v>
      </c>
      <c r="E23" s="319"/>
    </row>
    <row r="24" spans="1:5" ht="17.25" hidden="1" customHeight="1" x14ac:dyDescent="0.25">
      <c r="A24" s="18" t="e">
        <f>'Акт согласования'!A37</f>
        <v>#REF!</v>
      </c>
      <c r="B24" s="18" t="e">
        <f>'Акт согласования'!B37</f>
        <v>#REF!</v>
      </c>
      <c r="C24" s="18" t="e">
        <f>'Акт согласования'!C37</f>
        <v>#REF!</v>
      </c>
      <c r="D24" s="18" t="e">
        <f>'Акт согласования'!D37</f>
        <v>#REF!</v>
      </c>
      <c r="E24" s="319"/>
    </row>
    <row r="25" spans="1:5" ht="15.75" hidden="1" customHeight="1" x14ac:dyDescent="0.25">
      <c r="A25" s="18" t="e">
        <f>'Акт согласования'!A38</f>
        <v>#REF!</v>
      </c>
      <c r="B25" s="18" t="e">
        <f>'Акт согласования'!B38</f>
        <v>#REF!</v>
      </c>
      <c r="C25" s="18" t="e">
        <f>'Акт согласования'!C38</f>
        <v>#REF!</v>
      </c>
      <c r="D25" s="18" t="e">
        <f>'Акт согласования'!D38</f>
        <v>#REF!</v>
      </c>
      <c r="E25" s="319"/>
    </row>
    <row r="26" spans="1:5" ht="17.25" hidden="1" customHeight="1" x14ac:dyDescent="0.25">
      <c r="A26" s="18" t="e">
        <f>'Акт согласования'!A39</f>
        <v>#REF!</v>
      </c>
      <c r="B26" s="18" t="e">
        <f>'Акт согласования'!B39</f>
        <v>#REF!</v>
      </c>
      <c r="C26" s="18" t="e">
        <f>'Акт согласования'!C39</f>
        <v>#REF!</v>
      </c>
      <c r="D26" s="18" t="e">
        <f>'Акт согласования'!D39</f>
        <v>#REF!</v>
      </c>
      <c r="E26" s="319"/>
    </row>
    <row r="27" spans="1:5" ht="17.25" hidden="1" customHeight="1" x14ac:dyDescent="0.25">
      <c r="A27" s="18" t="e">
        <f>'Акт согласования'!A40</f>
        <v>#REF!</v>
      </c>
      <c r="B27" s="18" t="e">
        <f>'Акт согласования'!B40</f>
        <v>#REF!</v>
      </c>
      <c r="C27" s="18" t="e">
        <f>'Акт согласования'!C40</f>
        <v>#REF!</v>
      </c>
      <c r="D27" s="18" t="e">
        <f>'Акт согласования'!D40</f>
        <v>#REF!</v>
      </c>
      <c r="E27" s="319"/>
    </row>
    <row r="28" spans="1:5" ht="17.25" hidden="1" customHeight="1" x14ac:dyDescent="0.25">
      <c r="A28" s="18" t="e">
        <f>'Акт согласования'!A41</f>
        <v>#REF!</v>
      </c>
      <c r="B28" s="18" t="e">
        <f>'Акт согласования'!B41</f>
        <v>#REF!</v>
      </c>
      <c r="C28" s="18" t="e">
        <f>'Акт согласования'!C41</f>
        <v>#REF!</v>
      </c>
      <c r="D28" s="18" t="e">
        <f>'Акт согласования'!D41</f>
        <v>#REF!</v>
      </c>
      <c r="E28" s="319"/>
    </row>
    <row r="29" spans="1:5" ht="17.25" hidden="1" customHeight="1" x14ac:dyDescent="0.25">
      <c r="A29" s="18" t="e">
        <f>'Акт согласования'!A42</f>
        <v>#REF!</v>
      </c>
      <c r="B29" s="18" t="e">
        <f>'Акт согласования'!B42</f>
        <v>#REF!</v>
      </c>
      <c r="C29" s="18" t="e">
        <f>'Акт согласования'!C42</f>
        <v>#REF!</v>
      </c>
      <c r="D29" s="18" t="e">
        <f>'Акт согласования'!D42</f>
        <v>#REF!</v>
      </c>
      <c r="E29" s="319"/>
    </row>
    <row r="30" spans="1:5" ht="17.25" hidden="1" customHeight="1" x14ac:dyDescent="0.25">
      <c r="A30" s="18" t="e">
        <f>'Акт согласования'!A43</f>
        <v>#REF!</v>
      </c>
      <c r="B30" s="18" t="e">
        <f>'Акт согласования'!B43</f>
        <v>#REF!</v>
      </c>
      <c r="C30" s="18" t="e">
        <f>'Акт согласования'!C43</f>
        <v>#REF!</v>
      </c>
      <c r="D30" s="18" t="e">
        <f>'Акт согласования'!D43</f>
        <v>#REF!</v>
      </c>
      <c r="E30" s="320"/>
    </row>
    <row r="31" spans="1:5" ht="17.25" hidden="1" customHeight="1" x14ac:dyDescent="0.25">
      <c r="A31" s="18" t="e">
        <f>'Акт согласования'!A44</f>
        <v>#REF!</v>
      </c>
      <c r="B31" s="18" t="e">
        <f>'Акт согласования'!B44</f>
        <v>#REF!</v>
      </c>
      <c r="C31" s="18" t="e">
        <f>'Акт согласования'!C44</f>
        <v>#REF!</v>
      </c>
      <c r="D31" s="18" t="e">
        <f>'Акт согласования'!D44</f>
        <v>#REF!</v>
      </c>
      <c r="E31" s="18" t="str">
        <f>'Акт согласования'!E44</f>
        <v>52 500 000,00</v>
      </c>
    </row>
    <row r="32" spans="1:5" ht="18.75" hidden="1" customHeight="1" x14ac:dyDescent="0.25">
      <c r="A32" s="339" t="e">
        <f>_xlfn.SINGLE('Акт согласования'!#REF!)</f>
        <v>#REF!</v>
      </c>
      <c r="B32" s="339"/>
      <c r="C32" s="339"/>
      <c r="D32" s="339"/>
      <c r="E32" s="339"/>
    </row>
    <row r="33" spans="1:5" ht="24.75" hidden="1" customHeight="1" x14ac:dyDescent="0.25">
      <c r="A33" s="339" t="e">
        <f>_xlfn.SINGLE('Акт согласования'!#REF!)</f>
        <v>#REF!</v>
      </c>
      <c r="B33" s="339"/>
      <c r="C33" s="339"/>
      <c r="D33" s="339"/>
      <c r="E33" s="339"/>
    </row>
    <row r="34" spans="1:5" ht="30.75" hidden="1" customHeight="1" x14ac:dyDescent="0.25">
      <c r="A34" s="339" t="e">
        <f>_xlfn.SINGLE('Акт согласования'!#REF!)</f>
        <v>#REF!</v>
      </c>
      <c r="B34" s="339"/>
      <c r="C34" s="339"/>
      <c r="D34" s="339"/>
      <c r="E34" s="339"/>
    </row>
    <row r="35" spans="1:5" ht="15" hidden="1" customHeight="1" x14ac:dyDescent="0.25">
      <c r="A35" s="339" t="e">
        <f>_xlfn.SINGLE('Акт согласования'!#REF!)</f>
        <v>#REF!</v>
      </c>
      <c r="B35" s="339"/>
      <c r="C35" s="339"/>
      <c r="D35" s="339"/>
      <c r="E35" s="339"/>
    </row>
    <row r="36" spans="1:5" x14ac:dyDescent="0.25">
      <c r="A36" s="23"/>
      <c r="B36" s="23"/>
      <c r="C36" s="23"/>
      <c r="D36" s="23"/>
      <c r="E36" s="23"/>
    </row>
    <row r="37" spans="1:5" s="141" customFormat="1" ht="51" customHeight="1" x14ac:dyDescent="0.25">
      <c r="A37" s="342"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42"/>
      <c r="C37" s="342"/>
      <c r="D37" s="342"/>
      <c r="E37" s="342"/>
    </row>
    <row r="38" spans="1:5" ht="40.5" customHeight="1" x14ac:dyDescent="0.25">
      <c r="A38" s="339" t="str">
        <f>'Акт согласования'!A47:E47</f>
        <v>Shu bilan birga, garov predmetining kelishilgan garov qiymati deganda ushbu mulk garov sifatida taqdim etilgan/qabul qilingan qiymati tushuniladi.</v>
      </c>
      <c r="B38" s="339"/>
      <c r="C38" s="339"/>
      <c r="D38" s="339"/>
      <c r="E38" s="339"/>
    </row>
    <row r="39" spans="1:5" ht="39" customHeight="1" x14ac:dyDescent="0.25">
      <c r="A39" s="339"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6 yanvar 2025 y.dan №-TR, при сохранении запрета.</v>
      </c>
      <c r="B39" s="339"/>
      <c r="C39" s="339"/>
      <c r="D39" s="339"/>
      <c r="E39" s="339"/>
    </row>
    <row r="40" spans="1:5" x14ac:dyDescent="0.25">
      <c r="A40" s="340"/>
      <c r="B40" s="340"/>
      <c r="C40" s="340"/>
      <c r="D40" s="340"/>
      <c r="E40" s="340"/>
    </row>
    <row r="41" spans="1:5" x14ac:dyDescent="0.25">
      <c r="A41" s="341" t="s">
        <v>37</v>
      </c>
      <c r="B41" s="341"/>
      <c r="C41" s="341"/>
      <c r="D41" s="341"/>
      <c r="E41" s="341"/>
    </row>
    <row r="42" spans="1:5" x14ac:dyDescent="0.25">
      <c r="A42" s="340"/>
      <c r="B42" s="340"/>
      <c r="C42" s="340"/>
      <c r="D42" s="340"/>
      <c r="E42" s="340"/>
    </row>
    <row r="43" spans="1:5" x14ac:dyDescent="0.25">
      <c r="A43" s="341" t="s">
        <v>38</v>
      </c>
      <c r="B43" s="341"/>
      <c r="C43" s="341"/>
      <c r="D43" s="341"/>
      <c r="E43" s="341"/>
    </row>
    <row r="44" spans="1:5" ht="28.5" customHeight="1" x14ac:dyDescent="0.25">
      <c r="A44" s="338" t="s">
        <v>39</v>
      </c>
      <c r="B44" s="338"/>
      <c r="C44" s="338"/>
      <c r="D44" s="338"/>
      <c r="E44" s="121"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6">
    <tabColor rgb="FF00B050"/>
  </sheetPr>
  <dimension ref="A1:I29"/>
  <sheetViews>
    <sheetView view="pageBreakPreview" topLeftCell="A13" zoomScale="175" zoomScaleNormal="100" zoomScaleSheetLayoutView="175" workbookViewId="0">
      <selection activeCell="A10" sqref="A10:B10"/>
    </sheetView>
  </sheetViews>
  <sheetFormatPr defaultColWidth="9.140625" defaultRowHeight="12.75" x14ac:dyDescent="0.2"/>
  <cols>
    <col min="1" max="2" width="11" style="25" customWidth="1"/>
    <col min="3" max="4" width="14.42578125" style="25" customWidth="1"/>
    <col min="5" max="6" width="13.5703125" style="25" customWidth="1"/>
    <col min="7" max="7" width="9.140625" style="25"/>
    <col min="8" max="8" width="19" style="25" bestFit="1" customWidth="1"/>
    <col min="9" max="16384" width="9.140625" style="25"/>
  </cols>
  <sheetData>
    <row r="1" spans="1:9" x14ac:dyDescent="0.2">
      <c r="A1" s="32"/>
      <c r="B1" s="32"/>
      <c r="C1" s="32"/>
      <c r="D1" s="32"/>
      <c r="E1" s="32"/>
      <c r="F1" s="32"/>
      <c r="G1" s="32"/>
      <c r="H1" s="32"/>
      <c r="I1" s="32"/>
    </row>
    <row r="2" spans="1:9" x14ac:dyDescent="0.2">
      <c r="A2" s="346" t="str">
        <f>""&amp;" "&amp;'Общие данные'!B74&amp;"-sonli "&amp;" "&amp;'Общие данные'!C64&amp;" shartnomasi bo‘yicha
 garovga qo‘yilgan mol-mulkni tekshirish bo’yicha "&amp;'Общие данные'!B5&amp;" bilan tuzilgan dalolatnomasi"</f>
        <v xml:space="preserve"> 6 yanvar 2025 y.dan №-TR-sonli  Mikroqarz shartnomasi bo‘yicha
 garovga qo‘yilgan mol-mulkni tekshirish bo’yicha DJUMANIYAZOV SHERIPBAY AYITBAYEVICH bilan tuzilgan dalolatnomasi</v>
      </c>
      <c r="B2" s="346"/>
      <c r="C2" s="346"/>
      <c r="D2" s="346"/>
      <c r="E2" s="346"/>
      <c r="F2" s="346"/>
      <c r="G2" s="346"/>
      <c r="H2" s="346"/>
      <c r="I2" s="32"/>
    </row>
    <row r="3" spans="1:9" x14ac:dyDescent="0.2">
      <c r="A3" s="346"/>
      <c r="B3" s="346"/>
      <c r="C3" s="346"/>
      <c r="D3" s="346"/>
      <c r="E3" s="346"/>
      <c r="F3" s="346"/>
      <c r="G3" s="346"/>
      <c r="H3" s="346"/>
      <c r="I3" s="32"/>
    </row>
    <row r="5" spans="1:9" x14ac:dyDescent="0.2">
      <c r="A5" s="25" t="s">
        <v>203</v>
      </c>
      <c r="H5" s="154" t="str">
        <f>TEXT(+'Общие данные'!B2+360,"ДД.ММ.ГГГГ")</f>
        <v>01.01.2026</v>
      </c>
    </row>
    <row r="7" spans="1:9" ht="45" customHeight="1" x14ac:dyDescent="0.2">
      <c r="A7" s="349" t="str">
        <f>"      Men, "&amp;'Общие данные'!B151&amp;" "&amp;'Общие данные'!A154&amp;"i "&amp;'Общие данные'!B154&amp;", jismoniy shaxs "&amp;" "&amp;'Общие данные'!B5&amp;" "&amp;" "&amp;'Общие данные'!B74&amp;"-sonli "&amp;'Общие данные'!C64&amp;" shartnomasi bo‘yicha garovga qo‘yilgan mol-mulkni ko‘zdan kechirdim"</f>
        <v xml:space="preserve">      Men, «CLEVER MIKROMOLIYA TASHKILOTI» MChJ To'rtko'l filial boshlig'ii USMANOV X. I., jismoniy shaxs  DJUMANIYAZOV SHERIPBAY AYITBAYEVICH  6 yanvar 2025 y.dan №-TR-sonli Mikroqarz shartnomasi bo‘yicha garovga qo‘yilgan mol-mulkni ko‘zdan kechirdim</v>
      </c>
      <c r="B7" s="349"/>
      <c r="C7" s="349"/>
      <c r="D7" s="349"/>
      <c r="E7" s="349"/>
      <c r="F7" s="349"/>
      <c r="G7" s="349"/>
      <c r="H7" s="349"/>
    </row>
    <row r="8" spans="1:9" ht="19.5" customHeight="1" x14ac:dyDescent="0.2">
      <c r="A8" s="350" t="s">
        <v>276</v>
      </c>
      <c r="B8" s="350"/>
      <c r="C8" s="350"/>
      <c r="D8" s="350"/>
      <c r="E8" s="350"/>
      <c r="F8" s="350"/>
      <c r="G8" s="350"/>
      <c r="H8" s="350"/>
    </row>
    <row r="9" spans="1:9" s="155" customFormat="1" ht="32.25" customHeight="1" x14ac:dyDescent="0.25">
      <c r="A9" s="344" t="str">
        <f>' Акт мониторинга 1'!A9</f>
        <v>Nomi</v>
      </c>
      <c r="B9" s="345"/>
      <c r="C9" s="344" t="str">
        <f>' Акт мониторинга 1'!C9</f>
        <v>Kuzov turi  va kuzov raqami*</v>
      </c>
      <c r="D9" s="345"/>
      <c r="E9" s="344" t="str">
        <f>' Акт мониторинга 1'!E9</f>
        <v>Dvigatel va shassi raqami*</v>
      </c>
      <c r="F9" s="345"/>
      <c r="G9" s="344" t="str">
        <f>' Акт мониторинга 1'!G9</f>
        <v>Ishlab chiqarilgan yili va rangi**</v>
      </c>
      <c r="H9" s="345"/>
    </row>
    <row r="10" spans="1:9" s="153" customFormat="1" ht="58.5" customHeight="1" x14ac:dyDescent="0.2">
      <c r="A10" s="352">
        <f>' Акт мониторинга 1'!A10</f>
        <v>3</v>
      </c>
      <c r="B10" s="352"/>
      <c r="C10" s="352" t="str">
        <f>' Акт мониторинга 1'!C10</f>
        <v>kuzov turi - YENGIL SEDAN, kuzov raqami XWB4A11AD8A152643</v>
      </c>
      <c r="D10" s="352"/>
      <c r="E10" s="352" t="str">
        <f>' Акт мониторинга 1'!E10</f>
        <v>dvigatel raqami F8CV521561KB1, shassi raqami - RAKAMSIZ</v>
      </c>
      <c r="F10" s="352"/>
      <c r="G10" s="352" t="str">
        <f>' Акт мониторинга 1'!G10</f>
        <v>rangi -  OQ-BELAYA KASABLANKA, ishlab chiqarilgan yili - 2007</v>
      </c>
      <c r="H10" s="352"/>
    </row>
    <row r="11" spans="1:9" ht="19.5" customHeight="1" x14ac:dyDescent="0.2">
      <c r="A11" s="347" t="str">
        <f>'Акт согласования'!A22:E22</f>
        <v>-* avtotransport egasi: MADRAXIMOV XOLMUROD RAMONBERDI O'GLI</v>
      </c>
      <c r="B11" s="347"/>
      <c r="C11" s="347"/>
      <c r="D11" s="347"/>
      <c r="E11" s="347"/>
      <c r="F11" s="347"/>
      <c r="G11" s="347"/>
      <c r="H11" s="347"/>
    </row>
    <row r="12" spans="1:9" ht="19.5" customHeight="1" x14ac:dyDescent="0.2">
      <c r="A12" s="347" t="str">
        <f>'Акт согласования'!A23:E23</f>
        <v>-* texnik pasport: AAE 0278091 13.04.2018 y.</v>
      </c>
      <c r="B12" s="347"/>
      <c r="C12" s="347"/>
      <c r="D12" s="347"/>
      <c r="E12" s="347"/>
      <c r="F12" s="347"/>
      <c r="G12" s="347"/>
      <c r="H12" s="347"/>
    </row>
    <row r="13" spans="1:9" ht="19.5" customHeight="1" x14ac:dyDescent="0.2">
      <c r="A13" s="347" t="str">
        <f>'Акт согласования'!A24:E24</f>
        <v>-* roʻyxatdan oʻtgan manzili/garaj manzili: QORAQALPOG'ISTON RESPUBLIKASI TO'RTKO'L TUMANI TOZABOG'YOP OFY</v>
      </c>
      <c r="B13" s="347"/>
      <c r="C13" s="347"/>
      <c r="D13" s="347"/>
      <c r="E13" s="347"/>
      <c r="F13" s="347"/>
      <c r="G13" s="347"/>
      <c r="H13" s="347"/>
    </row>
    <row r="14" spans="1:9" ht="19.5" customHeight="1" x14ac:dyDescent="0.2">
      <c r="A14" s="347" t="str">
        <f>'Акт согласования'!A25:E25</f>
        <v>-* davlat raqami: 95P232GA</v>
      </c>
      <c r="B14" s="347"/>
      <c r="C14" s="347"/>
      <c r="D14" s="347"/>
      <c r="E14" s="347"/>
      <c r="F14" s="347"/>
      <c r="G14" s="347"/>
      <c r="H14" s="347"/>
    </row>
    <row r="15" spans="1:9" ht="33.75" customHeight="1" x14ac:dyDescent="0.2">
      <c r="A15" s="348" t="str">
        <f>+"Shu bilan birga, yuqoridagi mulkning kelishilgan garov qiymati "&amp;'Акт согласования'!E30</f>
        <v>Shu bilan birga, yuqoridagi mulkning kelishilgan garov qiymati 52 500 000,00 
(ellik ikki million besh yuz ming so'm)</v>
      </c>
      <c r="B15" s="348"/>
      <c r="C15" s="348"/>
      <c r="D15" s="348"/>
      <c r="E15" s="348"/>
      <c r="F15" s="348"/>
      <c r="G15" s="348"/>
      <c r="H15" s="348"/>
    </row>
    <row r="17" spans="1:8" ht="35.25" customHeight="1" x14ac:dyDescent="0.2">
      <c r="A17" s="351" t="s">
        <v>277</v>
      </c>
      <c r="B17" s="351"/>
      <c r="C17" s="351"/>
      <c r="D17" s="351"/>
      <c r="E17" s="351"/>
      <c r="F17" s="351"/>
      <c r="G17" s="351"/>
      <c r="H17" s="351"/>
    </row>
    <row r="21" spans="1:8" s="32" customFormat="1" x14ac:dyDescent="0.2"/>
    <row r="22" spans="1:8" s="32" customFormat="1" x14ac:dyDescent="0.2">
      <c r="A22" s="32" t="str">
        <f>'Общие данные'!A154</f>
        <v>To'rtko'l filial boshlig'i</v>
      </c>
      <c r="H22" s="156" t="str">
        <f>'Общие данные'!B154</f>
        <v>USMANOV X. I.</v>
      </c>
    </row>
    <row r="23" spans="1:8" s="32" customFormat="1" ht="32.25" customHeight="1" x14ac:dyDescent="0.2">
      <c r="H23" s="156"/>
    </row>
    <row r="24" spans="1:8" s="32" customFormat="1" ht="16.5" customHeight="1" x14ac:dyDescent="0.2">
      <c r="A24" s="32" t="s">
        <v>278</v>
      </c>
      <c r="H24" s="32" t="str">
        <f>'Общие данные'!B164</f>
        <v>Jumanazarov B.T.</v>
      </c>
    </row>
    <row r="25" spans="1:8" s="32" customFormat="1" ht="60" customHeight="1" x14ac:dyDescent="0.2"/>
    <row r="26" spans="1:8" s="32" customFormat="1" x14ac:dyDescent="0.2">
      <c r="A26" s="32" t="s">
        <v>279</v>
      </c>
      <c r="H26" s="156" t="str">
        <f>'Общие данные'!B7</f>
        <v>DJUMANIYAZOV SH A</v>
      </c>
    </row>
    <row r="27" spans="1:8" s="32" customFormat="1" x14ac:dyDescent="0.2"/>
    <row r="28" spans="1:8" s="32" customFormat="1" x14ac:dyDescent="0.2"/>
    <row r="29" spans="1:8" s="32" customFormat="1" x14ac:dyDescent="0.2"/>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5">
    <tabColor rgb="FF00B050"/>
  </sheetPr>
  <dimension ref="A1:I30"/>
  <sheetViews>
    <sheetView view="pageBreakPreview" topLeftCell="A10" zoomScaleNormal="100" zoomScaleSheetLayoutView="100" workbookViewId="0">
      <selection activeCell="A10" sqref="A10:B10"/>
    </sheetView>
  </sheetViews>
  <sheetFormatPr defaultColWidth="9.140625" defaultRowHeight="12.75" x14ac:dyDescent="0.2"/>
  <cols>
    <col min="1" max="2" width="11" style="25" customWidth="1"/>
    <col min="3" max="4" width="14.42578125" style="25" customWidth="1"/>
    <col min="5" max="6" width="13.5703125" style="25" customWidth="1"/>
    <col min="7" max="7" width="9.140625" style="25"/>
    <col min="8" max="8" width="19" style="25" bestFit="1" customWidth="1"/>
    <col min="9" max="9" width="9.140625" style="25" hidden="1" customWidth="1"/>
    <col min="10" max="10" width="9.140625" style="25" customWidth="1"/>
    <col min="11" max="11" width="0.5703125" style="25" customWidth="1"/>
    <col min="12" max="16384" width="9.140625" style="25"/>
  </cols>
  <sheetData>
    <row r="1" spans="1:9" x14ac:dyDescent="0.2">
      <c r="A1" s="32"/>
      <c r="B1" s="32"/>
      <c r="C1" s="32"/>
      <c r="D1" s="32"/>
      <c r="E1" s="32"/>
      <c r="F1" s="32"/>
      <c r="G1" s="32"/>
      <c r="H1" s="32"/>
      <c r="I1" s="32"/>
    </row>
    <row r="2" spans="1:9" x14ac:dyDescent="0.2">
      <c r="A2" s="346" t="str">
        <f>""&amp;" "&amp;'Общие данные'!B74&amp;"-sonli "&amp;" "&amp;'Общие данные'!C64&amp;" shartnomasi bo‘yicha
 garovga qo‘yilgan mol-mulkni tekshirish bo’yicha "&amp;'Общие данные'!B5&amp;" bilan tuzilgan dalolatnomasi"</f>
        <v xml:space="preserve"> 6 yanvar 2025 y.dan №-TR-sonli  Mikroqarz shartnomasi bo‘yicha
 garovga qo‘yilgan mol-mulkni tekshirish bo’yicha DJUMANIYAZOV SHERIPBAY AYITBAYEVICH bilan tuzilgan dalolatnomasi</v>
      </c>
      <c r="B2" s="346"/>
      <c r="C2" s="346"/>
      <c r="D2" s="346"/>
      <c r="E2" s="346"/>
      <c r="F2" s="346"/>
      <c r="G2" s="346"/>
      <c r="H2" s="346"/>
      <c r="I2" s="32"/>
    </row>
    <row r="3" spans="1:9" x14ac:dyDescent="0.2">
      <c r="A3" s="346"/>
      <c r="B3" s="346"/>
      <c r="C3" s="346"/>
      <c r="D3" s="346"/>
      <c r="E3" s="346"/>
      <c r="F3" s="346"/>
      <c r="G3" s="346"/>
      <c r="H3" s="346"/>
      <c r="I3" s="32"/>
    </row>
    <row r="5" spans="1:9" x14ac:dyDescent="0.2">
      <c r="A5" s="25" t="s">
        <v>203</v>
      </c>
      <c r="F5" s="171"/>
      <c r="H5" s="154" t="str">
        <f>TEXT('Общие данные'!D2,"ДД.ММ.ГГГГ")</f>
        <v>05.07.2025</v>
      </c>
    </row>
    <row r="7" spans="1:9" ht="45" customHeight="1" x14ac:dyDescent="0.2">
      <c r="A7" s="349" t="str">
        <f>"      Men, “СLEVER MIKROMOLYA TASHKILOTI” "&amp;'Общие данные'!A154&amp;"i "&amp;'Общие данные'!B154&amp;", jismoniy shaxs "&amp;" "&amp;'Общие данные'!B5&amp;" "&amp;" "&amp;'Общие данные'!B74&amp;"-sonli "&amp;'Общие данные'!B65&amp;" shartnomasi bo‘yicha garovga qo‘yilgan mol-mulkni ko‘zdan kechirdim"</f>
        <v xml:space="preserve">      Men, “СLEVER MIKROMOLYA TASHKILOTI” To'rtko'l filial boshlig'ii USMANOV X. I., jismoniy shaxs  DJUMANIYAZOV SHERIPBAY AYITBAYEVICH  6 yanvar 2025 y.dan №-TR-sonli mikroqarz shartnomasi bo‘yicha garovga qo‘yilgan mol-mulkni ko‘zdan kechirdim</v>
      </c>
      <c r="B7" s="349"/>
      <c r="C7" s="349"/>
      <c r="D7" s="349"/>
      <c r="E7" s="349"/>
      <c r="F7" s="349"/>
      <c r="G7" s="349"/>
      <c r="H7" s="349"/>
    </row>
    <row r="8" spans="1:9" ht="19.5" customHeight="1" x14ac:dyDescent="0.2">
      <c r="A8" s="350" t="s">
        <v>276</v>
      </c>
      <c r="B8" s="350"/>
      <c r="C8" s="350"/>
      <c r="D8" s="350"/>
      <c r="E8" s="350"/>
      <c r="F8" s="350"/>
      <c r="G8" s="350"/>
      <c r="H8" s="350"/>
    </row>
    <row r="9" spans="1:9" s="155" customFormat="1" ht="32.25" customHeight="1" x14ac:dyDescent="0.25">
      <c r="A9" s="344" t="str">
        <f>'Акт согласования'!A20</f>
        <v>Nomi</v>
      </c>
      <c r="B9" s="345"/>
      <c r="C9" s="344" t="str">
        <f>'Акт согласования'!B20</f>
        <v>Kuzov turi  va kuzov raqami*</v>
      </c>
      <c r="D9" s="345"/>
      <c r="E9" s="344" t="str">
        <f>'Акт согласования'!D20</f>
        <v>Dvigatel va shassi raqami*</v>
      </c>
      <c r="F9" s="345"/>
      <c r="G9" s="344" t="str">
        <f>'Акт согласования'!E20</f>
        <v>Ishlab chiqarilgan yili va rangi**</v>
      </c>
      <c r="H9" s="345"/>
    </row>
    <row r="10" spans="1:9" s="153" customFormat="1" ht="58.5" customHeight="1" x14ac:dyDescent="0.2">
      <c r="A10" s="352">
        <v>3</v>
      </c>
      <c r="B10" s="352"/>
      <c r="C10" s="352" t="str">
        <f>'Акт согласования'!B21</f>
        <v>kuzov turi - YENGIL SEDAN, kuzov raqami XWB4A11AD8A152643</v>
      </c>
      <c r="D10" s="352"/>
      <c r="E10" s="352" t="str">
        <f>'Акт согласования'!D21</f>
        <v>dvigatel raqami F8CV521561KB1, shassi raqami - RAKAMSIZ</v>
      </c>
      <c r="F10" s="352"/>
      <c r="G10" s="352" t="str">
        <f>'Акт согласования'!E21</f>
        <v>rangi -  OQ-BELAYA KASABLANKA, ishlab chiqarilgan yili - 2007</v>
      </c>
      <c r="H10" s="352"/>
    </row>
    <row r="11" spans="1:9" ht="19.5" customHeight="1" x14ac:dyDescent="0.2">
      <c r="A11" s="347" t="str">
        <f>'Акт согласования'!A22:E22</f>
        <v>-* avtotransport egasi: MADRAXIMOV XOLMUROD RAMONBERDI O'GLI</v>
      </c>
      <c r="B11" s="347"/>
      <c r="C11" s="347"/>
      <c r="D11" s="347"/>
      <c r="E11" s="347"/>
      <c r="F11" s="347"/>
      <c r="G11" s="347"/>
      <c r="H11" s="347"/>
    </row>
    <row r="12" spans="1:9" ht="19.5" customHeight="1" x14ac:dyDescent="0.2">
      <c r="A12" s="347" t="str">
        <f>'Акт согласования'!A23:E23</f>
        <v>-* texnik pasport: AAE 0278091 13.04.2018 y.</v>
      </c>
      <c r="B12" s="347"/>
      <c r="C12" s="347"/>
      <c r="D12" s="347"/>
      <c r="E12" s="347"/>
      <c r="F12" s="347"/>
      <c r="G12" s="347"/>
      <c r="H12" s="347"/>
    </row>
    <row r="13" spans="1:9" ht="19.5" customHeight="1" x14ac:dyDescent="0.2">
      <c r="A13" s="347" t="str">
        <f>'Акт согласования'!A24:E24</f>
        <v>-* roʻyxatdan oʻtgan manzili/garaj manzili: QORAQALPOG'ISTON RESPUBLIKASI TO'RTKO'L TUMANI TOZABOG'YOP OFY</v>
      </c>
      <c r="B13" s="347"/>
      <c r="C13" s="347"/>
      <c r="D13" s="347"/>
      <c r="E13" s="347"/>
      <c r="F13" s="347"/>
      <c r="G13" s="347"/>
      <c r="H13" s="347"/>
    </row>
    <row r="14" spans="1:9" ht="19.5" customHeight="1" x14ac:dyDescent="0.2">
      <c r="A14" s="347" t="str">
        <f>'Акт согласования'!A25:E25</f>
        <v>-* davlat raqami: 95P232GA</v>
      </c>
      <c r="B14" s="347"/>
      <c r="C14" s="347"/>
      <c r="D14" s="347"/>
      <c r="E14" s="347"/>
      <c r="F14" s="347"/>
      <c r="G14" s="347"/>
      <c r="H14" s="347"/>
    </row>
    <row r="15" spans="1:9" ht="33.75" customHeight="1" x14ac:dyDescent="0.2">
      <c r="A15" s="348" t="str">
        <f>+"Shu bilan birga, yuqoridagi mulkning kelishilgan garov qiymati "&amp;'Акт согласования'!E30</f>
        <v>Shu bilan birga, yuqoridagi mulkning kelishilgan garov qiymati 52 500 000,00 
(ellik ikki million besh yuz ming so'm)</v>
      </c>
      <c r="B15" s="348"/>
      <c r="C15" s="348"/>
      <c r="D15" s="348"/>
      <c r="E15" s="348"/>
      <c r="F15" s="348"/>
      <c r="G15" s="348"/>
      <c r="H15" s="348"/>
    </row>
    <row r="17" spans="1:8" ht="27" customHeight="1" x14ac:dyDescent="0.2">
      <c r="A17" s="351" t="s">
        <v>277</v>
      </c>
      <c r="B17" s="351"/>
      <c r="C17" s="351"/>
      <c r="D17" s="351"/>
      <c r="E17" s="351"/>
      <c r="F17" s="351"/>
      <c r="G17" s="351"/>
      <c r="H17" s="351"/>
    </row>
    <row r="21" spans="1:8" s="32" customFormat="1" x14ac:dyDescent="0.2"/>
    <row r="22" spans="1:8" s="32" customFormat="1" x14ac:dyDescent="0.2">
      <c r="A22" s="32" t="str">
        <f>'Общие данные'!A154</f>
        <v>To'rtko'l filial boshlig'i</v>
      </c>
      <c r="H22" s="156" t="str">
        <f>'Общие данные'!B154</f>
        <v>USMANOV X. I.</v>
      </c>
    </row>
    <row r="23" spans="1:8" s="32" customFormat="1" ht="32.25" customHeight="1" x14ac:dyDescent="0.2">
      <c r="H23" s="156"/>
    </row>
    <row r="24" spans="1:8" s="32" customFormat="1" ht="16.5" customHeight="1" x14ac:dyDescent="0.2">
      <c r="A24" s="32" t="s">
        <v>278</v>
      </c>
      <c r="H24" s="32" t="str">
        <f>'Общие данные'!B164</f>
        <v>Jumanazarov B.T.</v>
      </c>
    </row>
    <row r="25" spans="1:8" s="32" customFormat="1" ht="60" customHeight="1" x14ac:dyDescent="0.2"/>
    <row r="26" spans="1:8" s="32" customFormat="1" x14ac:dyDescent="0.2">
      <c r="A26" s="32" t="s">
        <v>279</v>
      </c>
      <c r="H26" s="156" t="str">
        <f>'Общие данные'!B7</f>
        <v>DJUMANIYAZOV SH A</v>
      </c>
    </row>
    <row r="27" spans="1:8" s="32" customFormat="1" x14ac:dyDescent="0.2"/>
    <row r="28" spans="1:8" s="32" customFormat="1" x14ac:dyDescent="0.2"/>
    <row r="29" spans="1:8" s="32" customFormat="1" x14ac:dyDescent="0.2"/>
    <row r="30" spans="1:8" s="32" customFormat="1" x14ac:dyDescent="0.2"/>
  </sheetData>
  <mergeCells count="17">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11" zoomScaleNormal="100" zoomScaleSheetLayoutView="100" workbookViewId="0">
      <selection activeCell="A10" sqref="A10:B10"/>
    </sheetView>
  </sheetViews>
  <sheetFormatPr defaultColWidth="9.140625" defaultRowHeight="12.75" x14ac:dyDescent="0.2"/>
  <cols>
    <col min="1" max="2" width="11" style="25" customWidth="1"/>
    <col min="3" max="4" width="14.42578125" style="25" customWidth="1"/>
    <col min="5" max="6" width="13.5703125" style="25" customWidth="1"/>
    <col min="7" max="7" width="9.140625" style="25"/>
    <col min="8" max="8" width="19" style="25" bestFit="1" customWidth="1"/>
    <col min="9" max="16384" width="9.140625" style="25"/>
  </cols>
  <sheetData>
    <row r="1" spans="1:9" x14ac:dyDescent="0.2">
      <c r="A1" s="32"/>
      <c r="B1" s="32"/>
      <c r="C1" s="32"/>
      <c r="D1" s="32"/>
      <c r="E1" s="32"/>
      <c r="F1" s="32"/>
      <c r="G1" s="32"/>
      <c r="H1" s="32"/>
      <c r="I1" s="32"/>
    </row>
    <row r="2" spans="1:9" x14ac:dyDescent="0.2">
      <c r="A2" s="346" t="str">
        <f>""&amp;" "&amp;'Общие данные'!B74&amp;"-sonli "&amp;" "&amp;'Общие данные'!C64&amp;" shartnomasi bo‘yicha
 garovga qo‘yilgan mol-mulkni tekshirish bo’yicha "&amp;'Общие данные'!B5&amp;" bilan tuzilgan dalolatnomasi"</f>
        <v xml:space="preserve"> 6 yanvar 2025 y.dan №-TR-sonli  Mikroqarz shartnomasi bo‘yicha
 garovga qo‘yilgan mol-mulkni tekshirish bo’yicha DJUMANIYAZOV SHERIPBAY AYITBAYEVICH bilan tuzilgan dalolatnomasi</v>
      </c>
      <c r="B2" s="346"/>
      <c r="C2" s="346"/>
      <c r="D2" s="346"/>
      <c r="E2" s="346"/>
      <c r="F2" s="346"/>
      <c r="G2" s="346"/>
      <c r="H2" s="346"/>
      <c r="I2" s="32"/>
    </row>
    <row r="3" spans="1:9" x14ac:dyDescent="0.2">
      <c r="A3" s="346"/>
      <c r="B3" s="346"/>
      <c r="C3" s="346"/>
      <c r="D3" s="346"/>
      <c r="E3" s="346"/>
      <c r="F3" s="346"/>
      <c r="G3" s="346"/>
      <c r="H3" s="346"/>
      <c r="I3" s="32"/>
    </row>
    <row r="5" spans="1:9" x14ac:dyDescent="0.2">
      <c r="A5" s="25" t="s">
        <v>203</v>
      </c>
      <c r="H5" s="154" t="str">
        <f>TEXT(+'Общие данные'!B2+540,"ДД.ММ.ГГГГ")</f>
        <v>30.06.2026</v>
      </c>
    </row>
    <row r="7" spans="1:9" ht="45" customHeight="1" x14ac:dyDescent="0.2">
      <c r="A7" s="349" t="str">
        <f>"      Men, "&amp;'Общие данные'!B151&amp;" "&amp;'Общие данные'!A154&amp;"i "&amp;'Общие данные'!B154&amp;", jismoniy shaxs "&amp;" "&amp;'Общие данные'!B5&amp;" "&amp;" "&amp;'Общие данные'!B74&amp;"-sonli "&amp;'Общие данные'!C64&amp;" shartnomasi bo‘yicha garovga qo‘yilgan mol-mulkni ko‘zdan kechirdim"</f>
        <v xml:space="preserve">      Men, «CLEVER MIKROMOLIYA TASHKILOTI» MChJ To'rtko'l filial boshlig'ii USMANOV X. I., jismoniy shaxs  DJUMANIYAZOV SHERIPBAY AYITBAYEVICH  6 yanvar 2025 y.dan №-TR-sonli Mikroqarz shartnomasi bo‘yicha garovga qo‘yilgan mol-mulkni ko‘zdan kechirdim</v>
      </c>
      <c r="B7" s="349"/>
      <c r="C7" s="349"/>
      <c r="D7" s="349"/>
      <c r="E7" s="349"/>
      <c r="F7" s="349"/>
      <c r="G7" s="349"/>
      <c r="H7" s="349"/>
    </row>
    <row r="8" spans="1:9" ht="19.5" customHeight="1" x14ac:dyDescent="0.2">
      <c r="A8" s="350" t="s">
        <v>276</v>
      </c>
      <c r="B8" s="350"/>
      <c r="C8" s="350"/>
      <c r="D8" s="350"/>
      <c r="E8" s="350"/>
      <c r="F8" s="350"/>
      <c r="G8" s="350"/>
      <c r="H8" s="350"/>
    </row>
    <row r="9" spans="1:9" s="155" customFormat="1" ht="32.25" customHeight="1" x14ac:dyDescent="0.25">
      <c r="A9" s="344" t="str">
        <f>' Акт мониторинга 1'!A9</f>
        <v>Nomi</v>
      </c>
      <c r="B9" s="345"/>
      <c r="C9" s="344" t="str">
        <f>' Акт мониторинга 1'!C9</f>
        <v>Kuzov turi  va kuzov raqami*</v>
      </c>
      <c r="D9" s="345"/>
      <c r="E9" s="344" t="str">
        <f>' Акт мониторинга 1'!E9</f>
        <v>Dvigatel va shassi raqami*</v>
      </c>
      <c r="F9" s="345"/>
      <c r="G9" s="344" t="str">
        <f>' Акт мониторинга 1'!G9</f>
        <v>Ishlab chiqarilgan yili va rangi**</v>
      </c>
      <c r="H9" s="345"/>
    </row>
    <row r="10" spans="1:9" s="153" customFormat="1" ht="58.5" customHeight="1" x14ac:dyDescent="0.2">
      <c r="A10" s="353">
        <f>' Акт мониторинга 1'!A10</f>
        <v>3</v>
      </c>
      <c r="B10" s="354"/>
      <c r="C10" s="353" t="str">
        <f>' Акт мониторинга 1'!C10</f>
        <v>kuzov turi - YENGIL SEDAN, kuzov raqami XWB4A11AD8A152643</v>
      </c>
      <c r="D10" s="354"/>
      <c r="E10" s="353" t="str">
        <f>' Акт мониторинга 1'!E10</f>
        <v>dvigatel raqami F8CV521561KB1, shassi raqami - RAKAMSIZ</v>
      </c>
      <c r="F10" s="354"/>
      <c r="G10" s="353" t="str">
        <f>' Акт мониторинга 1'!G10</f>
        <v>rangi -  OQ-BELAYA KASABLANKA, ishlab chiqarilgan yili - 2007</v>
      </c>
      <c r="H10" s="354"/>
    </row>
    <row r="11" spans="1:9" ht="19.5" customHeight="1" x14ac:dyDescent="0.2">
      <c r="A11" s="347" t="str">
        <f>'Акт согласования'!A22:E22</f>
        <v>-* avtotransport egasi: MADRAXIMOV XOLMUROD RAMONBERDI O'GLI</v>
      </c>
      <c r="B11" s="347"/>
      <c r="C11" s="347"/>
      <c r="D11" s="347"/>
      <c r="E11" s="347"/>
      <c r="F11" s="347"/>
      <c r="G11" s="347"/>
      <c r="H11" s="347"/>
    </row>
    <row r="12" spans="1:9" ht="19.5" customHeight="1" x14ac:dyDescent="0.2">
      <c r="A12" s="347" t="str">
        <f>'Акт согласования'!A23:E23</f>
        <v>-* texnik pasport: AAE 0278091 13.04.2018 y.</v>
      </c>
      <c r="B12" s="347"/>
      <c r="C12" s="347"/>
      <c r="D12" s="347"/>
      <c r="E12" s="347"/>
      <c r="F12" s="347"/>
      <c r="G12" s="347"/>
      <c r="H12" s="347"/>
    </row>
    <row r="13" spans="1:9" ht="19.5" customHeight="1" x14ac:dyDescent="0.2">
      <c r="A13" s="347" t="str">
        <f>'Акт согласования'!A24:E24</f>
        <v>-* roʻyxatdan oʻtgan manzili/garaj manzili: QORAQALPOG'ISTON RESPUBLIKASI TO'RTKO'L TUMANI TOZABOG'YOP OFY</v>
      </c>
      <c r="B13" s="347"/>
      <c r="C13" s="347"/>
      <c r="D13" s="347"/>
      <c r="E13" s="347"/>
      <c r="F13" s="347"/>
      <c r="G13" s="347"/>
      <c r="H13" s="347"/>
    </row>
    <row r="14" spans="1:9" ht="19.5" customHeight="1" x14ac:dyDescent="0.2">
      <c r="A14" s="347" t="str">
        <f>'Акт согласования'!A25:E25</f>
        <v>-* davlat raqami: 95P232GA</v>
      </c>
      <c r="B14" s="347"/>
      <c r="C14" s="347"/>
      <c r="D14" s="347"/>
      <c r="E14" s="347"/>
      <c r="F14" s="347"/>
      <c r="G14" s="347"/>
      <c r="H14" s="347"/>
    </row>
    <row r="15" spans="1:9" ht="33.75" customHeight="1" x14ac:dyDescent="0.2">
      <c r="A15" s="348" t="str">
        <f>+"Shu bilan birga, yuqoridagi mulkning kelishilgan garov qiymati "&amp;'Акт согласования'!E30</f>
        <v>Shu bilan birga, yuqoridagi mulkning kelishilgan garov qiymati 52 500 000,00 
(ellik ikki million besh yuz ming so'm)</v>
      </c>
      <c r="B15" s="348"/>
      <c r="C15" s="348"/>
      <c r="D15" s="348"/>
      <c r="E15" s="348"/>
      <c r="F15" s="348"/>
      <c r="G15" s="348"/>
      <c r="H15" s="348"/>
    </row>
    <row r="17" spans="1:8" s="153" customFormat="1" ht="32.25" customHeight="1" x14ac:dyDescent="0.2">
      <c r="A17" s="351" t="s">
        <v>277</v>
      </c>
      <c r="B17" s="351"/>
      <c r="C17" s="351"/>
      <c r="D17" s="351"/>
      <c r="E17" s="351"/>
      <c r="F17" s="351"/>
      <c r="G17" s="351"/>
      <c r="H17" s="351"/>
    </row>
    <row r="21" spans="1:8" s="32" customFormat="1" x14ac:dyDescent="0.2"/>
    <row r="22" spans="1:8" s="32" customFormat="1" x14ac:dyDescent="0.2">
      <c r="A22" s="32" t="str">
        <f>'Общие данные'!A154</f>
        <v>To'rtko'l filial boshlig'i</v>
      </c>
      <c r="H22" s="156" t="str">
        <f>'Общие данные'!B154</f>
        <v>USMANOV X. I.</v>
      </c>
    </row>
    <row r="23" spans="1:8" s="32" customFormat="1" ht="32.25" customHeight="1" x14ac:dyDescent="0.2">
      <c r="H23" s="156"/>
    </row>
    <row r="24" spans="1:8" s="32" customFormat="1" ht="16.5" customHeight="1" x14ac:dyDescent="0.2">
      <c r="A24" s="32" t="s">
        <v>278</v>
      </c>
      <c r="H24" s="32" t="str">
        <f>'Общие данные'!B164</f>
        <v>Jumanazarov B.T.</v>
      </c>
    </row>
    <row r="25" spans="1:8" s="32" customFormat="1" ht="60" customHeight="1" x14ac:dyDescent="0.2"/>
    <row r="26" spans="1:8" s="32" customFormat="1" x14ac:dyDescent="0.2">
      <c r="A26" s="32" t="s">
        <v>279</v>
      </c>
      <c r="H26" s="156" t="str">
        <f>'Общие данные'!B7</f>
        <v>DJUMANIYAZOV SH A</v>
      </c>
    </row>
    <row r="27" spans="1:8" s="32" customFormat="1" x14ac:dyDescent="0.2"/>
    <row r="28" spans="1:8" s="32" customFormat="1" x14ac:dyDescent="0.2"/>
    <row r="29" spans="1:8" s="32" customFormat="1" x14ac:dyDescent="0.2"/>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6" zoomScaleNormal="100" zoomScaleSheetLayoutView="100" workbookViewId="0">
      <selection activeCell="G22" sqref="G22"/>
    </sheetView>
  </sheetViews>
  <sheetFormatPr defaultColWidth="9.140625" defaultRowHeight="12.75" x14ac:dyDescent="0.2"/>
  <cols>
    <col min="1" max="2" width="11" style="25" customWidth="1"/>
    <col min="3" max="4" width="14.42578125" style="25" customWidth="1"/>
    <col min="5" max="6" width="13.5703125" style="25" customWidth="1"/>
    <col min="7" max="7" width="9.140625" style="25"/>
    <col min="8" max="8" width="19" style="25" bestFit="1" customWidth="1"/>
    <col min="9" max="16384" width="9.140625" style="25"/>
  </cols>
  <sheetData>
    <row r="1" spans="1:9" x14ac:dyDescent="0.2">
      <c r="A1" s="32"/>
      <c r="B1" s="32"/>
      <c r="C1" s="32"/>
      <c r="D1" s="32"/>
      <c r="E1" s="32"/>
      <c r="F1" s="32"/>
      <c r="G1" s="32"/>
      <c r="H1" s="32"/>
      <c r="I1" s="32"/>
    </row>
    <row r="2" spans="1:9" x14ac:dyDescent="0.2">
      <c r="A2" s="346" t="str">
        <f>""&amp;" "&amp;'Общие данные'!B74&amp;"-sonli "&amp;" "&amp;'Общие данные'!C64&amp;" shartnomasi bo‘yicha
 garovga qo‘yilgan mol-mulkni tekshirish bo’yicha "&amp;'Общие данные'!B5&amp;" bilan tuzilgan dalolatnomasi"</f>
        <v xml:space="preserve"> 6 yanvar 2025 y.dan №-TR-sonli  Mikroqarz shartnomasi bo‘yicha
 garovga qo‘yilgan mol-mulkni tekshirish bo’yicha DJUMANIYAZOV SHERIPBAY AYITBAYEVICH bilan tuzilgan dalolatnomasi</v>
      </c>
      <c r="B2" s="346"/>
      <c r="C2" s="346"/>
      <c r="D2" s="346"/>
      <c r="E2" s="346"/>
      <c r="F2" s="346"/>
      <c r="G2" s="346"/>
      <c r="H2" s="346"/>
      <c r="I2" s="32"/>
    </row>
    <row r="3" spans="1:9" x14ac:dyDescent="0.2">
      <c r="A3" s="346"/>
      <c r="B3" s="346"/>
      <c r="C3" s="346"/>
      <c r="D3" s="346"/>
      <c r="E3" s="346"/>
      <c r="F3" s="346"/>
      <c r="G3" s="346"/>
      <c r="H3" s="346"/>
      <c r="I3" s="32"/>
    </row>
    <row r="5" spans="1:9" x14ac:dyDescent="0.2">
      <c r="A5" s="25" t="s">
        <v>203</v>
      </c>
      <c r="H5" s="154" t="str">
        <f>TEXT(+'Общие данные'!B2+720,"ДД.ММ.ГГГГ")</f>
        <v>27.12.2026</v>
      </c>
    </row>
    <row r="7" spans="1:9" ht="45" customHeight="1" x14ac:dyDescent="0.2">
      <c r="A7" s="349" t="str">
        <f>"      Men, "&amp;'Общие данные'!B151&amp;" "&amp;'Общие данные'!A154&amp;"i "&amp;'Общие данные'!B154&amp;", jismoniy shaxs "&amp;" "&amp;'Общие данные'!B5&amp;" "&amp;" "&amp;'Общие данные'!B74&amp;"-sonli "&amp;'Общие данные'!C64&amp;" shartnomasi bo‘yicha garovga qo‘yilgan mol-mulkni ko‘zdan kechirdim"</f>
        <v xml:space="preserve">      Men, «CLEVER MIKROMOLIYA TASHKILOTI» MChJ To'rtko'l filial boshlig'ii USMANOV X. I., jismoniy shaxs  DJUMANIYAZOV SHERIPBAY AYITBAYEVICH  6 yanvar 2025 y.dan №-TR-sonli Mikroqarz shartnomasi bo‘yicha garovga qo‘yilgan mol-mulkni ko‘zdan kechirdim</v>
      </c>
      <c r="B7" s="349"/>
      <c r="C7" s="349"/>
      <c r="D7" s="349"/>
      <c r="E7" s="349"/>
      <c r="F7" s="349"/>
      <c r="G7" s="349"/>
      <c r="H7" s="349"/>
    </row>
    <row r="8" spans="1:9" ht="19.5" customHeight="1" x14ac:dyDescent="0.2">
      <c r="A8" s="350" t="s">
        <v>276</v>
      </c>
      <c r="B8" s="350"/>
      <c r="C8" s="350"/>
      <c r="D8" s="350"/>
      <c r="E8" s="350"/>
      <c r="F8" s="350"/>
      <c r="G8" s="350"/>
      <c r="H8" s="350"/>
    </row>
    <row r="9" spans="1:9" s="155" customFormat="1" ht="32.25" customHeight="1" x14ac:dyDescent="0.25">
      <c r="A9" s="344" t="str">
        <f>' Акт мониторинга 1'!A9</f>
        <v>Nomi</v>
      </c>
      <c r="B9" s="345"/>
      <c r="C9" s="344" t="str">
        <f>' Акт мониторинга 1'!C9</f>
        <v>Kuzov turi  va kuzov raqami*</v>
      </c>
      <c r="D9" s="345"/>
      <c r="E9" s="344" t="str">
        <f>' Акт мониторинга 1'!E9</f>
        <v>Dvigatel va shassi raqami*</v>
      </c>
      <c r="F9" s="345"/>
      <c r="G9" s="344" t="str">
        <f>' Акт мониторинга 1'!G9</f>
        <v>Ishlab chiqarilgan yili va rangi**</v>
      </c>
      <c r="H9" s="345"/>
    </row>
    <row r="10" spans="1:9" s="153" customFormat="1" ht="58.5" customHeight="1" x14ac:dyDescent="0.2">
      <c r="A10" s="352">
        <f>' Акт мониторинга 1'!A10</f>
        <v>3</v>
      </c>
      <c r="B10" s="352"/>
      <c r="C10" s="352" t="str">
        <f>' Акт мониторинга 1'!C10</f>
        <v>kuzov turi - YENGIL SEDAN, kuzov raqami XWB4A11AD8A152643</v>
      </c>
      <c r="D10" s="352"/>
      <c r="E10" s="352" t="str">
        <f>' Акт мониторинга 1'!E10</f>
        <v>dvigatel raqami F8CV521561KB1, shassi raqami - RAKAMSIZ</v>
      </c>
      <c r="F10" s="352"/>
      <c r="G10" s="352" t="str">
        <f>' Акт мониторинга 1'!G10</f>
        <v>rangi -  OQ-BELAYA KASABLANKA, ishlab chiqarilgan yili - 2007</v>
      </c>
      <c r="H10" s="352"/>
    </row>
    <row r="11" spans="1:9" ht="19.5" customHeight="1" x14ac:dyDescent="0.2">
      <c r="A11" s="347" t="str">
        <f>'Акт согласования'!A22:E22</f>
        <v>-* avtotransport egasi: MADRAXIMOV XOLMUROD RAMONBERDI O'GLI</v>
      </c>
      <c r="B11" s="347"/>
      <c r="C11" s="347"/>
      <c r="D11" s="347"/>
      <c r="E11" s="347"/>
      <c r="F11" s="347"/>
      <c r="G11" s="347"/>
      <c r="H11" s="347"/>
    </row>
    <row r="12" spans="1:9" ht="19.5" customHeight="1" x14ac:dyDescent="0.2">
      <c r="A12" s="347" t="str">
        <f>'Акт согласования'!A23:E23</f>
        <v>-* texnik pasport: AAE 0278091 13.04.2018 y.</v>
      </c>
      <c r="B12" s="347"/>
      <c r="C12" s="347"/>
      <c r="D12" s="347"/>
      <c r="E12" s="347"/>
      <c r="F12" s="347"/>
      <c r="G12" s="347"/>
      <c r="H12" s="347"/>
    </row>
    <row r="13" spans="1:9" ht="19.5" customHeight="1" x14ac:dyDescent="0.2">
      <c r="A13" s="347" t="str">
        <f>'Акт согласования'!A24:E24</f>
        <v>-* roʻyxatdan oʻtgan manzili/garaj manzili: QORAQALPOG'ISTON RESPUBLIKASI TO'RTKO'L TUMANI TOZABOG'YOP OFY</v>
      </c>
      <c r="B13" s="347"/>
      <c r="C13" s="347"/>
      <c r="D13" s="347"/>
      <c r="E13" s="347"/>
      <c r="F13" s="347"/>
      <c r="G13" s="347"/>
      <c r="H13" s="347"/>
    </row>
    <row r="14" spans="1:9" ht="19.5" customHeight="1" x14ac:dyDescent="0.2">
      <c r="A14" s="347" t="str">
        <f>'Акт согласования'!A25:E25</f>
        <v>-* davlat raqami: 95P232GA</v>
      </c>
      <c r="B14" s="347"/>
      <c r="C14" s="347"/>
      <c r="D14" s="347"/>
      <c r="E14" s="347"/>
      <c r="F14" s="347"/>
      <c r="G14" s="347"/>
      <c r="H14" s="347"/>
    </row>
    <row r="15" spans="1:9" ht="33.75" customHeight="1" x14ac:dyDescent="0.2">
      <c r="A15" s="348" t="str">
        <f>+"Shu bilan birga, yuqoridagi mulkning kelishilgan garov qiymati "&amp;'Акт согласования'!E30</f>
        <v>Shu bilan birga, yuqoridagi mulkning kelishilgan garov qiymati 52 500 000,00 
(ellik ikki million besh yuz ming so'm)</v>
      </c>
      <c r="B15" s="348"/>
      <c r="C15" s="348"/>
      <c r="D15" s="348"/>
      <c r="E15" s="348"/>
      <c r="F15" s="348"/>
      <c r="G15" s="348"/>
      <c r="H15" s="348"/>
    </row>
    <row r="17" spans="1:8" ht="28.5" customHeight="1" x14ac:dyDescent="0.2">
      <c r="A17" s="351" t="s">
        <v>277</v>
      </c>
      <c r="B17" s="351"/>
      <c r="C17" s="351"/>
      <c r="D17" s="351"/>
      <c r="E17" s="351"/>
      <c r="F17" s="351"/>
      <c r="G17" s="351"/>
      <c r="H17" s="351"/>
    </row>
    <row r="21" spans="1:8" s="32" customFormat="1" x14ac:dyDescent="0.2"/>
    <row r="22" spans="1:8" s="32" customFormat="1" x14ac:dyDescent="0.2">
      <c r="A22" s="32" t="str">
        <f>'Общие данные'!A154</f>
        <v>To'rtko'l filial boshlig'i</v>
      </c>
      <c r="H22" s="156" t="str">
        <f>'Общие данные'!B154</f>
        <v>USMANOV X. I.</v>
      </c>
    </row>
    <row r="23" spans="1:8" s="32" customFormat="1" ht="32.25" customHeight="1" x14ac:dyDescent="0.2">
      <c r="H23" s="156"/>
    </row>
    <row r="24" spans="1:8" s="32" customFormat="1" ht="16.5" customHeight="1" x14ac:dyDescent="0.2">
      <c r="A24" s="32" t="s">
        <v>278</v>
      </c>
      <c r="H24" s="32" t="str">
        <f>'Общие данные'!B164</f>
        <v>Jumanazarov B.T.</v>
      </c>
    </row>
    <row r="25" spans="1:8" s="32" customFormat="1" ht="60" customHeight="1" x14ac:dyDescent="0.2"/>
    <row r="26" spans="1:8" s="32" customFormat="1" x14ac:dyDescent="0.2">
      <c r="A26" s="32" t="s">
        <v>279</v>
      </c>
      <c r="H26" s="156" t="str">
        <f>'Общие данные'!B7</f>
        <v>DJUMANIYAZOV SH A</v>
      </c>
    </row>
    <row r="27" spans="1:8" s="32" customFormat="1" x14ac:dyDescent="0.2"/>
    <row r="28" spans="1:8" s="32" customFormat="1" x14ac:dyDescent="0.2"/>
    <row r="29" spans="1:8" s="32" customFormat="1" x14ac:dyDescent="0.2"/>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9</vt:i4>
      </vt:variant>
    </vt:vector>
  </HeadingPairs>
  <TitlesOfParts>
    <vt:vector size="30"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2</vt:lpstr>
      <vt:lpstr> Акт мониторинга 1</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Admin</cp:lastModifiedBy>
  <cp:lastPrinted>2025-01-24T05:38:04Z</cp:lastPrinted>
  <dcterms:created xsi:type="dcterms:W3CDTF">2015-06-05T18:19:34Z</dcterms:created>
  <dcterms:modified xsi:type="dcterms:W3CDTF">2025-02-02T15:20:51Z</dcterms:modified>
</cp:coreProperties>
</file>