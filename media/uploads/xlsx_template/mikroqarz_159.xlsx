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Z:\Кредитный дела 2025\04 Апрель\№745 самарқанд\"/>
    </mc:Choice>
  </mc:AlternateContent>
  <xr:revisionPtr revIDLastSave="0" documentId="13_ncr:1_{37299AA6-37EA-4B5A-89F0-9E6EE54FA3B5}" xr6:coauthVersionLast="47" xr6:coauthVersionMax="47" xr10:uidLastSave="{00000000-0000-0000-0000-000000000000}"/>
  <bookViews>
    <workbookView xWindow="-120" yWindow="-120" windowWidth="29040" windowHeight="15840" tabRatio="915" activeTab="15"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grafik" sheetId="16" r:id="rId9"/>
    <sheet name="dalolatnoma" sheetId="7" r:id="rId10"/>
    <sheet name="ariza" sheetId="30" r:id="rId11"/>
    <sheet name="muqova" sheetId="9" r:id="rId12"/>
    <sheet name="mijoz_anketasi" sheetId="4" r:id="rId13"/>
    <sheet name="majburiyatnoma" sheetId="24" r:id="rId14"/>
    <sheet name="kredit_ariza" sheetId="2" r:id="rId15"/>
    <sheet name="garov_ariza" sheetId="13" r:id="rId16"/>
    <sheet name="Письмо" sheetId="20" state="hidden" r:id="rId17"/>
    <sheet name="akt_monitoring_1" sheetId="26" r:id="rId18"/>
    <sheet name="akt_monitoring_2" sheetId="27" r:id="rId19"/>
    <sheet name="akt_monitoring_3" sheetId="28" r:id="rId20"/>
    <sheet name="akt_monitoring_4" sheetId="29" r:id="rId21"/>
    <sheet name="notarius" sheetId="32" r:id="rId22"/>
    <sheet name="Анкета 2" sheetId="22" r:id="rId23"/>
  </sheets>
  <externalReferences>
    <externalReference r:id="rId24"/>
  </externalReferences>
  <definedNames>
    <definedName name="mos">'[1]Общие данные'!$C$23:$D$23</definedName>
    <definedName name="mulk">'[1]Общие данные'!$C$24:$W$24</definedName>
    <definedName name="_xlnm.Print_Area" localSheetId="17">akt_monitoring_1!$A$1:$H$33</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ariza!$A$1:$D$25</definedName>
    <definedName name="_xlnm.Print_Area" localSheetId="3">bayonnoma!$A$1:$E$52</definedName>
    <definedName name="_xlnm.Print_Area" localSheetId="2">buyruq!$A$1:$E$29</definedName>
    <definedName name="_xlnm.Print_Area" localSheetId="9">dalolatnoma!$A$1:$E$61</definedName>
    <definedName name="_xlnm.Print_Area" localSheetId="15">garov_ariza!$A$5:$C$25</definedName>
    <definedName name="_xlnm.Print_Area" localSheetId="8">grafik!$A$1:$F$75</definedName>
    <definedName name="_xlnm.Print_Area" localSheetId="14">kredit_ariza!$A$1:$D$52</definedName>
    <definedName name="_xlnm.Print_Area" localSheetId="12">mijoz_anketasi!$A$1:$F$36</definedName>
    <definedName name="_xlnm.Print_Area" localSheetId="11">muqova!$A$1:$F$40</definedName>
    <definedName name="_xlnm.Print_Area" localSheetId="21">notarius!$A$1:$D$31</definedName>
    <definedName name="_xlnm.Print_Area" localSheetId="1">shartnoma!$A$1:$B$130</definedName>
    <definedName name="_xlnm.Print_Area" localSheetId="7">xulosa!$A$1:$E$70</definedName>
    <definedName name="_xlnm.Print_Area" localSheetId="6">'График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4" i="1" l="1"/>
  <c r="A19" i="13" l="1"/>
  <c r="D62" i="7"/>
  <c r="B122" i="1"/>
  <c r="B128" i="1" s="1"/>
  <c r="B121" i="1"/>
  <c r="B127" i="1" s="1"/>
  <c r="B124" i="1"/>
  <c r="B130" i="1" s="1"/>
  <c r="B119" i="1"/>
  <c r="B125" i="1" s="1"/>
  <c r="D59" i="7"/>
  <c r="A62" i="7"/>
  <c r="B40" i="1" l="1"/>
  <c r="B19" i="1"/>
  <c r="C86" i="1" l="1"/>
  <c r="B86" i="1"/>
  <c r="B82" i="1"/>
  <c r="A7" i="32" l="1"/>
  <c r="A6" i="32"/>
  <c r="A16" i="32"/>
  <c r="A15" i="32"/>
  <c r="A14" i="32"/>
  <c r="A12" i="32"/>
  <c r="A21" i="7"/>
  <c r="D11" i="32"/>
  <c r="C11" i="32"/>
  <c r="B11" i="32"/>
  <c r="B20" i="7"/>
  <c r="C23" i="13" l="1"/>
  <c r="A23" i="13"/>
  <c r="D43" i="2"/>
  <c r="A43" i="2"/>
  <c r="D63" i="3"/>
  <c r="D59" i="3"/>
  <c r="D55" i="3"/>
  <c r="A63" i="3"/>
  <c r="A59" i="3"/>
  <c r="A55" i="3"/>
  <c r="D45" i="23"/>
  <c r="D49" i="23"/>
  <c r="A49" i="23"/>
  <c r="A45" i="23"/>
  <c r="A41" i="23"/>
  <c r="C4" i="30"/>
  <c r="A20" i="30"/>
  <c r="B120" i="19"/>
  <c r="B72" i="16"/>
  <c r="B71" i="16"/>
  <c r="E52" i="7"/>
  <c r="A10" i="30"/>
  <c r="B10" i="30"/>
  <c r="A11" i="30"/>
  <c r="B11" i="30"/>
  <c r="A12" i="30"/>
  <c r="B12" i="30"/>
  <c r="A13" i="30"/>
  <c r="B13" i="30"/>
  <c r="A14" i="30"/>
  <c r="B14" i="30"/>
  <c r="C5" i="30"/>
  <c r="C1" i="30"/>
  <c r="A16" i="30"/>
  <c r="A126" i="19"/>
  <c r="B141" i="1" l="1"/>
  <c r="D12" i="32" s="1"/>
  <c r="B135" i="1" l="1"/>
  <c r="B12" i="32" s="1"/>
  <c r="B65" i="1" l="1"/>
  <c r="F27" i="4"/>
  <c r="A21" i="3" s="1"/>
  <c r="A124" i="19"/>
  <c r="B125" i="19"/>
  <c r="A52" i="7"/>
  <c r="C7" i="13"/>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C124" i="1"/>
  <c r="C130" i="1" s="1"/>
  <c r="C122" i="1"/>
  <c r="C128" i="1" s="1"/>
  <c r="C121" i="1"/>
  <c r="C127" i="1" s="1"/>
  <c r="C120" i="1"/>
  <c r="C126" i="1" s="1"/>
  <c r="C119" i="1"/>
  <c r="C125" i="1" s="1"/>
  <c r="A61" i="7"/>
  <c r="F61" i="7"/>
  <c r="A25" i="7"/>
  <c r="A23" i="7"/>
  <c r="A45" i="15" l="1"/>
  <c r="A52" i="12"/>
  <c r="H27" i="27"/>
  <c r="A9" i="26"/>
  <c r="A9" i="29" s="1"/>
  <c r="A46" i="15" l="1"/>
  <c r="A53" i="12"/>
  <c r="A9" i="27"/>
  <c r="A9" i="28"/>
  <c r="I134" i="1"/>
  <c r="A48" i="3"/>
  <c r="A35" i="3"/>
  <c r="E30" i="3"/>
  <c r="A30" i="3"/>
  <c r="A33" i="3"/>
  <c r="A47" i="15" l="1"/>
  <c r="A54" i="12"/>
  <c r="D29" i="7"/>
  <c r="D30" i="3" s="1"/>
  <c r="F138" i="1"/>
  <c r="E141" i="1"/>
  <c r="E138" i="1"/>
  <c r="D20" i="7"/>
  <c r="E20" i="7"/>
  <c r="G9" i="26" s="1"/>
  <c r="A48" i="15" l="1"/>
  <c r="A55" i="12"/>
  <c r="G9" i="28"/>
  <c r="G9" i="27"/>
  <c r="G9" i="29"/>
  <c r="B29" i="7"/>
  <c r="B30" i="3" s="1"/>
  <c r="C9" i="26"/>
  <c r="C29" i="7"/>
  <c r="C30" i="3" s="1"/>
  <c r="E9" i="26"/>
  <c r="A49" i="15" l="1"/>
  <c r="E9" i="29"/>
  <c r="E9" i="28"/>
  <c r="E9" i="27"/>
  <c r="C9" i="29"/>
  <c r="C9" i="28"/>
  <c r="C9" i="27"/>
  <c r="B76" i="1"/>
  <c r="A9" i="30" s="1"/>
  <c r="A50" i="15" l="1"/>
  <c r="H27" i="29"/>
  <c r="H27" i="28"/>
  <c r="A22" i="26"/>
  <c r="H27" i="26"/>
  <c r="A51" i="3"/>
  <c r="A37" i="3"/>
  <c r="A1" i="3"/>
  <c r="D17" i="23"/>
  <c r="E17" i="23" s="1"/>
  <c r="A1" i="23"/>
  <c r="D70" i="16"/>
  <c r="A51" i="15" l="1"/>
  <c r="A118" i="1"/>
  <c r="A117" i="1"/>
  <c r="A116" i="1"/>
  <c r="A115" i="1"/>
  <c r="C22" i="1"/>
  <c r="H9" i="23"/>
  <c r="A69" i="16"/>
  <c r="A52" i="15" l="1"/>
  <c r="A18" i="23"/>
  <c r="A7" i="23"/>
  <c r="B49" i="1"/>
  <c r="B59" i="1" s="1"/>
  <c r="A53" i="15" l="1"/>
  <c r="A16" i="4"/>
  <c r="A17" i="4"/>
  <c r="A7" i="24"/>
  <c r="B27" i="1"/>
  <c r="B117" i="19" s="1"/>
  <c r="B34" i="1"/>
  <c r="C8" i="13"/>
  <c r="A54" i="15" l="1"/>
  <c r="A24" i="7"/>
  <c r="A34" i="3" s="1"/>
  <c r="B45" i="1"/>
  <c r="B58" i="1"/>
  <c r="A51" i="7"/>
  <c r="C6" i="13"/>
  <c r="D2" i="2"/>
  <c r="C76" i="1"/>
  <c r="A34" i="23"/>
  <c r="A55" i="15" l="1"/>
  <c r="A30" i="2"/>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59" i="16" l="1"/>
  <c r="A13" i="2"/>
  <c r="A16" i="2"/>
  <c r="A21" i="2"/>
  <c r="A14" i="23"/>
  <c r="A4" i="2"/>
  <c r="B26" i="9"/>
  <c r="A22" i="23"/>
  <c r="A14" i="19"/>
  <c r="A15" i="2"/>
  <c r="A24" i="23"/>
  <c r="A21" i="23"/>
  <c r="A40" i="19"/>
  <c r="A23" i="23"/>
  <c r="B25" i="9"/>
  <c r="A21" i="19"/>
  <c r="A13" i="19"/>
  <c r="A14" i="2"/>
  <c r="A26" i="3"/>
  <c r="A61" i="19"/>
  <c r="A23" i="19"/>
  <c r="A11" i="19"/>
  <c r="A22" i="7" l="1"/>
  <c r="A32" i="3" s="1"/>
  <c r="A13" i="32"/>
  <c r="A18" i="8"/>
  <c r="H7" i="23"/>
  <c r="A2" i="23" s="1"/>
  <c r="A118" i="19" l="1"/>
  <c r="A65" i="16" s="1"/>
  <c r="A30" i="4"/>
  <c r="D67" i="16"/>
  <c r="A15" i="4"/>
  <c r="A14" i="4"/>
  <c r="A13" i="4"/>
  <c r="A7" i="3"/>
  <c r="C8" i="15"/>
  <c r="J12" i="15"/>
  <c r="A10" i="4" l="1"/>
  <c r="A9" i="4" s="1"/>
  <c r="D71" i="16"/>
  <c r="B122" i="19"/>
  <c r="D69" i="16" s="1"/>
  <c r="B121" i="19"/>
  <c r="D68" i="16" s="1"/>
  <c r="D64" i="16"/>
  <c r="B116" i="19"/>
  <c r="D63" i="16" s="1"/>
  <c r="A121" i="19" l="1"/>
  <c r="A68" i="16" s="1"/>
  <c r="A120" i="19"/>
  <c r="A67" i="16" s="1"/>
  <c r="A119" i="19"/>
  <c r="A66" i="16" s="1"/>
  <c r="A117" i="19"/>
  <c r="A64" i="16" s="1"/>
  <c r="B24" i="9" l="1"/>
  <c r="B2" i="9"/>
  <c r="A22" i="29"/>
  <c r="A22" i="28"/>
  <c r="H5" i="29"/>
  <c r="H5" i="28"/>
  <c r="H5" i="27"/>
  <c r="A22" i="27"/>
  <c r="H22" i="26"/>
  <c r="D2" i="1"/>
  <c r="H5" i="26" s="1"/>
  <c r="A28" i="13"/>
  <c r="A26" i="13"/>
  <c r="A34" i="2"/>
  <c r="A29" i="4"/>
  <c r="A28" i="4"/>
  <c r="A20" i="4"/>
  <c r="A7" i="4"/>
  <c r="A11" i="24"/>
  <c r="A14" i="7"/>
  <c r="A13" i="7"/>
  <c r="A2" i="7"/>
  <c r="A8" i="3"/>
  <c r="A5" i="3"/>
  <c r="A4" i="3"/>
  <c r="A11" i="8"/>
  <c r="A10" i="8"/>
  <c r="A9" i="8"/>
  <c r="A12" i="2"/>
  <c r="A11" i="2"/>
  <c r="A7" i="2"/>
  <c r="B172" i="1"/>
  <c r="H134" i="1"/>
  <c r="I133" i="1"/>
  <c r="F133" i="1" s="1"/>
  <c r="H133" i="1"/>
  <c r="C133" i="1"/>
  <c r="B9" i="1"/>
  <c r="B8" i="1"/>
  <c r="B120" i="1" s="1"/>
  <c r="B145" i="1"/>
  <c r="E21" i="7"/>
  <c r="B138" i="1"/>
  <c r="B21" i="7"/>
  <c r="C10" i="26" s="1"/>
  <c r="B126" i="1" l="1"/>
  <c r="A63" i="7"/>
  <c r="D21" i="7"/>
  <c r="E10" i="26" s="1"/>
  <c r="E10" i="28" s="1"/>
  <c r="C12" i="32"/>
  <c r="B11" i="1"/>
  <c r="B13" i="1" s="1"/>
  <c r="G10" i="26"/>
  <c r="D30" i="7"/>
  <c r="D31" i="3" s="1"/>
  <c r="C10" i="28"/>
  <c r="C10" i="27"/>
  <c r="C10" i="29"/>
  <c r="C134" i="1"/>
  <c r="A17" i="7" s="1"/>
  <c r="A10" i="26"/>
  <c r="C145" i="1"/>
  <c r="B146" i="1"/>
  <c r="A6" i="2"/>
  <c r="E30" i="7"/>
  <c r="E31" i="3" s="1"/>
  <c r="A48" i="7"/>
  <c r="A15" i="7"/>
  <c r="E133" i="1"/>
  <c r="A27" i="3"/>
  <c r="C9" i="13"/>
  <c r="A20" i="3"/>
  <c r="A27" i="2"/>
  <c r="A28" i="2"/>
  <c r="F134" i="1"/>
  <c r="E134" i="1"/>
  <c r="B10" i="1"/>
  <c r="A8" i="8" s="1"/>
  <c r="E10" i="29" l="1"/>
  <c r="E10" i="27"/>
  <c r="A28" i="3"/>
  <c r="A29" i="3" s="1"/>
  <c r="A26" i="23" s="1"/>
  <c r="A24" i="2"/>
  <c r="A17" i="8"/>
  <c r="G10" i="28"/>
  <c r="G10" i="29"/>
  <c r="G10" i="27"/>
  <c r="A16" i="8"/>
  <c r="A25" i="2"/>
  <c r="A16" i="7"/>
  <c r="A18" i="7" s="1"/>
  <c r="A19" i="7" s="1"/>
  <c r="A10" i="27"/>
  <c r="A10" i="28"/>
  <c r="A10" i="29"/>
  <c r="A38" i="3"/>
  <c r="B12" i="1"/>
  <c r="A15" i="13" l="1"/>
  <c r="A14" i="13"/>
  <c r="A21" i="4"/>
  <c r="A10" i="2"/>
  <c r="A9" i="2"/>
  <c r="A19" i="4"/>
  <c r="A13" i="13" l="1"/>
  <c r="B66" i="1"/>
  <c r="A1" i="19" s="1"/>
  <c r="H31" i="29"/>
  <c r="H31" i="28"/>
  <c r="H31" i="27"/>
  <c r="H22" i="29"/>
  <c r="H22" i="28"/>
  <c r="H22" i="27"/>
  <c r="H31" i="26"/>
  <c r="D56" i="7" l="1"/>
  <c r="A56" i="7"/>
  <c r="A129" i="19"/>
  <c r="R132" i="1" l="1"/>
  <c r="R133" i="1" s="1"/>
  <c r="N134" i="1" s="1"/>
  <c r="A29" i="13"/>
  <c r="A30" i="13" s="1"/>
  <c r="A32" i="13" s="1"/>
  <c r="A20" i="13" s="1"/>
  <c r="C63" i="7" s="1"/>
  <c r="Q132" i="1"/>
  <c r="Q133" i="1" s="1"/>
  <c r="N133" i="1" s="1"/>
  <c r="B24" i="4" l="1"/>
  <c r="B67" i="1" l="1"/>
  <c r="C78" i="1" s="1"/>
  <c r="C79" i="1" s="1"/>
  <c r="C80" i="1" s="1"/>
  <c r="B79" i="1" s="1"/>
  <c r="B80" i="1" s="1"/>
  <c r="B153" i="1" l="1"/>
  <c r="B151" i="1"/>
  <c r="C18" i="1" l="1"/>
  <c r="B20" i="1" l="1"/>
  <c r="C20" i="1"/>
  <c r="A5" i="19" s="1"/>
  <c r="A9" i="32" l="1"/>
  <c r="B123" i="1"/>
  <c r="B129" i="1" s="1"/>
  <c r="C123" i="1"/>
  <c r="C129" i="1" s="1"/>
  <c r="B119" i="19"/>
  <c r="D65" i="16" s="1"/>
  <c r="C6" i="30"/>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4" i="1"/>
  <c r="D49" i="7" l="1"/>
  <c r="E33" i="7"/>
  <c r="A38" i="20"/>
  <c r="A37" i="20"/>
  <c r="B19" i="20"/>
  <c r="C19" i="20"/>
  <c r="D19" i="20"/>
  <c r="E19" i="20"/>
  <c r="A19" i="20"/>
  <c r="L5" i="15" l="1"/>
  <c r="I8" i="15" l="1"/>
  <c r="E20" i="20"/>
  <c r="B26" i="4"/>
  <c r="B27" i="4" s="1"/>
  <c r="A33" i="20" l="1"/>
  <c r="C19" i="1"/>
  <c r="B21" i="1" l="1"/>
  <c r="A6" i="3" s="1"/>
  <c r="C21" i="1"/>
  <c r="B8" i="15"/>
  <c r="C5" i="22"/>
  <c r="A33" i="22" s="1"/>
  <c r="R43" i="15" l="1"/>
  <c r="R44" i="15"/>
  <c r="R45" i="15"/>
  <c r="R46" i="15"/>
  <c r="R47" i="15"/>
  <c r="O47" i="15" s="1"/>
  <c r="P47" i="15" s="1"/>
  <c r="Q47" i="15" s="1"/>
  <c r="B47" i="15" s="1"/>
  <c r="R48" i="15"/>
  <c r="R49" i="15"/>
  <c r="O49" i="15" s="1"/>
  <c r="P49" i="15" s="1"/>
  <c r="Q49" i="15" s="1"/>
  <c r="B49" i="15" s="1"/>
  <c r="R50" i="15"/>
  <c r="R51" i="15"/>
  <c r="R52" i="15"/>
  <c r="R53" i="15"/>
  <c r="R54" i="15"/>
  <c r="R55" i="15"/>
  <c r="O43" i="15"/>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B49" i="12"/>
  <c r="H49" i="15"/>
  <c r="O48" i="15"/>
  <c r="P48" i="15" s="1"/>
  <c r="Q48" i="15" s="1"/>
  <c r="B48" i="15" s="1"/>
  <c r="G49" i="15" s="1"/>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6" i="12" l="1"/>
  <c r="G46" i="15"/>
  <c r="H46" i="15"/>
  <c r="G47" i="15"/>
  <c r="B52" i="12"/>
  <c r="G52" i="15"/>
  <c r="H52" i="15"/>
  <c r="B53" i="12"/>
  <c r="G53" i="15"/>
  <c r="H53" i="15"/>
  <c r="B54" i="12"/>
  <c r="H54" i="15"/>
  <c r="G54" i="15"/>
  <c r="B45" i="12"/>
  <c r="G45" i="15"/>
  <c r="H45" i="15"/>
  <c r="B50" i="12"/>
  <c r="G50" i="15"/>
  <c r="H50" i="15"/>
  <c r="B51" i="12"/>
  <c r="H51" i="15"/>
  <c r="G51" i="15"/>
  <c r="H47" i="12"/>
  <c r="G47" i="12"/>
  <c r="B48" i="16"/>
  <c r="B55" i="12"/>
  <c r="G55" i="15"/>
  <c r="H55" i="15"/>
  <c r="H49" i="12"/>
  <c r="B50" i="16"/>
  <c r="B48" i="12"/>
  <c r="H48" i="15"/>
  <c r="G48" i="15"/>
  <c r="B44" i="12"/>
  <c r="G44" i="12" s="1"/>
  <c r="H44" i="15"/>
  <c r="G44"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H54" i="12" l="1"/>
  <c r="B55" i="16"/>
  <c r="G54" i="12"/>
  <c r="H55" i="12"/>
  <c r="B56" i="16"/>
  <c r="G55" i="12"/>
  <c r="B54" i="16"/>
  <c r="G53" i="12"/>
  <c r="H53" i="12"/>
  <c r="H52" i="12"/>
  <c r="G52" i="12"/>
  <c r="B53" i="16"/>
  <c r="H51" i="12"/>
  <c r="B52" i="16"/>
  <c r="G51" i="12"/>
  <c r="H48" i="12"/>
  <c r="B49" i="16"/>
  <c r="G48" i="12"/>
  <c r="G49" i="12"/>
  <c r="B45" i="16"/>
  <c r="H44" i="12"/>
  <c r="H45" i="12"/>
  <c r="B46" i="16"/>
  <c r="G45" i="12"/>
  <c r="B51" i="16"/>
  <c r="G50" i="12"/>
  <c r="H50" i="12"/>
  <c r="G46" i="12"/>
  <c r="B47" i="16"/>
  <c r="H46" i="12"/>
  <c r="G32" i="12"/>
  <c r="H41" i="12"/>
  <c r="G41" i="12"/>
  <c r="G42" i="12"/>
  <c r="G10" i="15"/>
  <c r="H10" i="15"/>
  <c r="H9" i="15"/>
  <c r="G13" i="15"/>
  <c r="G12" i="15"/>
  <c r="H12" i="15"/>
  <c r="H11" i="15"/>
  <c r="G11" i="15"/>
  <c r="I67" i="1"/>
  <c r="G67" i="1"/>
  <c r="A116" i="19" l="1"/>
  <c r="A63" i="16" s="1"/>
  <c r="F67" i="1" l="1"/>
  <c r="E67" i="1"/>
  <c r="A20" i="2" s="1"/>
  <c r="C67" i="1"/>
  <c r="C65" i="1"/>
  <c r="C66" i="1" l="1"/>
  <c r="I66" i="1"/>
  <c r="G66" i="1"/>
  <c r="D67" i="1"/>
  <c r="B152" i="1" s="1"/>
  <c r="A26" i="19" s="1"/>
  <c r="H67" i="1"/>
  <c r="B69" i="1" s="1"/>
  <c r="E66" i="1"/>
  <c r="F66" i="1"/>
  <c r="A4" i="24" l="1"/>
  <c r="B173" i="1"/>
  <c r="A30" i="19"/>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A4" i="8"/>
  <c r="B150" i="1"/>
  <c r="E4" i="7" s="1"/>
  <c r="A39" i="20"/>
  <c r="B40" i="9"/>
  <c r="A19" i="2"/>
  <c r="D72" i="15"/>
  <c r="A70" i="15"/>
  <c r="A68" i="15"/>
  <c r="D64" i="15"/>
  <c r="D60" i="15"/>
  <c r="A60" i="15"/>
  <c r="A25" i="23" l="1"/>
  <c r="A14" i="8"/>
  <c r="A7" i="7"/>
  <c r="A10" i="7"/>
  <c r="A26" i="7"/>
  <c r="A15" i="3"/>
  <c r="H27" i="15"/>
  <c r="G27" i="15"/>
  <c r="G28" i="15"/>
  <c r="H28" i="15"/>
  <c r="G30" i="15"/>
  <c r="G31" i="15"/>
  <c r="H30" i="15"/>
  <c r="G29" i="15"/>
  <c r="H29" i="15"/>
  <c r="G26" i="15"/>
  <c r="H26" i="15"/>
  <c r="H24" i="15"/>
  <c r="G24" i="15"/>
  <c r="G25" i="15"/>
  <c r="A6" i="7" l="1"/>
  <c r="F2" i="15"/>
  <c r="B62" i="1" l="1"/>
  <c r="D67" i="15" l="1"/>
  <c r="C19" i="13" l="1"/>
  <c r="C10" i="13"/>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50" i="1"/>
  <c r="A9" i="20" l="1"/>
  <c r="N131" i="1"/>
  <c r="E44" i="7"/>
  <c r="E31" i="20" s="1"/>
  <c r="A23" i="2" l="1"/>
  <c r="A32" i="20"/>
  <c r="D72" i="12"/>
  <c r="A70" i="12"/>
  <c r="A68" i="12"/>
  <c r="D64" i="12"/>
  <c r="D60" i="12"/>
  <c r="A60"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63" i="15" l="1"/>
  <c r="A67" i="15"/>
  <c r="A72" i="15"/>
  <c r="D74" i="15"/>
  <c r="A62" i="15"/>
  <c r="A66" i="15"/>
  <c r="A65" i="15"/>
  <c r="A64" i="15"/>
  <c r="D63" i="15"/>
  <c r="D70" i="15"/>
  <c r="D62" i="15"/>
  <c r="A72" i="12"/>
  <c r="A66" i="12"/>
  <c r="A63" i="12"/>
  <c r="A67" i="12"/>
  <c r="A64" i="12"/>
  <c r="A13" i="3"/>
  <c r="A41" i="3" s="1"/>
  <c r="A65" i="12"/>
  <c r="D68" i="12"/>
  <c r="D66" i="12"/>
  <c r="D67" i="12"/>
  <c r="D63" i="12"/>
  <c r="D70" i="12"/>
  <c r="D62" i="12"/>
  <c r="A62"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I20" i="15"/>
  <c r="J20" i="15"/>
  <c r="K20" i="15" s="1"/>
  <c r="C10" i="15" l="1"/>
  <c r="L10" i="15"/>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I44" i="15" l="1"/>
  <c r="J44" i="15"/>
  <c r="K44" i="15" s="1"/>
  <c r="C15" i="15"/>
  <c r="M14" i="15"/>
  <c r="F14" i="15" s="1"/>
  <c r="I45" i="15" l="1"/>
  <c r="J45" i="15"/>
  <c r="K45" i="15" s="1"/>
  <c r="L15" i="15"/>
  <c r="E15" i="15" s="1"/>
  <c r="I46" i="15" l="1"/>
  <c r="J46" i="15"/>
  <c r="K46" i="15" s="1"/>
  <c r="D15" i="15"/>
  <c r="I47" i="15" l="1"/>
  <c r="J47" i="15"/>
  <c r="K47" i="15" s="1"/>
  <c r="M15" i="15"/>
  <c r="F15" i="15" s="1"/>
  <c r="C16" i="15"/>
  <c r="I48" i="15" l="1"/>
  <c r="J48" i="15"/>
  <c r="K48" i="15" s="1"/>
  <c r="L16" i="15"/>
  <c r="E16" i="15" s="1"/>
  <c r="I49" i="15" l="1"/>
  <c r="J49" i="15"/>
  <c r="K49" i="15" s="1"/>
  <c r="D16" i="15"/>
  <c r="I50" i="15" l="1"/>
  <c r="J50" i="15"/>
  <c r="K50" i="15" s="1"/>
  <c r="M16" i="15"/>
  <c r="F16" i="15" s="1"/>
  <c r="C17" i="15"/>
  <c r="I51" i="15" l="1"/>
  <c r="J51" i="15"/>
  <c r="K51" i="15" s="1"/>
  <c r="L17" i="15"/>
  <c r="E17" i="15" s="1"/>
  <c r="J52" i="15" l="1"/>
  <c r="K52" i="15" s="1"/>
  <c r="I52" i="15"/>
  <c r="D17" i="15"/>
  <c r="J53" i="15" l="1"/>
  <c r="K53" i="15" s="1"/>
  <c r="I53" i="15"/>
  <c r="M17" i="15"/>
  <c r="F17" i="15" s="1"/>
  <c r="C18" i="15"/>
  <c r="J54" i="15" l="1"/>
  <c r="K54" i="15" s="1"/>
  <c r="I54" i="15"/>
  <c r="J55" i="15" s="1"/>
  <c r="K55" i="15" s="1"/>
  <c r="I55" i="15" s="1"/>
  <c r="L18" i="15"/>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l="1"/>
  <c r="E43" i="15" s="1"/>
  <c r="D43" i="15"/>
  <c r="M43" i="15" l="1"/>
  <c r="F43" i="15" s="1"/>
  <c r="C44" i="15"/>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45" i="16" l="1"/>
  <c r="L44" i="15"/>
  <c r="D44" i="15" s="1"/>
  <c r="C45" i="15" s="1"/>
  <c r="B90" i="1"/>
  <c r="F8" i="12" s="1"/>
  <c r="C63" i="1"/>
  <c r="C60" i="1" s="1"/>
  <c r="C46" i="16" l="1"/>
  <c r="L45" i="15"/>
  <c r="E45" i="15" s="1"/>
  <c r="E46" i="16" s="1"/>
  <c r="D45" i="15"/>
  <c r="E44" i="15"/>
  <c r="E45" i="16" s="1"/>
  <c r="D45" i="16"/>
  <c r="A23" i="3"/>
  <c r="A22" i="3" s="1"/>
  <c r="A24" i="3"/>
  <c r="D8" i="12"/>
  <c r="F9" i="12"/>
  <c r="M44" i="15" l="1"/>
  <c r="F44" i="15" s="1"/>
  <c r="F45" i="16" s="1"/>
  <c r="M45" i="15"/>
  <c r="F45" i="15" s="1"/>
  <c r="F46" i="16" s="1"/>
  <c r="D46" i="16"/>
  <c r="C46" i="15"/>
  <c r="F10" i="12"/>
  <c r="C9" i="12"/>
  <c r="C47" i="16" l="1"/>
  <c r="L46" i="15"/>
  <c r="E46" i="15" s="1"/>
  <c r="E47" i="16" s="1"/>
  <c r="D46" i="15"/>
  <c r="C47" i="15" s="1"/>
  <c r="E9" i="12"/>
  <c r="F11" i="12"/>
  <c r="C48" i="16" l="1"/>
  <c r="D47" i="15"/>
  <c r="C48" i="15" s="1"/>
  <c r="L47" i="15"/>
  <c r="E47" i="15" s="1"/>
  <c r="E48" i="16" s="1"/>
  <c r="M46" i="15"/>
  <c r="F46" i="15" s="1"/>
  <c r="F47" i="16" s="1"/>
  <c r="D47" i="16"/>
  <c r="F12" i="12"/>
  <c r="D9" i="12"/>
  <c r="C49" i="16" l="1"/>
  <c r="L48" i="15"/>
  <c r="D48" i="15" s="1"/>
  <c r="C49" i="15" s="1"/>
  <c r="M47" i="15"/>
  <c r="F47" i="15" s="1"/>
  <c r="F48" i="16" s="1"/>
  <c r="D48" i="16"/>
  <c r="C10" i="12"/>
  <c r="F13" i="12"/>
  <c r="E48" i="15" l="1"/>
  <c r="E49" i="16" s="1"/>
  <c r="C50" i="16"/>
  <c r="D49" i="15"/>
  <c r="C50" i="15" s="1"/>
  <c r="L49" i="15"/>
  <c r="E49" i="15" s="1"/>
  <c r="E50" i="16" s="1"/>
  <c r="D49" i="16"/>
  <c r="M48" i="15"/>
  <c r="F48" i="15" s="1"/>
  <c r="F49" i="16" s="1"/>
  <c r="F14" i="12"/>
  <c r="E10" i="12"/>
  <c r="C51" i="16" l="1"/>
  <c r="L50" i="15"/>
  <c r="E50" i="15" s="1"/>
  <c r="E51" i="16" s="1"/>
  <c r="D50" i="15"/>
  <c r="C51" i="15" s="1"/>
  <c r="M49" i="15"/>
  <c r="F49" i="15" s="1"/>
  <c r="F50" i="16" s="1"/>
  <c r="D50" i="16"/>
  <c r="D10" i="12"/>
  <c r="F15" i="12"/>
  <c r="C52" i="16" l="1"/>
  <c r="L51" i="15"/>
  <c r="E51" i="15" s="1"/>
  <c r="E52" i="16" s="1"/>
  <c r="D51" i="15"/>
  <c r="C52" i="15" s="1"/>
  <c r="M50" i="15"/>
  <c r="F50" i="15" s="1"/>
  <c r="F51" i="16" s="1"/>
  <c r="D51" i="16"/>
  <c r="F16" i="12"/>
  <c r="C11" i="12"/>
  <c r="M51" i="15" l="1"/>
  <c r="F51" i="15" s="1"/>
  <c r="F52" i="16" s="1"/>
  <c r="D52" i="16"/>
  <c r="C53" i="16"/>
  <c r="L52" i="15"/>
  <c r="E52" i="15" s="1"/>
  <c r="E53" i="16" s="1"/>
  <c r="D52" i="15"/>
  <c r="C53" i="15" s="1"/>
  <c r="E11" i="12"/>
  <c r="F17" i="12"/>
  <c r="C54" i="16" l="1"/>
  <c r="L53" i="15"/>
  <c r="E53" i="15" s="1"/>
  <c r="E54" i="16" s="1"/>
  <c r="D53" i="15"/>
  <c r="C54" i="15" s="1"/>
  <c r="M52" i="15"/>
  <c r="F52" i="15" s="1"/>
  <c r="F53" i="16" s="1"/>
  <c r="D53" i="16"/>
  <c r="F18" i="12"/>
  <c r="D11" i="12"/>
  <c r="C55" i="16" l="1"/>
  <c r="L54" i="15"/>
  <c r="D54" i="15" s="1"/>
  <c r="C55" i="15" s="1"/>
  <c r="M53" i="15"/>
  <c r="F53" i="15" s="1"/>
  <c r="F54" i="16" s="1"/>
  <c r="D54" i="16"/>
  <c r="C12" i="12"/>
  <c r="F19" i="12"/>
  <c r="E54" i="15" l="1"/>
  <c r="E55" i="16" s="1"/>
  <c r="C56" i="16"/>
  <c r="L55" i="15"/>
  <c r="D55" i="15" s="1"/>
  <c r="D55" i="16"/>
  <c r="M54" i="15"/>
  <c r="F54" i="15" s="1"/>
  <c r="F55" i="16" s="1"/>
  <c r="F20" i="12"/>
  <c r="E12" i="12"/>
  <c r="D56" i="16" l="1"/>
  <c r="D57" i="16" s="1"/>
  <c r="D56" i="15"/>
  <c r="E55" i="15"/>
  <c r="D12" i="12"/>
  <c r="F21" i="12"/>
  <c r="E56" i="16" l="1"/>
  <c r="E57" i="16" s="1"/>
  <c r="E56" i="15"/>
  <c r="M55" i="15"/>
  <c r="F55" i="15" s="1"/>
  <c r="F22" i="12"/>
  <c r="C13" i="12"/>
  <c r="F56" i="16" l="1"/>
  <c r="F57" i="16" s="1"/>
  <c r="F56" i="15"/>
  <c r="E13" i="12"/>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E21" i="12" l="1"/>
  <c r="D21" i="12" s="1"/>
  <c r="C22" i="12" s="1"/>
  <c r="E22" i="12" l="1"/>
  <c r="D22" i="12" s="1"/>
  <c r="C23" i="12" s="1"/>
  <c r="E23" i="12" l="1"/>
  <c r="D23" i="12" s="1"/>
  <c r="C24" i="12" s="1"/>
  <c r="E24" i="12" l="1"/>
  <c r="D24" i="12" s="1"/>
  <c r="C25" i="12" s="1"/>
  <c r="E25" i="12" l="1"/>
  <c r="D25" i="12" s="1"/>
  <c r="C26" i="12" s="1"/>
  <c r="E26" i="12" l="1"/>
  <c r="D26" i="12" s="1"/>
  <c r="C27" i="12" s="1"/>
  <c r="E27" i="12" l="1"/>
  <c r="D27" i="12" s="1"/>
  <c r="C28" i="12" s="1"/>
  <c r="E28" i="12" l="1"/>
  <c r="D28" i="12" s="1"/>
  <c r="C29" i="12" s="1"/>
  <c r="E29" i="12" l="1"/>
  <c r="D29" i="12" s="1"/>
  <c r="C30" i="12" s="1"/>
  <c r="E30" i="12" l="1"/>
  <c r="D30" i="12" s="1"/>
  <c r="C31" i="12" s="1"/>
  <c r="E31" i="12" l="1"/>
  <c r="D31" i="12" s="1"/>
  <c r="C32" i="12" l="1"/>
  <c r="F31" i="12"/>
  <c r="E32" i="12"/>
  <c r="D32" i="12" s="1"/>
  <c r="C33" i="12" l="1"/>
  <c r="F32" i="12"/>
  <c r="E33" i="12"/>
  <c r="D33" i="12" s="1"/>
  <c r="C34" i="12" l="1"/>
  <c r="F33" i="12"/>
  <c r="E34" i="12"/>
  <c r="D34" i="12" s="1"/>
  <c r="C35" i="12" l="1"/>
  <c r="F34" i="12"/>
  <c r="E35" i="12"/>
  <c r="D35" i="12" s="1"/>
  <c r="C36" i="12" l="1"/>
  <c r="F35" i="12"/>
  <c r="E36" i="12"/>
  <c r="D36" i="12" s="1"/>
  <c r="C37" i="12" l="1"/>
  <c r="F36" i="12"/>
  <c r="E37" i="12"/>
  <c r="D37" i="12" s="1"/>
  <c r="C38" i="12" l="1"/>
  <c r="F37" i="12"/>
  <c r="E38" i="12"/>
  <c r="D38" i="12" s="1"/>
  <c r="C39" i="12" l="1"/>
  <c r="F38" i="12"/>
  <c r="E39" i="12"/>
  <c r="D39" i="12" l="1"/>
  <c r="C40" i="12" s="1"/>
  <c r="D40" i="12" l="1"/>
  <c r="C41" i="12"/>
  <c r="E40" i="12"/>
  <c r="F39" i="12"/>
  <c r="E41" i="12" l="1"/>
  <c r="D41" i="12"/>
  <c r="F41" i="12" s="1"/>
  <c r="F40" i="12"/>
  <c r="C42" i="12" l="1"/>
  <c r="D42" i="12" l="1"/>
  <c r="C43" i="12"/>
  <c r="E42" i="12"/>
  <c r="D43" i="12" l="1"/>
  <c r="C44" i="12" s="1"/>
  <c r="E43" i="12"/>
  <c r="F42" i="12"/>
  <c r="D44" i="12" l="1"/>
  <c r="C45" i="12" s="1"/>
  <c r="E44" i="12"/>
  <c r="F43" i="12"/>
  <c r="E45" i="12" l="1"/>
  <c r="D45" i="12"/>
  <c r="F45" i="12" s="1"/>
  <c r="F44" i="12"/>
  <c r="C46" i="12" l="1"/>
  <c r="D46" i="12" l="1"/>
  <c r="C47" i="12" s="1"/>
  <c r="E46" i="12"/>
  <c r="D47" i="12" l="1"/>
  <c r="C48" i="12" s="1"/>
  <c r="E47" i="12"/>
  <c r="F46" i="12"/>
  <c r="D48" i="12" l="1"/>
  <c r="C49" i="12" s="1"/>
  <c r="E48" i="12"/>
  <c r="F47" i="12"/>
  <c r="E49" i="12" l="1"/>
  <c r="D49" i="12"/>
  <c r="F49" i="12" s="1"/>
  <c r="F48" i="12"/>
  <c r="C50" i="12" l="1"/>
  <c r="D50" i="12" l="1"/>
  <c r="C51" i="12" s="1"/>
  <c r="E50" i="12"/>
  <c r="E51" i="12" l="1"/>
  <c r="D51" i="12"/>
  <c r="F51" i="12" s="1"/>
  <c r="F50" i="12"/>
  <c r="C52" i="12" l="1"/>
  <c r="D52" i="12" l="1"/>
  <c r="C53" i="12"/>
  <c r="E52" i="12"/>
  <c r="E53" i="12" l="1"/>
  <c r="D53" i="12"/>
  <c r="F52" i="12"/>
  <c r="F53" i="12" l="1"/>
  <c r="C54" i="12"/>
  <c r="D54" i="12" l="1"/>
  <c r="C55" i="12" s="1"/>
  <c r="E54" i="12"/>
  <c r="D55" i="12" l="1"/>
  <c r="E55" i="12"/>
  <c r="E56" i="12" s="1"/>
  <c r="F54" i="12"/>
  <c r="F55" i="12" l="1"/>
  <c r="F56" i="12" s="1"/>
  <c r="D56"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<sst xmlns="http://schemas.openxmlformats.org/spreadsheetml/2006/main" count="618" uniqueCount="455">
  <si>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</si>
  <si>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</si>
  <si>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</si>
  <si>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</si>
  <si>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</si>
  <si>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</si>
  <si>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</si>
  <si>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</si>
  <si>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</si>
  <si>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</si>
  <si>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</si>
  <si>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</si>
  <si>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</si>
  <si>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</si>
  <si>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</si>
  <si>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</si>
  <si>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</si>
  <si>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</si>
  <si>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</si>
  <si>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</si>
  <si>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</si>
  <si>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</si>
  <si>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</si>
  <si>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</si>
  <si>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</si>
  <si>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</si>
  <si>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</si>
  <si>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</si>
  <si>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</si>
  <si>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</si>
  <si>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</si>
  <si>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</si>
  <si>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</si>
  <si>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</si>
  <si>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</si>
  <si>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</si>
  <si>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</si>
  <si>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</si>
  <si>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</si>
  <si>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</si>
  <si>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</si>
  <si>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</si>
  <si>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</si>
  <si>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</si>
  <si>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</si>
  <si>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</si>
  <si>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</si>
  <si>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</si>
  <si>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</si>
  <si>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</si>
  <si>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</si>
  <si>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</si>
  <si>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</si>
  <si>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</si>
  <si>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</si>
  <si>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</si>
  <si>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</si>
  <si>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</si>
  <si>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</si>
  <si>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</si>
  <si>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</si>
  <si>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</si>
  <si>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</si>
  <si>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</si>
  <si>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</si>
  <si>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</si>
  <si>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</si>
  <si>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</si>
  <si>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</si>
  <si>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</si>
  <si>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</si>
  <si>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</si>
  <si>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</si>
  <si>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</si>
  <si>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</si>
  <si>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</si>
  <si>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</si>
  <si>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</si>
  <si>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</si>
  <si>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</si>
  <si>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</si>
  <si>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</si>
  <si>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</si>
  <si>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</si>
  <si>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</si>
  <si>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</si>
  <si>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</si>
  <si>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</si>
  <si>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</si>
  <si>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</si>
  <si>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</si>
  <si>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</si>
  <si>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</si>
  <si>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</si>
  <si>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</si>
  <si>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</si>
  <si>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</si>
  <si>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</si>
  <si>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</si>
  <si>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</si>
  <si>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</si>
  <si>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</si>
  <si>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</si>
  <si>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</si>
  <si>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</si>
  <si>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</si>
  <si>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</si>
  <si>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</si>
  <si>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</si>
  <si>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</si>
  <si>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</si>
  <si>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</si>
  <si>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</si>
  <si>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</si>
  <si>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</si>
  <si>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</si>
  <si>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</si>
  <si>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</si>
  <si>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</si>
  <si>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</si>
  <si>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</si>
  <si>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</si>
  <si>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</si>
  <si>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</si>
  <si>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</si>
  <si>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</si>
  <si>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</si>
  <si>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</si>
  <si>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</si>
  <si>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</si>
  <si>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</si>
  <si>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</si>
  <si>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</si>
  <si>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</si>
  <si>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</si>
  <si>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</si>
  <si>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</si>
  <si>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</si>
  <si>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</si>
  <si>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</si>
  <si>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</si>
  <si>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</si>
  <si>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</si>
  <si>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</si>
  <si>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</si>
  <si>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</si>
  <si>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</si>
  <si>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</si>
  <si>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</si>
  <si>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</si>
  <si>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</si>
  <si>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</si>
  <si>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</si>
  <si>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</si>
  <si>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</si>
  <si>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</si>
  <si>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</si>
  <si>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</si>
  <si>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</si>
  <si>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</si>
  <si>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</si>
  <si>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</si>
  <si>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</si>
  <si>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</si>
  <si>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</si>
  <si>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</si>
  <si>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</si>
  <si>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</si>
  <si>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</si>
  <si>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</si>
  <si>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</si>
  <si>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</si>
  <si>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</si>
  <si>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</si>
  <si>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</si>
  <si>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hujjat asosida</t>
  </si>
  <si>
    <t xml:space="preserve">Manzil </t>
  </si>
  <si>
    <t>h/r</t>
  </si>
  <si>
    <t>Bank MFOsi</t>
  </si>
  <si>
    <t>Bankning nomlanishi</t>
  </si>
  <si>
    <t>STIR</t>
  </si>
  <si>
    <t>Bosh buhgalter FISh</t>
  </si>
  <si>
    <t>Lisenziya raqami</t>
  </si>
  <si>
    <t>Berilgan sanasi</t>
  </si>
  <si>
    <t>Bitimga buyruq raqami</t>
  </si>
  <si>
    <t>Buyruq sanasi</t>
  </si>
  <si>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</si>
  <si>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</si>
  <si>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</si>
  <si>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</si>
  <si>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</si>
  <si>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</si>
  <si>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</si>
  <si>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</si>
  <si>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</si>
  <si>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</si>
  <si>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</si>
  <si>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</si>
  <si>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</si>
  <si>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</si>
  <si>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</si>
  <si>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</si>
  <si>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</si>
  <si>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</si>
  <si>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</si>
  <si>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</si>
  <si>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</si>
  <si>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</si>
  <si>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</si>
  <si>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</si>
  <si>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</si>
  <si>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</si>
  <si>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</si>
  <si>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</si>
  <si>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</si>
  <si>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</si>
  <si>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</si>
  <si>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</si>
  <si>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</si>
  <si>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</si>
  <si>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</si>
  <si>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</si>
  <si>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</si>
  <si>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</si>
  <si>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</si>
  <si>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</si>
  <si>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</si>
  <si>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</si>
  <si>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</si>
  <si>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</si>
  <si>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</si>
  <si>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</si>
  <si>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</si>
  <si>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</si>
  <si>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</si>
  <si>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</si>
  <si>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</si>
  <si>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</si>
  <si>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</si>
  <si>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</si>
  <si>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</si>
  <si>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</si>
  <si>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</si>
  <si>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</si>
  <si>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</si>
  <si>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</si>
  <si>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</si>
  <si>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</si>
  <si>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</si>
  <si>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</si>
  <si>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</si>
  <si>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</si>
  <si>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</si>
  <si>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</si>
  <si>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</si>
  <si>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</si>
  <si>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</si>
  <si>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</si>
  <si>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</si>
  <si>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</si>
  <si>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</si>
  <si>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</si>
  <si>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</si>
  <si>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</si>
  <si>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</si>
  <si>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</si>
  <si>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</si>
  <si>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</si>
  <si>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</si>
  <si>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</si>
  <si>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</si>
  <si>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</si>
  <si>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</si>
  <si>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</si>
  <si>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</si>
  <si>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</si>
  <si>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</si>
  <si>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</si>
  <si>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</si>
  <si>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</si>
  <si>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</si>
  <si>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</si>
  <si>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</si>
  <si>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</si>
  <si>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</si>
  <si>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</si>
  <si>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</si>
  <si>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</si>
  <si>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</si>
  <si>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</si>
  <si>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</si>
  <si>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</si>
  <si>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</si>
  <si>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</si>
  <si>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</si>
  <si>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</si>
  <si>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</si>
  <si>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</si>
  <si>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</si>
  <si>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</si>
  <si>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</si>
  <si>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</si>
  <si>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</si>
  <si>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</si>
  <si>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</si>
  <si>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</si>
  <si>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</si>
  <si>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</si>
  <si>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</si>
  <si>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</si>
  <si>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</si>
  <si>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</si>
  <si>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</si>
  <si>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</si>
  <si>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</si>
  <si>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</si>
  <si>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</si>
  <si>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</si>
  <si>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</si>
  <si>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</si>
  <si>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</si>
  <si>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</si>
  <si>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</si>
  <si>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</si>
  <si>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</si>
  <si>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</si>
  <si>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</si>
  <si>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</si>
  <si>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</si>
  <si>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</si>
  <si>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</si>
  <si>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</si>
  <si>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</si>
  <si>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</si>
  <si>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</si>
  <si>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</si>
  <si>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</si>
  <si>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</si>
  <si>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</si>
  <si>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</si>
  <si>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</si>
  <si>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</si>
  <si>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</si>
  <si>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</si>
  <si>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</si>
  <si>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</si>
  <si>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</si>
  <si>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</si>
  <si>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</si>
  <si>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</si>
  <si>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</si>
  <si>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</si>
  <si>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</si>
  <si>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</si>
  <si>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</si>
  <si>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</si>
  <si>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</si>
  <si>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</si>
  <si>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</si>
  <si>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</si>
  <si>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</si>
  <si>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</si>
  <si>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</si>
  <si>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</si>
  <si>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</si>
  <si>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</si>
  <si>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</si>
  <si>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</si>
  <si>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</si>
  <si>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</si>
  <si>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</si>
  <si>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</si>
  <si>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</si>
  <si>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</si>
  <si>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</si>
  <si>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</si>
  <si>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</si>
  <si>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</si>
  <si>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</si>
  <si>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</si>
  <si>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</si>
  <si>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</si>
  <si>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Йиллик фойз 50 фойздан утиб кетмаслиги керак</t>
  </si>
  <si>
    <t>Kreditlash bo’limi boshlig’i</t>
  </si>
  <si>
    <t>B. Mominov</t>
  </si>
  <si>
    <t>N. Abduraximov</t>
  </si>
  <si>
    <t>Imzolaganlar ro'yxati:</t>
  </si>
  <si>
    <t>N.Abduraximovga</t>
  </si>
  <si>
    <t>ARIZA</t>
  </si>
  <si>
    <t xml:space="preserve"> Mikroqarz shartnomasining bir nusxasini oldim ____________</t>
  </si>
  <si>
    <t>Mijoz plastik kartasi parametrlari</t>
  </si>
  <si>
    <t>Karta raqami:</t>
  </si>
  <si>
    <t>Bank nomi:</t>
  </si>
  <si>
    <t>H/r:</t>
  </si>
  <si>
    <t>MFO:</t>
  </si>
  <si>
    <t>STIR:</t>
  </si>
  <si>
    <t>________________</t>
  </si>
  <si>
    <t>sana</t>
  </si>
  <si>
    <t>_____________</t>
  </si>
  <si>
    <r>
      <t xml:space="preserve">Qancha yurgan </t>
    </r>
    <r>
      <rPr>
        <b/>
        <sz val="11"/>
        <color rgb="FFFF0000"/>
        <rFont val="Arial"/>
        <family val="2"/>
        <charset val="204"/>
      </rPr>
      <t>ANIQ KIRITING</t>
    </r>
  </si>
  <si>
    <r>
      <rPr>
        <b/>
        <sz val="11"/>
        <color theme="1"/>
        <rFont val="Times New Roman"/>
        <family val="1"/>
        <charset val="204"/>
      </rPr>
      <t>B</t>
    </r>
    <r>
      <rPr>
        <sz val="11"/>
        <color theme="1"/>
        <rFont val="Times New Roman"/>
        <family val="1"/>
        <charset val="204"/>
      </rPr>
      <t>irinchi</t>
    </r>
  </si>
  <si>
    <t>Ijrochi direktor</t>
  </si>
  <si>
    <t>«CLEVER MIKROMOLIYA TASHKILOTI» MChJ ijrochi direktori</t>
  </si>
  <si>
    <t>RAKAMSIZ</t>
  </si>
  <si>
    <t>J.Karimov</t>
  </si>
  <si>
    <t>Mijoz quyidagi majburiyatlarga ega : TOShKENT Sh., "UZSANOATKURILIShBANKI" ATB BOSh OFISI 676 618.00 so`m. Ayni paytda muddati o'tgan qarzdorligi mavjud emas. O‘rtacha oylik to‘lov 175 091.58 so‘mni tashkil qiladi.</t>
  </si>
  <si>
    <t>“CLEVER MIKROMOLIYA TASHKILOTI” MChJ</t>
  </si>
  <si>
    <t>Toshkent sh, Olmazor tumani, Sag’bon ko’chasi 30-tup., 6-uy</t>
  </si>
  <si>
    <t>h/r: 2021 6000 7050 6838 0001, STIR: 306 365 847, MFO: 01042,</t>
  </si>
  <si>
    <t>“Kapitalbank” AKB Sergeli filiali</t>
  </si>
  <si>
    <t>Notarial idoralariga</t>
  </si>
  <si>
    <t>O‘zbekiston Respublikasi</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</si>
  <si>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</si>
  <si>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</si>
  <si>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</si>
  <si>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</si>
  <si>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</si>
  <si>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Xat raqami</t>
  </si>
  <si>
    <t>Xat sanasi</t>
  </si>
  <si>
    <t xml:space="preserve">          TASHKILOTI» MChJ rahbari</t>
  </si>
  <si>
    <t>55</t>
  </si>
  <si>
    <t>№20216000105068380006</t>
  </si>
  <si>
    <t>№01183</t>
  </si>
  <si>
    <t>Toshkent sh., "ANOR BANK"</t>
  </si>
  <si>
    <t>bir yuz besh</t>
  </si>
  <si>
    <t>105</t>
  </si>
  <si>
    <t>S.Asrorov</t>
  </si>
  <si>
    <t>Asrorov Savlat Saloidinovich</t>
  </si>
  <si>
    <t>Samarqand filiali boshlig'i</t>
  </si>
  <si>
    <t>10.04.2025</t>
  </si>
  <si>
    <t>DJURAKULOVA SANAM ASHUROVNA</t>
  </si>
  <si>
    <t>18.07.1970 y</t>
  </si>
  <si>
    <t>AB 0252157</t>
  </si>
  <si>
    <t>SAMARQAND VILOYATI SAMARQAND SHAHAR IIB</t>
  </si>
  <si>
    <t>SAMARQAND VILOYATI SAMARQAND SHAHAR BOG'ISARIY MAHALLASI SPITAMENSHOX KO'CHASI 252 UY</t>
  </si>
  <si>
    <t>90 606-09-53 UZI</t>
  </si>
  <si>
    <t>SUPER XOTDOG. PED INSTITUTDAN O'TGANDA KOICAGA YETMASDAN</t>
  </si>
  <si>
    <t>SAMARQAND SHAHRI</t>
  </si>
  <si>
    <t>90 504-18-38 JASUR JIYANI</t>
  </si>
  <si>
    <t>77 007-88-07 (2 nomeri)</t>
  </si>
  <si>
    <t>«Kapitalbank» ATB</t>
  </si>
  <si>
    <t>20206 000 292 787 622 001</t>
  </si>
  <si>
    <t>01158</t>
  </si>
  <si>
    <t>207275139</t>
  </si>
  <si>
    <t>SAMARQAND VILOYATI RO' VA IOB</t>
  </si>
  <si>
    <t>AAG 4271140 05.07.2024y.</t>
  </si>
  <si>
    <t>LACETTI</t>
  </si>
  <si>
    <t>30O259OA</t>
  </si>
  <si>
    <t>YENGIL SEDAN</t>
  </si>
  <si>
    <t>XWB5M31BDBA256320 TASH KUR GENTRA</t>
  </si>
  <si>
    <t>2132251</t>
  </si>
  <si>
    <t>QORA CHERNIY</t>
  </si>
  <si>
    <t>2011</t>
  </si>
  <si>
    <t>№745-SM</t>
  </si>
  <si>
    <t>DJURAKULOVA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</si>
</sst>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58">
    <font>
      <sz val="11"/>
      <color theme="1"/>
      <name val="Calibri"/>
      <family val="2"/>
      <scheme val="minor"/>
    </font>
    <font>
      <sz val="11"/>
      <color theme="1"/>
      <name val="Arial"/>
      <family val="2"/>
      <charset val="204"/>
    </font>
    <font>
      <sz val="11"/>
      <color theme="1"/>
      <name val="Arial"/>
      <family val="2"/>
      <charset val="204"/>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b/>
      <i/>
      <sz val="11"/>
      <name val="Times New Roman"/>
      <family val="1"/>
      <charset val="204"/>
    </font>
    <font>
      <sz val="12"/>
      <color theme="0"/>
      <name val="Times New Roman"/>
      <family val="1"/>
      <charset val="204"/>
    </font>
    <font>
      <sz val="10"/>
      <color theme="0"/>
      <name val="Times New Roman"/>
      <family val="1"/>
      <charset val="204"/>
    </font>
    <font>
      <sz val="48"/>
      <color rgb="FFFF0000"/>
      <name val="Times New Roman"/>
      <family val="1"/>
      <charset val="204"/>
    </font>
    <font>
      <sz val="11"/>
      <name val="Calibri"/>
      <family val="2"/>
      <charset val="204"/>
    </font>
    <font>
      <i/>
      <sz val="11"/>
      <color rgb="FFFF0000"/>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
      <b/>
      <sz val="14"/>
      <color theme="1"/>
      <name val="Arial"/>
      <family val="2"/>
      <charset val="204"/>
    </font>
    <font>
      <b/>
      <u/>
      <sz val="12"/>
      <color theme="1"/>
      <name val="Times New Roman"/>
      <family val="1"/>
      <charset val="204"/>
    </font>
    <font>
      <sz val="9"/>
      <color theme="1"/>
      <name val="Times New Roman"/>
      <family val="1"/>
      <charset val="204"/>
    </font>
    <font>
      <sz val="11"/>
      <color rgb="FF8C0101"/>
      <name val="Times New Roman"/>
      <family val="1"/>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6" fillId="0" borderId="0">
      <alignment vertical="center"/>
    </xf>
    <xf numFmtId="0" fontId="46" fillId="0" borderId="0">
      <alignment vertical="center"/>
    </xf>
    <xf numFmtId="43" fontId="8"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41"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8" fillId="0" borderId="0"/>
    <xf numFmtId="0" fontId="49" fillId="0" borderId="0"/>
    <xf numFmtId="170" fontId="48" fillId="0" borderId="0" applyFont="0" applyFill="0" applyBorder="0" applyAlignment="0" applyProtection="0"/>
    <xf numFmtId="170" fontId="48" fillId="0" borderId="0" applyFont="0" applyFill="0" applyBorder="0" applyAlignment="0" applyProtection="0"/>
    <xf numFmtId="0" fontId="49" fillId="0" borderId="0"/>
    <xf numFmtId="170" fontId="48" fillId="0" borderId="0" applyFont="0" applyFill="0" applyBorder="0" applyAlignment="0" applyProtection="0"/>
    <xf numFmtId="170" fontId="48" fillId="0" borderId="0" applyFont="0" applyFill="0" applyBorder="0" applyAlignment="0" applyProtection="0"/>
    <xf numFmtId="0" fontId="50" fillId="0" borderId="0">
      <alignment vertical="center"/>
    </xf>
    <xf numFmtId="0" fontId="49" fillId="0" borderId="0"/>
    <xf numFmtId="170" fontId="48" fillId="0" borderId="0" applyFont="0" applyFill="0" applyBorder="0" applyAlignment="0" applyProtection="0"/>
    <xf numFmtId="0" fontId="49" fillId="0" borderId="0"/>
    <xf numFmtId="0" fontId="49" fillId="0" borderId="0"/>
    <xf numFmtId="0" fontId="49" fillId="0" borderId="0"/>
    <xf numFmtId="0" fontId="49" fillId="0" borderId="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0" fontId="50" fillId="0" borderId="0">
      <alignment vertical="center"/>
    </xf>
    <xf numFmtId="170" fontId="48" fillId="0" borderId="0" applyFont="0" applyFill="0" applyBorder="0" applyAlignment="0" applyProtection="0"/>
    <xf numFmtId="0" fontId="49" fillId="0" borderId="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170" fontId="48" fillId="0" borderId="0" applyFont="0" applyFill="0" applyBorder="0" applyAlignment="0" applyProtection="0"/>
    <xf numFmtId="9" fontId="4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cellStyleXfs>
  <cellXfs count="396">
    <xf numFmtId="0" fontId="0" fillId="0" borderId="0" xfId="0"/>
    <xf numFmtId="49" fontId="9" fillId="0" borderId="1" xfId="0" applyNumberFormat="1" applyFont="1" applyBorder="1" applyAlignment="1">
      <alignment vertical="center" wrapText="1"/>
    </xf>
    <xf numFmtId="165" fontId="9" fillId="0" borderId="1" xfId="0" applyNumberFormat="1" applyFont="1" applyBorder="1" applyAlignment="1">
      <alignment vertical="center" wrapText="1"/>
    </xf>
    <xf numFmtId="43" fontId="9" fillId="0" borderId="1" xfId="1" applyFont="1" applyBorder="1" applyAlignment="1">
      <alignment vertical="center" wrapText="1"/>
    </xf>
    <xf numFmtId="0" fontId="11" fillId="0" borderId="0" xfId="0" applyFont="1"/>
    <xf numFmtId="0" fontId="11" fillId="0" borderId="0" xfId="0" applyFont="1" applyAlignment="1">
      <alignment horizontal="right"/>
    </xf>
    <xf numFmtId="0" fontId="14" fillId="0" borderId="0" xfId="0" applyFont="1" applyAlignment="1" applyProtection="1">
      <alignment horizontal="center" vertical="top"/>
      <protection hidden="1"/>
    </xf>
    <xf numFmtId="0" fontId="14" fillId="0" borderId="0" xfId="0" applyFont="1" applyAlignment="1" applyProtection="1">
      <alignment horizontal="center" vertical="center"/>
      <protection hidden="1"/>
    </xf>
    <xf numFmtId="0" fontId="12" fillId="0" borderId="0" xfId="0" applyFont="1"/>
    <xf numFmtId="0" fontId="12"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9"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2" fillId="0" borderId="0" xfId="0" applyFont="1" applyAlignment="1">
      <alignment horizontal="center" wrapText="1"/>
    </xf>
    <xf numFmtId="0" fontId="15" fillId="0" borderId="0" xfId="0" applyFont="1" applyAlignment="1">
      <alignment horizontal="center" wrapText="1"/>
    </xf>
    <xf numFmtId="0" fontId="21"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9" fillId="4" borderId="1" xfId="0" applyFont="1" applyFill="1" applyBorder="1" applyAlignment="1">
      <alignment vertical="center" wrapText="1"/>
    </xf>
    <xf numFmtId="43" fontId="27" fillId="0" borderId="1" xfId="1" applyFont="1" applyBorder="1"/>
    <xf numFmtId="43" fontId="9"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11" fillId="0" borderId="0" xfId="0" applyNumberFormat="1" applyFont="1" applyAlignment="1">
      <alignment horizontal="right"/>
    </xf>
    <xf numFmtId="49" fontId="9" fillId="4" borderId="1" xfId="0" applyNumberFormat="1" applyFont="1" applyFill="1" applyBorder="1" applyAlignment="1">
      <alignment vertical="center" wrapText="1"/>
    </xf>
    <xf numFmtId="165" fontId="26" fillId="2" borderId="1" xfId="0" applyNumberFormat="1" applyFont="1" applyFill="1" applyBorder="1" applyAlignment="1">
      <alignment vertical="center" wrapText="1"/>
    </xf>
    <xf numFmtId="165" fontId="9" fillId="2" borderId="1" xfId="0" applyNumberFormat="1" applyFont="1" applyFill="1" applyBorder="1" applyAlignment="1">
      <alignment vertical="center" wrapText="1"/>
    </xf>
    <xf numFmtId="0" fontId="9" fillId="2" borderId="1" xfId="0" applyFont="1" applyFill="1" applyBorder="1" applyAlignment="1">
      <alignment vertical="center" wrapText="1"/>
    </xf>
    <xf numFmtId="0" fontId="0" fillId="0" borderId="0" xfId="0" applyAlignment="1">
      <alignment wrapText="1"/>
    </xf>
    <xf numFmtId="0" fontId="12" fillId="0" borderId="0" xfId="0" applyFont="1" applyAlignment="1">
      <alignment horizontal="center" vertical="center" wrapText="1"/>
    </xf>
    <xf numFmtId="0" fontId="12" fillId="0" borderId="0" xfId="0" applyFont="1" applyAlignment="1">
      <alignment horizontal="center"/>
    </xf>
    <xf numFmtId="43" fontId="9" fillId="4" borderId="3" xfId="1" applyFont="1" applyFill="1" applyBorder="1" applyAlignment="1">
      <alignment vertical="center" wrapText="1"/>
    </xf>
    <xf numFmtId="0" fontId="10" fillId="2" borderId="1" xfId="0" applyFont="1" applyFill="1" applyBorder="1" applyAlignment="1">
      <alignment horizontal="right" vertical="center" wrapText="1"/>
    </xf>
    <xf numFmtId="0" fontId="12" fillId="0" borderId="0" xfId="0" applyFont="1" applyAlignment="1">
      <alignment horizontal="center" wrapText="1"/>
    </xf>
    <xf numFmtId="0" fontId="11" fillId="0" borderId="0" xfId="0" applyFont="1" applyAlignment="1">
      <alignment vertical="top"/>
    </xf>
    <xf numFmtId="0" fontId="9" fillId="6" borderId="1" xfId="0" applyFont="1" applyFill="1" applyBorder="1" applyAlignment="1">
      <alignment vertical="center" wrapText="1"/>
    </xf>
    <xf numFmtId="165" fontId="9" fillId="2" borderId="1" xfId="0" applyNumberFormat="1" applyFont="1" applyFill="1" applyBorder="1" applyAlignment="1">
      <alignment horizontal="left" vertical="center" wrapText="1"/>
    </xf>
    <xf numFmtId="14" fontId="9" fillId="6" borderId="1" xfId="0" applyNumberFormat="1" applyFont="1" applyFill="1" applyBorder="1" applyAlignment="1">
      <alignment vertical="center" wrapText="1"/>
    </xf>
    <xf numFmtId="165" fontId="9" fillId="6" borderId="1" xfId="0" applyNumberFormat="1" applyFont="1" applyFill="1" applyBorder="1" applyAlignment="1">
      <alignment vertical="center" wrapText="1"/>
    </xf>
    <xf numFmtId="9" fontId="9" fillId="7" borderId="1" xfId="0" applyNumberFormat="1" applyFont="1" applyFill="1" applyBorder="1" applyAlignment="1">
      <alignment vertical="center" wrapText="1"/>
    </xf>
    <xf numFmtId="49" fontId="9" fillId="7" borderId="1" xfId="1" applyNumberFormat="1" applyFont="1" applyFill="1" applyBorder="1" applyAlignment="1">
      <alignment vertical="center" wrapText="1"/>
    </xf>
    <xf numFmtId="40" fontId="9" fillId="7" borderId="1" xfId="1" applyNumberFormat="1" applyFont="1" applyFill="1" applyBorder="1" applyAlignment="1">
      <alignment vertical="center" wrapText="1"/>
    </xf>
    <xf numFmtId="49" fontId="9" fillId="4" borderId="1" xfId="0" applyNumberFormat="1" applyFont="1" applyFill="1" applyBorder="1" applyAlignment="1">
      <alignment horizontal="left" vertical="center" wrapText="1"/>
    </xf>
    <xf numFmtId="0" fontId="33" fillId="0" borderId="0" xfId="0" applyFont="1"/>
    <xf numFmtId="0" fontId="27" fillId="0" borderId="0" xfId="0" applyFont="1"/>
    <xf numFmtId="0" fontId="33" fillId="0" borderId="0" xfId="0" applyFont="1" applyAlignment="1">
      <alignment horizontal="right"/>
    </xf>
    <xf numFmtId="164" fontId="27" fillId="0" borderId="0" xfId="0" applyNumberFormat="1" applyFont="1"/>
    <xf numFmtId="166" fontId="27" fillId="0" borderId="0" xfId="0" applyNumberFormat="1" applyFont="1"/>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1" xfId="0" applyFont="1" applyBorder="1"/>
    <xf numFmtId="14" fontId="27" fillId="0" borderId="1" xfId="0" applyNumberFormat="1" applyFont="1" applyBorder="1"/>
    <xf numFmtId="167" fontId="27"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7" fillId="0" borderId="0" xfId="0" applyNumberFormat="1" applyFont="1"/>
    <xf numFmtId="43" fontId="27" fillId="0" borderId="0" xfId="1" applyFont="1" applyBorder="1"/>
    <xf numFmtId="14" fontId="26" fillId="5" borderId="0" xfId="0" applyNumberFormat="1" applyFont="1" applyFill="1"/>
    <xf numFmtId="0" fontId="26" fillId="5" borderId="0" xfId="0" applyFont="1" applyFill="1"/>
    <xf numFmtId="0" fontId="26" fillId="0" borderId="0" xfId="0" applyFont="1"/>
    <xf numFmtId="168" fontId="36" fillId="5" borderId="0" xfId="0" applyNumberFormat="1" applyFont="1" applyFill="1"/>
    <xf numFmtId="0" fontId="26" fillId="4" borderId="0" xfId="0" applyFont="1" applyFill="1"/>
    <xf numFmtId="1" fontId="26" fillId="5" borderId="0" xfId="0" applyNumberFormat="1" applyFont="1" applyFill="1"/>
    <xf numFmtId="49" fontId="27"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5"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6"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8" fillId="0" borderId="0" xfId="0" applyFont="1" applyAlignment="1">
      <alignment horizontal="right"/>
    </xf>
    <xf numFmtId="0" fontId="28" fillId="0" borderId="0" xfId="0" applyFont="1" applyAlignment="1">
      <alignment horizontal="justify"/>
    </xf>
    <xf numFmtId="0" fontId="28" fillId="0" borderId="0" xfId="0" applyFont="1" applyAlignment="1">
      <alignment horizontal="justify" vertical="center"/>
    </xf>
    <xf numFmtId="0" fontId="28" fillId="0" borderId="1" xfId="0" applyFont="1" applyBorder="1" applyAlignment="1">
      <alignment horizontal="justify"/>
    </xf>
    <xf numFmtId="0" fontId="28" fillId="0" borderId="0" xfId="0" applyFont="1" applyAlignment="1">
      <alignment horizontal="justify" vertical="center" wrapText="1"/>
    </xf>
    <xf numFmtId="0" fontId="28" fillId="0" borderId="0" xfId="0" applyFont="1" applyAlignment="1">
      <alignment horizontal="left"/>
    </xf>
    <xf numFmtId="0" fontId="28" fillId="0" borderId="11" xfId="0" applyFont="1" applyBorder="1" applyAlignment="1">
      <alignment horizontal="center"/>
    </xf>
    <xf numFmtId="0" fontId="28" fillId="0" borderId="0" xfId="0" applyFont="1" applyAlignment="1">
      <alignment horizontal="center"/>
    </xf>
    <xf numFmtId="0" fontId="9" fillId="3" borderId="1" xfId="0" applyFont="1" applyFill="1" applyBorder="1" applyAlignment="1">
      <alignment horizontal="center" vertical="center" wrapText="1"/>
    </xf>
    <xf numFmtId="0" fontId="15" fillId="0" borderId="0" xfId="0" applyFont="1" applyAlignment="1">
      <alignment vertical="top"/>
    </xf>
    <xf numFmtId="0" fontId="16" fillId="0" borderId="0" xfId="0" applyFont="1" applyAlignment="1">
      <alignment horizontal="left" vertical="center" wrapText="1"/>
    </xf>
    <xf numFmtId="0" fontId="15" fillId="0" borderId="0" xfId="0" applyFont="1" applyAlignment="1">
      <alignment horizontal="right"/>
    </xf>
    <xf numFmtId="0" fontId="10" fillId="6" borderId="1" xfId="0" applyFont="1" applyFill="1" applyBorder="1" applyAlignment="1">
      <alignment horizontal="left" vertical="center" wrapText="1"/>
    </xf>
    <xf numFmtId="0" fontId="10" fillId="6" borderId="1" xfId="0" applyFont="1" applyFill="1" applyBorder="1" applyAlignment="1">
      <alignment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2" fillId="0" borderId="0" xfId="0" applyFont="1" applyAlignment="1">
      <alignment horizontal="left"/>
    </xf>
    <xf numFmtId="0" fontId="9" fillId="4" borderId="3" xfId="0" applyFont="1" applyFill="1" applyBorder="1" applyAlignment="1">
      <alignment vertical="center" wrapText="1"/>
    </xf>
    <xf numFmtId="164" fontId="9" fillId="4" borderId="1" xfId="0" applyNumberFormat="1" applyFont="1" applyFill="1" applyBorder="1" applyAlignment="1">
      <alignment vertical="center" wrapText="1"/>
    </xf>
    <xf numFmtId="0" fontId="18" fillId="0" borderId="0" xfId="0" applyFont="1" applyAlignment="1">
      <alignment horizontal="center" vertical="top" wrapText="1"/>
    </xf>
    <xf numFmtId="0" fontId="41" fillId="2" borderId="1" xfId="0" applyFont="1" applyFill="1" applyBorder="1" applyAlignment="1">
      <alignment vertical="center" wrapText="1"/>
    </xf>
    <xf numFmtId="0" fontId="9" fillId="9" borderId="1" xfId="0" applyFont="1" applyFill="1" applyBorder="1" applyAlignment="1">
      <alignment vertical="center" wrapText="1"/>
    </xf>
    <xf numFmtId="0" fontId="11" fillId="0" borderId="0" xfId="0" applyFont="1" applyAlignment="1">
      <alignment wrapText="1"/>
    </xf>
    <xf numFmtId="0" fontId="43" fillId="0" borderId="0" xfId="0" applyFont="1"/>
    <xf numFmtId="0" fontId="44" fillId="0" borderId="0" xfId="0" applyFont="1"/>
    <xf numFmtId="0" fontId="12" fillId="0" borderId="0" xfId="0" applyFont="1" applyAlignment="1">
      <alignment horizontal="left" vertical="center" wrapText="1"/>
    </xf>
    <xf numFmtId="0" fontId="11" fillId="0" borderId="0" xfId="0" applyFont="1" applyAlignment="1">
      <alignment horizontal="left" vertical="top" wrapText="1"/>
    </xf>
    <xf numFmtId="0" fontId="31" fillId="0" borderId="0" xfId="0" applyFont="1" applyAlignment="1">
      <alignment horizontal="left"/>
    </xf>
    <xf numFmtId="0" fontId="12" fillId="0" borderId="0" xfId="0" applyFont="1" applyAlignment="1">
      <alignment horizontal="left" vertical="top" wrapText="1"/>
    </xf>
    <xf numFmtId="49" fontId="11" fillId="0" borderId="0" xfId="0" applyNumberFormat="1" applyFont="1" applyAlignment="1">
      <alignment horizontal="left" vertical="top" wrapText="1"/>
    </xf>
    <xf numFmtId="0" fontId="9" fillId="5" borderId="1" xfId="0" applyFont="1" applyFill="1" applyBorder="1" applyAlignment="1">
      <alignment vertical="center" wrapText="1"/>
    </xf>
    <xf numFmtId="0" fontId="15" fillId="0" borderId="0" xfId="0" applyFont="1" applyAlignment="1">
      <alignment horizontal="left"/>
    </xf>
    <xf numFmtId="0" fontId="12" fillId="0" borderId="0" xfId="0" applyFont="1" applyAlignment="1">
      <alignment horizontal="right" wrapText="1"/>
    </xf>
    <xf numFmtId="14" fontId="9" fillId="3" borderId="1" xfId="0" applyNumberFormat="1" applyFont="1" applyFill="1" applyBorder="1" applyAlignment="1">
      <alignment horizontal="center" vertical="center" wrapText="1"/>
    </xf>
    <xf numFmtId="0" fontId="11" fillId="0" borderId="0" xfId="0" applyFont="1" applyAlignment="1">
      <alignment horizontal="center"/>
    </xf>
    <xf numFmtId="0" fontId="29" fillId="4" borderId="1" xfId="0" applyFont="1" applyFill="1" applyBorder="1" applyAlignment="1">
      <alignment vertical="center" wrapText="1"/>
    </xf>
    <xf numFmtId="0" fontId="12" fillId="0" borderId="0" xfId="0" applyFont="1" applyAlignment="1">
      <alignment wrapText="1"/>
    </xf>
    <xf numFmtId="0" fontId="15" fillId="11" borderId="0" xfId="0" applyFont="1" applyFill="1"/>
    <xf numFmtId="0" fontId="9" fillId="10" borderId="0" xfId="0" applyFont="1" applyFill="1"/>
    <xf numFmtId="0" fontId="25" fillId="0" borderId="0" xfId="0" applyFont="1" applyAlignment="1">
      <alignment horizontal="left" vertical="top" wrapText="1"/>
    </xf>
    <xf numFmtId="0" fontId="10" fillId="10" borderId="0" xfId="0" applyFont="1" applyFill="1" applyAlignment="1">
      <alignment vertical="center" wrapText="1"/>
    </xf>
    <xf numFmtId="49" fontId="9" fillId="10" borderId="0" xfId="0" applyNumberFormat="1" applyFont="1" applyFill="1"/>
    <xf numFmtId="0" fontId="9" fillId="10" borderId="0" xfId="0" applyFont="1" applyFill="1" applyAlignment="1">
      <alignment vertical="center" wrapText="1"/>
    </xf>
    <xf numFmtId="49" fontId="47" fillId="4" borderId="1" xfId="0" applyNumberFormat="1" applyFont="1" applyFill="1" applyBorder="1" applyAlignment="1">
      <alignment vertical="center" wrapText="1"/>
    </xf>
    <xf numFmtId="0" fontId="10" fillId="10" borderId="0" xfId="0" applyFont="1" applyFill="1" applyAlignment="1">
      <alignment vertical="center"/>
    </xf>
    <xf numFmtId="0" fontId="9" fillId="10" borderId="13" xfId="0" applyFont="1" applyFill="1" applyBorder="1" applyAlignment="1">
      <alignment vertical="center"/>
    </xf>
    <xf numFmtId="0" fontId="9" fillId="10" borderId="15" xfId="0" applyFont="1" applyFill="1" applyBorder="1" applyAlignment="1">
      <alignment vertical="center"/>
    </xf>
    <xf numFmtId="0" fontId="10" fillId="10" borderId="0" xfId="0" applyFont="1" applyFill="1"/>
    <xf numFmtId="0" fontId="10" fillId="10" borderId="0" xfId="0" applyFont="1" applyFill="1" applyAlignment="1">
      <alignment wrapText="1"/>
    </xf>
    <xf numFmtId="49" fontId="29" fillId="4" borderId="1" xfId="0" applyNumberFormat="1" applyFont="1" applyFill="1" applyBorder="1" applyAlignment="1">
      <alignment vertical="center" wrapText="1"/>
    </xf>
    <xf numFmtId="0" fontId="9" fillId="0" borderId="1" xfId="0" applyFont="1" applyBorder="1" applyAlignment="1">
      <alignment vertical="center" wrapText="1"/>
    </xf>
    <xf numFmtId="0" fontId="10" fillId="2" borderId="1" xfId="0"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horizontal="left" vertical="center" wrapText="1"/>
    </xf>
    <xf numFmtId="0" fontId="16" fillId="0" borderId="0" xfId="0" applyFont="1" applyAlignment="1">
      <alignment wrapText="1"/>
    </xf>
    <xf numFmtId="0" fontId="10" fillId="2" borderId="1" xfId="0" applyFont="1" applyFill="1" applyBorder="1" applyAlignment="1">
      <alignment vertical="center"/>
    </xf>
    <xf numFmtId="0" fontId="15" fillId="0" borderId="0" xfId="0" applyFont="1" applyAlignment="1">
      <alignment vertical="center"/>
    </xf>
    <xf numFmtId="0" fontId="16" fillId="0" borderId="0" xfId="0" applyFont="1" applyAlignment="1">
      <alignment vertical="top"/>
    </xf>
    <xf numFmtId="0" fontId="10" fillId="2" borderId="1" xfId="0" applyFont="1" applyFill="1" applyBorder="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vertical="center" wrapText="1"/>
    </xf>
    <xf numFmtId="0" fontId="52" fillId="0" borderId="0" xfId="0" applyFont="1" applyAlignment="1" applyProtection="1">
      <alignment horizontal="center" vertical="center"/>
      <protection hidden="1"/>
    </xf>
    <xf numFmtId="0" fontId="53" fillId="0" borderId="0" xfId="0" applyFont="1" applyAlignment="1" applyProtection="1">
      <alignment horizontal="center" vertical="top"/>
      <protection hidden="1"/>
    </xf>
    <xf numFmtId="0" fontId="53" fillId="0" borderId="0" xfId="0" applyFont="1" applyAlignment="1" applyProtection="1">
      <alignment horizontal="center" vertical="center"/>
      <protection hidden="1"/>
    </xf>
    <xf numFmtId="0" fontId="16" fillId="0" borderId="0" xfId="0" applyFont="1" applyAlignment="1">
      <alignment vertical="center"/>
    </xf>
    <xf numFmtId="0" fontId="42" fillId="0" borderId="0" xfId="0" applyFont="1" applyAlignment="1">
      <alignment horizontal="center" wrapText="1"/>
    </xf>
    <xf numFmtId="0" fontId="30"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vertical="top" wrapText="1"/>
    </xf>
    <xf numFmtId="0" fontId="16" fillId="0" borderId="0" xfId="0" applyFont="1" applyAlignment="1">
      <alignment horizontal="center" vertical="center"/>
    </xf>
    <xf numFmtId="0" fontId="11" fillId="0" borderId="0" xfId="0" applyFont="1" applyAlignment="1">
      <alignment horizontal="center" vertical="top" wrapText="1"/>
    </xf>
    <xf numFmtId="0" fontId="10" fillId="2" borderId="1" xfId="0" applyFont="1" applyFill="1" applyBorder="1" applyAlignment="1">
      <alignment horizontal="center" vertical="center" wrapText="1"/>
    </xf>
    <xf numFmtId="0" fontId="13" fillId="0" borderId="0" xfId="0" applyFont="1" applyAlignment="1" applyProtection="1">
      <alignment horizontal="center" vertical="center"/>
      <protection hidden="1"/>
    </xf>
    <xf numFmtId="169" fontId="9" fillId="4" borderId="1" xfId="0" applyNumberFormat="1" applyFont="1" applyFill="1" applyBorder="1" applyAlignment="1">
      <alignment vertical="center" wrapText="1"/>
    </xf>
    <xf numFmtId="43" fontId="29" fillId="4" borderId="1" xfId="1" applyFont="1" applyFill="1" applyBorder="1" applyAlignment="1">
      <alignment vertical="center" wrapText="1"/>
    </xf>
    <xf numFmtId="0" fontId="10" fillId="4" borderId="1" xfId="0" applyFont="1" applyFill="1" applyBorder="1" applyAlignment="1">
      <alignment horizontal="center" vertical="center" wrapText="1"/>
    </xf>
    <xf numFmtId="0" fontId="41" fillId="10" borderId="24" xfId="0" applyFont="1" applyFill="1" applyBorder="1" applyAlignment="1">
      <alignment horizontal="left" vertical="center" wrapText="1"/>
    </xf>
    <xf numFmtId="0" fontId="41" fillId="10" borderId="2" xfId="0" applyFont="1" applyFill="1" applyBorder="1" applyAlignment="1">
      <alignment horizontal="left" vertical="center" wrapText="1"/>
    </xf>
    <xf numFmtId="0" fontId="41" fillId="2" borderId="1" xfId="0" applyFont="1" applyFill="1" applyBorder="1" applyAlignment="1">
      <alignment horizontal="left" vertical="center" wrapText="1"/>
    </xf>
    <xf numFmtId="0" fontId="16" fillId="0" borderId="0" xfId="0" applyFont="1" applyAlignment="1">
      <alignment horizontal="right" vertical="center" wrapText="1"/>
    </xf>
    <xf numFmtId="0" fontId="16" fillId="0" borderId="0" xfId="0" applyFont="1" applyAlignment="1">
      <alignment horizontal="left" vertical="top"/>
    </xf>
    <xf numFmtId="0" fontId="15" fillId="6" borderId="1" xfId="0" applyFont="1" applyFill="1" applyBorder="1"/>
    <xf numFmtId="0" fontId="25" fillId="0" borderId="0" xfId="0" applyFont="1" applyAlignment="1">
      <alignment wrapText="1"/>
    </xf>
    <xf numFmtId="0" fontId="15" fillId="0" borderId="0" xfId="0" applyFont="1" applyAlignment="1">
      <alignment horizontal="left" vertical="center"/>
    </xf>
    <xf numFmtId="0" fontId="16" fillId="4" borderId="1" xfId="0" applyFont="1" applyFill="1" applyBorder="1"/>
    <xf numFmtId="0" fontId="27" fillId="0" borderId="0" xfId="0" applyFont="1" applyAlignment="1">
      <alignment wrapText="1"/>
    </xf>
    <xf numFmtId="0" fontId="16" fillId="0" borderId="0" xfId="0" applyFont="1" applyAlignment="1">
      <alignment horizontal="left"/>
    </xf>
    <xf numFmtId="0" fontId="33" fillId="0" borderId="0" xfId="0" applyFont="1" applyAlignment="1">
      <alignment horizontal="left" wrapText="1"/>
    </xf>
    <xf numFmtId="0" fontId="16" fillId="0" borderId="0" xfId="0" applyFont="1" applyAlignment="1">
      <alignment horizontal="left" wrapText="1"/>
    </xf>
    <xf numFmtId="0" fontId="42" fillId="0" borderId="0" xfId="0" applyFont="1" applyAlignment="1">
      <alignment horizontal="justify" vertical="top" wrapText="1"/>
    </xf>
    <xf numFmtId="0" fontId="12" fillId="0" borderId="0" xfId="0" applyFont="1" applyAlignment="1">
      <alignment vertical="center" wrapText="1"/>
    </xf>
    <xf numFmtId="0" fontId="54" fillId="4" borderId="1" xfId="0" applyFont="1" applyFill="1" applyBorder="1" applyAlignment="1">
      <alignment horizontal="center" vertical="center" wrapText="1"/>
    </xf>
    <xf numFmtId="49" fontId="54" fillId="4" borderId="1" xfId="0" applyNumberFormat="1" applyFont="1" applyFill="1" applyBorder="1" applyAlignment="1">
      <alignment horizontal="center" vertical="center" wrapText="1"/>
    </xf>
    <xf numFmtId="0" fontId="11" fillId="0" borderId="0" xfId="0" applyFont="1" applyAlignment="1">
      <alignment horizontal="left" vertical="top" wrapText="1"/>
    </xf>
    <xf numFmtId="0" fontId="11" fillId="0" borderId="0" xfId="0" applyFont="1" applyAlignment="1">
      <alignment horizontal="center" vertical="center"/>
    </xf>
    <xf numFmtId="0" fontId="11" fillId="0" borderId="0" xfId="0" applyFont="1" applyAlignment="1">
      <alignment horizontal="left"/>
    </xf>
    <xf numFmtId="0" fontId="11" fillId="0" borderId="0" xfId="0" applyFont="1" applyAlignment="1">
      <alignment vertical="top" wrapText="1"/>
    </xf>
    <xf numFmtId="0" fontId="55" fillId="0" borderId="14" xfId="0" applyFont="1" applyBorder="1" applyAlignment="1">
      <alignment horizontal="center"/>
    </xf>
    <xf numFmtId="0" fontId="55" fillId="0" borderId="25" xfId="0" applyFont="1" applyBorder="1" applyAlignment="1">
      <alignment horizontal="center"/>
    </xf>
    <xf numFmtId="0" fontId="11" fillId="0" borderId="25" xfId="0" applyFont="1" applyBorder="1"/>
    <xf numFmtId="0" fontId="12" fillId="0" borderId="14" xfId="0" applyFont="1" applyBorder="1" applyAlignment="1">
      <alignment horizontal="center" wrapText="1"/>
    </xf>
    <xf numFmtId="0" fontId="12" fillId="0" borderId="25" xfId="0" applyFont="1" applyBorder="1" applyAlignment="1">
      <alignment horizontal="center" vertical="center"/>
    </xf>
    <xf numFmtId="0" fontId="11" fillId="0" borderId="14" xfId="0" applyFont="1" applyBorder="1" applyAlignment="1">
      <alignment horizontal="left" vertical="center" wrapText="1"/>
    </xf>
    <xf numFmtId="0" fontId="11" fillId="0" borderId="25" xfId="0" applyFont="1" applyBorder="1" applyAlignment="1">
      <alignment horizontal="left" vertical="center" wrapText="1"/>
    </xf>
    <xf numFmtId="0" fontId="11" fillId="0" borderId="14" xfId="0" applyFont="1" applyBorder="1" applyAlignment="1">
      <alignment horizontal="left" wrapText="1"/>
    </xf>
    <xf numFmtId="0" fontId="11" fillId="0" borderId="25" xfId="0" applyFont="1" applyBorder="1" applyAlignment="1">
      <alignment horizontal="left"/>
    </xf>
    <xf numFmtId="0" fontId="11" fillId="0" borderId="25" xfId="0" applyFont="1" applyBorder="1" applyAlignment="1">
      <alignment horizontal="left" vertical="center"/>
    </xf>
    <xf numFmtId="0" fontId="11" fillId="5" borderId="14" xfId="0" applyFont="1" applyFill="1" applyBorder="1" applyAlignment="1">
      <alignment horizontal="left" wrapText="1"/>
    </xf>
    <xf numFmtId="0" fontId="11" fillId="0" borderId="14" xfId="0" applyFont="1" applyBorder="1" applyAlignment="1">
      <alignment horizontal="left"/>
    </xf>
    <xf numFmtId="0" fontId="12" fillId="0" borderId="25" xfId="0" applyFont="1" applyBorder="1" applyAlignment="1">
      <alignment horizontal="center"/>
    </xf>
    <xf numFmtId="0" fontId="12" fillId="0" borderId="14" xfId="0" applyFont="1" applyBorder="1" applyAlignment="1">
      <alignment horizontal="right"/>
    </xf>
    <xf numFmtId="0" fontId="11" fillId="0" borderId="25" xfId="0" applyFont="1" applyBorder="1" applyAlignment="1">
      <alignment horizontal="center"/>
    </xf>
    <xf numFmtId="0" fontId="11" fillId="0" borderId="15" xfId="0" applyFont="1" applyBorder="1"/>
    <xf numFmtId="0" fontId="11" fillId="0" borderId="23" xfId="0" applyFont="1" applyBorder="1"/>
    <xf numFmtId="0" fontId="16" fillId="0" borderId="0" xfId="0" applyFont="1" applyAlignment="1">
      <alignment horizontal="center"/>
    </xf>
    <xf numFmtId="0" fontId="15" fillId="0" borderId="1" xfId="0" applyFont="1" applyBorder="1" applyAlignment="1">
      <alignment horizontal="center" vertical="center" wrapText="1"/>
    </xf>
    <xf numFmtId="0" fontId="15" fillId="0" borderId="0" xfId="0" applyFont="1" applyAlignment="1"/>
    <xf numFmtId="0" fontId="56" fillId="0" borderId="0" xfId="0" applyFont="1" applyAlignment="1">
      <alignment vertical="center"/>
    </xf>
    <xf numFmtId="0" fontId="56" fillId="0" borderId="0" xfId="0" applyFont="1" applyAlignment="1"/>
    <xf numFmtId="0" fontId="15" fillId="0" borderId="0" xfId="0" applyNumberFormat="1" applyFont="1" applyBorder="1" applyAlignment="1">
      <alignment horizontal="center" wrapText="1"/>
    </xf>
    <xf numFmtId="0" fontId="15" fillId="0" borderId="0" xfId="0" applyNumberFormat="1" applyFont="1"/>
    <xf numFmtId="0" fontId="15" fillId="0" borderId="0" xfId="0" applyNumberFormat="1" applyFont="1" applyBorder="1" applyAlignment="1">
      <alignment horizontal="left"/>
    </xf>
    <xf numFmtId="14" fontId="10" fillId="4" borderId="1" xfId="0" applyNumberFormat="1" applyFont="1" applyFill="1" applyBorder="1" applyAlignment="1">
      <alignment horizontal="center" vertical="center" wrapText="1"/>
    </xf>
    <xf numFmtId="0" fontId="15" fillId="0" borderId="0" xfId="0" applyFont="1" applyFill="1"/>
    <xf numFmtId="14" fontId="15" fillId="0" borderId="0" xfId="0" applyNumberFormat="1" applyFont="1" applyFill="1"/>
    <xf numFmtId="0" fontId="15" fillId="0" borderId="0" xfId="0" applyFont="1" applyAlignment="1">
      <alignment horizontal="right" vertical="center"/>
    </xf>
    <xf numFmtId="0" fontId="10" fillId="2"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169" fontId="10" fillId="2" borderId="1" xfId="0" applyNumberFormat="1" applyFont="1" applyFill="1" applyBorder="1" applyAlignment="1">
      <alignment horizontal="center" vertical="center" wrapText="1"/>
    </xf>
    <xf numFmtId="14" fontId="9" fillId="0" borderId="1" xfId="0" applyNumberFormat="1" applyFont="1" applyBorder="1" applyAlignment="1">
      <alignment vertical="center" wrapText="1"/>
    </xf>
    <xf numFmtId="0" fontId="3" fillId="0" borderId="1" xfId="0" applyFont="1" applyBorder="1" applyAlignment="1">
      <alignment vertical="center" wrapText="1"/>
    </xf>
    <xf numFmtId="0" fontId="3" fillId="7" borderId="1" xfId="0" applyFont="1" applyFill="1" applyBorder="1" applyAlignment="1">
      <alignment vertical="center" wrapText="1"/>
    </xf>
    <xf numFmtId="49" fontId="3" fillId="7" borderId="1" xfId="1" applyNumberFormat="1" applyFont="1" applyFill="1" applyBorder="1" applyAlignment="1">
      <alignment vertical="center" wrapText="1"/>
    </xf>
    <xf numFmtId="0" fontId="9" fillId="4" borderId="0" xfId="0" applyFont="1" applyFill="1"/>
    <xf numFmtId="0" fontId="9" fillId="4" borderId="1" xfId="0" applyFont="1" applyFill="1" applyBorder="1"/>
    <xf numFmtId="0" fontId="9" fillId="4" borderId="1" xfId="0" applyFont="1" applyFill="1" applyBorder="1" applyAlignment="1">
      <alignment wrapText="1"/>
    </xf>
    <xf numFmtId="10" fontId="29" fillId="4" borderId="0" xfId="559" applyNumberFormat="1"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xf numFmtId="43" fontId="9" fillId="4" borderId="0" xfId="0" applyNumberFormat="1" applyFont="1" applyFill="1"/>
    <xf numFmtId="14" fontId="9" fillId="4" borderId="0" xfId="0" applyNumberFormat="1" applyFont="1" applyFill="1"/>
    <xf numFmtId="0" fontId="9" fillId="4" borderId="16" xfId="0" applyFont="1" applyFill="1" applyBorder="1"/>
    <xf numFmtId="164" fontId="9" fillId="4" borderId="3" xfId="0" applyNumberFormat="1" applyFont="1" applyFill="1" applyBorder="1" applyAlignment="1">
      <alignment horizontal="left" vertical="top" wrapText="1"/>
    </xf>
    <xf numFmtId="168" fontId="10" fillId="4" borderId="0" xfId="0" applyNumberFormat="1" applyFont="1" applyFill="1"/>
    <xf numFmtId="0" fontId="3" fillId="4" borderId="0" xfId="0" applyFont="1" applyFill="1"/>
    <xf numFmtId="0" fontId="9" fillId="4" borderId="19" xfId="0" applyFont="1" applyFill="1" applyBorder="1"/>
    <xf numFmtId="0" fontId="9" fillId="4" borderId="20" xfId="0" applyFont="1" applyFill="1" applyBorder="1"/>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center"/>
    </xf>
    <xf numFmtId="14" fontId="9" fillId="4" borderId="1" xfId="0" applyNumberFormat="1" applyFont="1" applyFill="1" applyBorder="1"/>
    <xf numFmtId="49" fontId="9" fillId="4" borderId="1" xfId="0" applyNumberFormat="1" applyFont="1" applyFill="1" applyBorder="1"/>
    <xf numFmtId="164" fontId="9" fillId="4" borderId="0" xfId="0" applyNumberFormat="1" applyFont="1" applyFill="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vertical="center" wrapText="1"/>
    </xf>
    <xf numFmtId="49" fontId="2" fillId="4" borderId="1" xfId="0" applyNumberFormat="1" applyFont="1" applyFill="1" applyBorder="1" applyAlignment="1">
      <alignment vertical="center" wrapText="1"/>
    </xf>
    <xf numFmtId="169" fontId="2" fillId="4" borderId="1" xfId="0" applyNumberFormat="1" applyFont="1" applyFill="1" applyBorder="1" applyAlignment="1">
      <alignment horizontal="left" vertical="top"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wrapText="1"/>
    </xf>
    <xf numFmtId="11" fontId="2" fillId="4" borderId="1" xfId="0" applyNumberFormat="1" applyFont="1" applyFill="1" applyBorder="1" applyAlignment="1">
      <alignment vertical="center" wrapText="1"/>
    </xf>
    <xf numFmtId="0" fontId="1" fillId="4" borderId="1" xfId="0" applyFont="1" applyFill="1" applyBorder="1" applyAlignment="1">
      <alignment vertical="center" wrapText="1"/>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2" fillId="0" borderId="0" xfId="0" applyFont="1" applyAlignment="1">
      <alignment horizontal="center" vertical="center"/>
    </xf>
    <xf numFmtId="0" fontId="11" fillId="0" borderId="0" xfId="0" applyFont="1" applyAlignment="1">
      <alignment horizontal="left" vertical="top" wrapText="1"/>
    </xf>
    <xf numFmtId="0" fontId="28" fillId="0" borderId="0" xfId="0" applyFont="1" applyAlignment="1">
      <alignment horizontal="left" vertical="top" wrapText="1"/>
    </xf>
    <xf numFmtId="49" fontId="11" fillId="0" borderId="0" xfId="0" applyNumberFormat="1" applyFont="1" applyAlignment="1">
      <alignment horizontal="left" vertical="top" wrapText="1"/>
    </xf>
    <xf numFmtId="0" fontId="12" fillId="0" borderId="0" xfId="0" applyFont="1" applyAlignment="1">
      <alignment horizontal="center" vertical="center" wrapText="1"/>
    </xf>
    <xf numFmtId="0" fontId="11" fillId="0" borderId="0" xfId="0" applyFont="1" applyAlignment="1">
      <alignment horizontal="left" wrapText="1"/>
    </xf>
    <xf numFmtId="0" fontId="11" fillId="0" borderId="0" xfId="0" applyFont="1" applyAlignment="1">
      <alignment vertical="top" wrapText="1"/>
    </xf>
    <xf numFmtId="0" fontId="28" fillId="5" borderId="0" xfId="0" applyFont="1" applyFill="1" applyAlignment="1">
      <alignment horizontal="left" vertical="top" wrapText="1"/>
    </xf>
    <xf numFmtId="0" fontId="12" fillId="0" borderId="0" xfId="0" applyFont="1" applyAlignment="1">
      <alignment horizontal="center" vertical="top" wrapText="1"/>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center" wrapText="1"/>
    </xf>
    <xf numFmtId="0" fontId="11" fillId="0" borderId="14" xfId="0" applyFont="1" applyBorder="1" applyAlignment="1">
      <alignment horizontal="right"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center" vertical="top" wrapText="1"/>
    </xf>
    <xf numFmtId="0" fontId="42" fillId="0" borderId="0" xfId="0" applyFont="1" applyAlignment="1">
      <alignment horizontal="justify" vertical="top" wrapText="1"/>
    </xf>
    <xf numFmtId="0" fontId="16" fillId="0" borderId="0" xfId="0" applyFont="1" applyAlignment="1">
      <alignment horizontal="left"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33" fillId="0" borderId="0" xfId="0" applyFont="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top" wrapText="1"/>
    </xf>
    <xf numFmtId="0" fontId="27" fillId="0" borderId="0" xfId="0" applyFont="1" applyAlignment="1">
      <alignment horizontal="left" wrapText="1"/>
    </xf>
    <xf numFmtId="0" fontId="35" fillId="0" borderId="0" xfId="0" applyFont="1" applyAlignment="1">
      <alignment horizontal="center" vertical="top" wrapText="1"/>
    </xf>
    <xf numFmtId="0" fontId="27" fillId="0" borderId="0" xfId="0" applyFont="1" applyAlignment="1">
      <alignment horizontal="center" wrapText="1"/>
    </xf>
    <xf numFmtId="0" fontId="33" fillId="0" borderId="0" xfId="0" applyFont="1" applyAlignment="1">
      <alignment horizontal="center" vertical="top" wrapText="1"/>
    </xf>
    <xf numFmtId="0" fontId="27"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right"/>
    </xf>
    <xf numFmtId="0" fontId="33" fillId="0" borderId="0" xfId="0"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19" fillId="0" borderId="0" xfId="0" applyFont="1" applyAlignment="1">
      <alignment horizontal="center" vertical="top" wrapText="1"/>
    </xf>
    <xf numFmtId="0" fontId="15" fillId="0" borderId="0" xfId="0" applyFont="1" applyAlignment="1">
      <alignment horizontal="center" wrapText="1"/>
    </xf>
    <xf numFmtId="0" fontId="20"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6" fillId="0" borderId="0" xfId="0" applyFont="1" applyAlignment="1">
      <alignment horizontal="left" vertical="top"/>
    </xf>
    <xf numFmtId="0" fontId="12" fillId="0" borderId="0" xfId="0" applyFont="1" applyAlignment="1">
      <alignment horizontal="right" vertical="center" wrapText="1"/>
    </xf>
    <xf numFmtId="0" fontId="45" fillId="0" borderId="0" xfId="0" applyFont="1" applyAlignment="1">
      <alignment horizontal="center" wrapText="1"/>
    </xf>
    <xf numFmtId="0" fontId="16" fillId="0" borderId="0" xfId="0" applyFont="1" applyAlignment="1">
      <alignment horizontal="righ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5" fillId="0" borderId="0" xfId="0" applyFont="1" applyAlignment="1">
      <alignment horizontal="right" vertical="top" wrapText="1"/>
    </xf>
    <xf numFmtId="0" fontId="16" fillId="0" borderId="0" xfId="0" applyFont="1" applyAlignment="1">
      <alignment horizontal="lef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2" fillId="0" borderId="0" xfId="0" applyFont="1" applyAlignment="1">
      <alignment horizontal="left" vertical="center" wrapText="1"/>
    </xf>
    <xf numFmtId="0" fontId="11" fillId="0" borderId="0" xfId="0" applyFont="1" applyAlignment="1">
      <alignment horizontal="justify" wrapText="1"/>
    </xf>
    <xf numFmtId="0" fontId="12" fillId="0" borderId="0" xfId="0" applyFont="1" applyAlignment="1">
      <alignment horizontal="left" vertical="top" wrapText="1"/>
    </xf>
    <xf numFmtId="0" fontId="12" fillId="0" borderId="0" xfId="0" applyFont="1" applyAlignment="1">
      <alignment horizontal="right" vertical="center"/>
    </xf>
    <xf numFmtId="0" fontId="11" fillId="0" borderId="0" xfId="0" applyFont="1" applyAlignment="1">
      <alignment horizontal="left" vertic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3" fillId="0" borderId="8" xfId="0" applyFont="1" applyBorder="1" applyAlignment="1">
      <alignment horizontal="center" wrapText="1"/>
    </xf>
    <xf numFmtId="0" fontId="23" fillId="0" borderId="0" xfId="0" applyFont="1" applyAlignment="1">
      <alignment horizontal="center" wrapText="1"/>
    </xf>
    <xf numFmtId="0" fontId="23" fillId="0" borderId="9"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2" fillId="0" borderId="0" xfId="0" applyFont="1" applyAlignment="1">
      <alignment horizontal="right" vertical="top" wrapText="1"/>
    </xf>
    <xf numFmtId="0" fontId="11" fillId="0" borderId="0" xfId="0" applyFont="1" applyAlignment="1">
      <alignment horizontal="justify" vertical="top" wrapText="1"/>
    </xf>
    <xf numFmtId="0" fontId="11" fillId="0" borderId="0" xfId="0" applyFont="1" applyAlignment="1">
      <alignment horizontal="center" vertical="center" wrapText="1"/>
    </xf>
    <xf numFmtId="0" fontId="38" fillId="0" borderId="0" xfId="0" applyFont="1" applyAlignment="1">
      <alignment vertical="center" wrapText="1"/>
    </xf>
    <xf numFmtId="0" fontId="37" fillId="0" borderId="0" xfId="0" applyFont="1" applyAlignment="1">
      <alignment horizontal="justify" vertical="center" wrapText="1"/>
    </xf>
    <xf numFmtId="0" fontId="15" fillId="0" borderId="0" xfId="0" applyFont="1" applyAlignment="1">
      <alignment vertical="top" wrapText="1"/>
    </xf>
    <xf numFmtId="0" fontId="38" fillId="0" borderId="0" xfId="0" applyFont="1" applyAlignment="1">
      <alignment horizontal="justify" vertical="center" wrapText="1"/>
    </xf>
    <xf numFmtId="0" fontId="37"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0" fillId="0" borderId="0" xfId="0" applyFont="1" applyAlignment="1">
      <alignment horizontal="left" vertical="center" wrapText="1" readingOrder="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5" fillId="0" borderId="0" xfId="0" applyFont="1" applyBorder="1" applyAlignment="1">
      <alignment horizontal="left" vertical="center"/>
    </xf>
    <xf numFmtId="0" fontId="15" fillId="0" borderId="0" xfId="0" applyFont="1" applyBorder="1" applyAlignment="1">
      <alignment horizontal="left" vertical="center" wrapText="1"/>
    </xf>
    <xf numFmtId="0" fontId="15" fillId="0" borderId="17" xfId="0" applyFont="1" applyBorder="1" applyAlignment="1">
      <alignment horizontal="left" vertical="center"/>
    </xf>
    <xf numFmtId="0" fontId="28" fillId="0" borderId="0" xfId="0" applyFont="1" applyAlignment="1">
      <alignment horizontal="justify" vertical="center" wrapText="1"/>
    </xf>
    <xf numFmtId="0" fontId="28" fillId="0" borderId="1" xfId="0" applyFont="1" applyBorder="1" applyAlignment="1">
      <alignment horizontal="justify" vertical="center" wrapText="1"/>
    </xf>
    <xf numFmtId="0" fontId="28" fillId="0" borderId="17" xfId="0" applyFont="1" applyBorder="1" applyAlignment="1">
      <alignment horizontal="justify" vertical="center" wrapText="1"/>
    </xf>
    <xf numFmtId="0" fontId="28" fillId="0" borderId="11" xfId="0" applyFont="1" applyBorder="1" applyAlignment="1">
      <alignment horizontal="justify"/>
    </xf>
    <xf numFmtId="0" fontId="28" fillId="0" borderId="0" xfId="0" applyFont="1" applyAlignment="1">
      <alignment horizontal="center"/>
    </xf>
    <xf numFmtId="0" fontId="28" fillId="0" borderId="3" xfId="0" applyFont="1" applyBorder="1" applyAlignment="1">
      <alignment horizontal="justify" vertical="center" wrapText="1"/>
    </xf>
    <xf numFmtId="0" fontId="28" fillId="0" borderId="18" xfId="0" applyFont="1" applyBorder="1" applyAlignment="1">
      <alignment horizontal="justify"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xf>
    <xf numFmtId="0" fontId="28" fillId="0" borderId="2" xfId="0" applyFont="1" applyBorder="1" applyAlignment="1">
      <alignment horizontal="justify" vertical="center"/>
    </xf>
    <xf numFmtId="0" fontId="28" fillId="0" borderId="21" xfId="0" applyFont="1" applyBorder="1" applyAlignment="1">
      <alignment horizontal="justify" vertical="center"/>
    </xf>
    <xf numFmtId="0" fontId="28" fillId="0" borderId="17" xfId="0" applyFont="1" applyBorder="1" applyAlignment="1">
      <alignment horizontal="justify" vertical="center"/>
    </xf>
    <xf numFmtId="0" fontId="28" fillId="0" borderId="22" xfId="0" applyFont="1" applyBorder="1" applyAlignment="1">
      <alignment horizontal="justify" vertical="center"/>
    </xf>
    <xf numFmtId="0" fontId="28" fillId="0" borderId="20" xfId="0" applyFont="1" applyBorder="1" applyAlignment="1">
      <alignment horizontal="justify" vertical="center"/>
    </xf>
    <xf numFmtId="0" fontId="28" fillId="0" borderId="4" xfId="0" applyFont="1" applyBorder="1" applyAlignment="1">
      <alignment horizontal="justify" vertical="center"/>
    </xf>
    <xf numFmtId="0" fontId="28" fillId="0" borderId="23" xfId="0" applyFont="1" applyBorder="1" applyAlignment="1">
      <alignment horizontal="justify" vertical="center"/>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1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26276</xdr:colOff>
      <xdr:row>0</xdr:row>
      <xdr:rowOff>0</xdr:rowOff>
    </xdr:from>
    <xdr:to>
      <xdr:col>0</xdr:col>
      <xdr:colOff>780586</xdr:colOff>
      <xdr:row>3</xdr:row>
      <xdr:rowOff>184042</xdr:rowOff>
    </xdr:to>
    <xdr:pic>
      <xdr:nvPicPr>
        <xdr:cNvPr id="2" name="Image 1">
          <a:extLst>
            <a:ext uri="{FF2B5EF4-FFF2-40B4-BE49-F238E27FC236}">
              <a16:creationId xmlns:a16="http://schemas.microsoft.com/office/drawing/2014/main" id="{7B7C8D8B-B89E-44FA-A4C4-E928BF9C57AA}"/>
            </a:ext>
          </a:extLst>
        </xdr:cNvPr>
        <xdr:cNvPicPr/>
      </xdr:nvPicPr>
      <xdr:blipFill>
        <a:blip xmlns:r="http://schemas.openxmlformats.org/officeDocument/2006/relationships" r:embed="rId1" cstate="print"/>
        <a:stretch>
          <a:fillRect/>
        </a:stretch>
      </xdr:blipFill>
      <xdr:spPr>
        <a:xfrm>
          <a:off x="26276" y="0"/>
          <a:ext cx="754310" cy="755542"/>
        </a:xfrm>
        <a:prstGeom prst="rect">
          <a:avLst/>
        </a:prstGeom>
      </xdr:spPr>
    </xdr:pic>
    <xdr:clientData/>
  </xdr:twoCellAnchor>
  <xdr:twoCellAnchor editAs="oneCell">
    <xdr:from>
      <xdr:col>3</xdr:col>
      <xdr:colOff>648686</xdr:colOff>
      <xdr:row>0</xdr:row>
      <xdr:rowOff>0</xdr:rowOff>
    </xdr:from>
    <xdr:to>
      <xdr:col>3</xdr:col>
      <xdr:colOff>1728012</xdr:colOff>
      <xdr:row>3</xdr:row>
      <xdr:rowOff>178975</xdr:rowOff>
    </xdr:to>
    <xdr:pic>
      <xdr:nvPicPr>
        <xdr:cNvPr id="3" name="Image 2">
          <a:extLst>
            <a:ext uri="{FF2B5EF4-FFF2-40B4-BE49-F238E27FC236}">
              <a16:creationId xmlns:a16="http://schemas.microsoft.com/office/drawing/2014/main" id="{6B72BFE4-1A69-44C8-B17C-3466E226BBC8}"/>
            </a:ext>
          </a:extLst>
        </xdr:cNvPr>
        <xdr:cNvPicPr/>
      </xdr:nvPicPr>
      <xdr:blipFill>
        <a:blip xmlns:r="http://schemas.openxmlformats.org/officeDocument/2006/relationships" r:embed="rId2" cstate="print"/>
        <a:stretch>
          <a:fillRect/>
        </a:stretch>
      </xdr:blipFill>
      <xdr:spPr>
        <a:xfrm>
          <a:off x="4619878" y="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7"/>
  <sheetViews>
    <sheetView view="pageBreakPreview" topLeftCell="A61" zoomScaleNormal="100" zoomScaleSheetLayoutView="100" workbookViewId="0">
      <selection activeCell="B61" sqref="B61"/>
    </sheetView>
  </sheetViews>
  <sheetFormatPr defaultColWidth="0" defaultRowHeight="15" zeroHeight="1"/>
  <cols>
    <col min="1" max="1" width="50" style="146" customWidth="1"/>
    <col min="2" max="2" width="61.85546875" style="148" customWidth="1"/>
    <col min="3" max="3" width="63.85546875" style="239" customWidth="1"/>
    <col min="4" max="4" width="29.7109375" style="144" customWidth="1"/>
    <col min="5" max="7" width="9.140625" style="144" hidden="1" customWidth="1"/>
    <col min="8" max="8" width="62.5703125" style="144" hidden="1" customWidth="1"/>
    <col min="9" max="13" width="9.140625" style="144" hidden="1" customWidth="1"/>
    <col min="14" max="14" width="70.7109375" style="144" hidden="1" customWidth="1"/>
    <col min="15" max="16" width="9.140625" style="144" hidden="1" customWidth="1"/>
    <col min="17" max="17" width="59.7109375" style="144" hidden="1" customWidth="1"/>
    <col min="18" max="18" width="49.85546875" style="144" hidden="1" customWidth="1"/>
    <col min="19" max="16384" width="9.140625" style="144" hidden="1"/>
  </cols>
  <sheetData>
    <row r="1" spans="1:4">
      <c r="A1" s="157" t="str">
        <f>CONCATENATE(B65," olish uchun ariza")</f>
        <v>mikroqarz olish uchun ariza</v>
      </c>
      <c r="B1" s="266" t="s">
        <v>453</v>
      </c>
    </row>
    <row r="2" spans="1:4" ht="15" customHeight="1">
      <c r="A2" s="157" t="str">
        <f>CONCATENATE(B65," olish uchun ariza sanasi QO’L BILAN KIRITILADI")</f>
        <v>mikroqarz olish uchun ariza sanasi QO’L BILAN KIRITILADI</v>
      </c>
      <c r="B2" s="261" t="s">
        <v>429</v>
      </c>
      <c r="D2" s="144">
        <f>180+B2</f>
        <v>45937</v>
      </c>
    </row>
    <row r="3" spans="1:4">
      <c r="A3" s="157"/>
      <c r="B3" s="156"/>
    </row>
    <row r="4" spans="1:4">
      <c r="A4" s="267" t="s">
        <v>50</v>
      </c>
      <c r="B4" s="267"/>
    </row>
    <row r="5" spans="1:4" ht="30">
      <c r="A5" s="157" t="s">
        <v>51</v>
      </c>
      <c r="B5" s="259" t="s">
        <v>430</v>
      </c>
      <c r="C5" s="239" t="s">
        <v>380</v>
      </c>
    </row>
    <row r="6" spans="1:4" ht="30">
      <c r="A6" s="157" t="s">
        <v>52</v>
      </c>
      <c r="B6" s="43" t="s">
        <v>131</v>
      </c>
      <c r="C6" s="239" t="s">
        <v>251</v>
      </c>
      <c r="D6" s="144" t="s">
        <v>131</v>
      </c>
    </row>
    <row r="7" spans="1:4" ht="30">
      <c r="A7" s="157" t="s">
        <v>53</v>
      </c>
      <c r="B7" s="266" t="s">
        <v>454</v>
      </c>
    </row>
    <row r="8" spans="1:4" ht="30" hidden="1">
      <c r="A8" s="157" t="s">
        <v>54</v>
      </c>
      <c r="B8" s="61" t="str">
        <f>B5</f>
        <v>DJURAKULOVA SANAM ASHUROVNA</v>
      </c>
    </row>
    <row r="9" spans="1:4" hidden="1">
      <c r="A9" s="157" t="s">
        <v>55</v>
      </c>
      <c r="B9" s="61" t="str">
        <f>B7</f>
        <v>DJURAKULOVA S.A.</v>
      </c>
    </row>
    <row r="10" spans="1:4" ht="30" hidden="1">
      <c r="A10" s="157" t="s">
        <v>56</v>
      </c>
      <c r="B10" s="61" t="str">
        <f>B8</f>
        <v>DJURAKULOVA SANAM ASHUROVNA</v>
      </c>
    </row>
    <row r="11" spans="1:4" hidden="1">
      <c r="A11" s="157" t="s">
        <v>57</v>
      </c>
      <c r="B11" s="61" t="str">
        <f>B9</f>
        <v>DJURAKULOVA S.A.</v>
      </c>
    </row>
    <row r="12" spans="1:4" ht="30" hidden="1">
      <c r="A12" s="157" t="s">
        <v>58</v>
      </c>
      <c r="B12" s="61" t="str">
        <f>B10</f>
        <v>DJURAKULOVA SANAM ASHUROVNA</v>
      </c>
    </row>
    <row r="13" spans="1:4" hidden="1">
      <c r="A13" s="157" t="s">
        <v>59</v>
      </c>
      <c r="B13" s="61" t="str">
        <f>B11</f>
        <v>DJURAKULOVA S.A.</v>
      </c>
    </row>
    <row r="14" spans="1:4" hidden="1">
      <c r="A14" s="157" t="s">
        <v>60</v>
      </c>
      <c r="B14" s="61" t="s">
        <v>63</v>
      </c>
    </row>
    <row r="15" spans="1:4">
      <c r="A15" s="157" t="s">
        <v>61</v>
      </c>
      <c r="B15" s="262" t="s">
        <v>431</v>
      </c>
    </row>
    <row r="16" spans="1:4">
      <c r="A16" s="157" t="s">
        <v>62</v>
      </c>
      <c r="B16" s="266" t="s">
        <v>432</v>
      </c>
    </row>
    <row r="17" spans="1:7">
      <c r="A17" s="157"/>
      <c r="B17" s="259" t="s">
        <v>433</v>
      </c>
      <c r="D17" s="144" t="str">
        <f>TEXT(C17,"ДД.ММ.ГГГГ")</f>
        <v>00.01.1900</v>
      </c>
    </row>
    <row r="18" spans="1:7">
      <c r="A18" s="157"/>
      <c r="B18" s="179">
        <v>42184</v>
      </c>
      <c r="C18" s="240" t="str">
        <f>TEXT(B18,"ДД.ММ.ГГГГ")</f>
        <v>29.06.2015</v>
      </c>
    </row>
    <row r="19" spans="1:7">
      <c r="A19" s="157"/>
      <c r="B19" s="179">
        <f>DATE(YEAR(B18)+10,MONTH(B18),DAY(B18)-1)</f>
        <v>45836</v>
      </c>
      <c r="C19" s="240" t="str">
        <f>TEXT(B19,"ДД.ММ.ГГГГ")</f>
        <v>28.06.2025</v>
      </c>
    </row>
    <row r="20" spans="1:7" ht="60">
      <c r="A20" s="157" t="s">
        <v>65</v>
      </c>
      <c r="B20" s="53" t="str">
        <f>""&amp;B17&amp;" tomonidan "&amp;C18&amp;" yilda berilgan"</f>
        <v>SAMARQAND VILOYATI SAMARQAND SHAHAR IIB tomonidan 29.06.2015 yilda berilgan</v>
      </c>
      <c r="C20" s="241" t="str">
        <f>""&amp;B17&amp;" tomonidan "&amp;C18&amp;" yilda berilgan"</f>
        <v>SAMARQAND VILOYATI SAMARQAND SHAHAR IIB tomonidan 29.06.2015 yilda berilgan</v>
      </c>
    </row>
    <row r="21" spans="1:7" ht="45">
      <c r="A21" s="157" t="s">
        <v>66</v>
      </c>
      <c r="B21" s="53" t="str">
        <f>""&amp;C19&amp;" y."</f>
        <v>28.06.2025 y.</v>
      </c>
      <c r="C21" s="240" t="str">
        <f>""&amp;C19&amp;" yilgacha"</f>
        <v>28.06.2025 yilgacha</v>
      </c>
    </row>
    <row r="22" spans="1:7" ht="57.75" customHeight="1">
      <c r="A22" s="157" t="s">
        <v>67</v>
      </c>
      <c r="B22" s="259" t="s">
        <v>434</v>
      </c>
      <c r="C22" s="240" t="str">
        <f>TEXT(B19,"ДД.ММ.ГГГГ")</f>
        <v>28.06.2025</v>
      </c>
    </row>
    <row r="23" spans="1:7" ht="30">
      <c r="A23" s="157" t="s">
        <v>68</v>
      </c>
      <c r="B23" s="43" t="s">
        <v>92</v>
      </c>
      <c r="C23" s="239" t="s">
        <v>92</v>
      </c>
      <c r="D23" s="144" t="s">
        <v>93</v>
      </c>
    </row>
    <row r="24" spans="1:7" ht="30" hidden="1">
      <c r="A24" s="157" t="s">
        <v>69</v>
      </c>
      <c r="B24" s="61" t="s">
        <v>90</v>
      </c>
      <c r="C24" s="239" t="s">
        <v>90</v>
      </c>
      <c r="D24" s="144" t="s">
        <v>91</v>
      </c>
      <c r="E24" s="144" t="s">
        <v>0</v>
      </c>
      <c r="F24" s="144" t="s">
        <v>1</v>
      </c>
      <c r="G24" s="144" t="s">
        <v>3</v>
      </c>
    </row>
    <row r="25" spans="1:7">
      <c r="A25" s="157" t="s">
        <v>70</v>
      </c>
      <c r="B25" s="259" t="s">
        <v>435</v>
      </c>
    </row>
    <row r="26" spans="1:7" ht="44.25" customHeight="1">
      <c r="A26" s="157" t="s">
        <v>71</v>
      </c>
      <c r="B26" s="259" t="s">
        <v>436</v>
      </c>
      <c r="C26" s="239" t="s">
        <v>24</v>
      </c>
    </row>
    <row r="27" spans="1:7" ht="44.25" hidden="1" customHeight="1">
      <c r="A27" s="157"/>
      <c r="B27" s="43" t="str">
        <f>IF(B23="mos keladi",B22,B28)</f>
        <v>SAMARQAND VILOYATI SAMARQAND SHAHAR BOG'ISARIY MAHALLASI SPITAMENSHOX KO'CHASI 252 UY</v>
      </c>
    </row>
    <row r="28" spans="1:7" ht="45">
      <c r="A28" s="157" t="s">
        <v>72</v>
      </c>
      <c r="B28" s="259" t="s">
        <v>434</v>
      </c>
    </row>
    <row r="29" spans="1:7">
      <c r="A29" s="157" t="s">
        <v>73</v>
      </c>
      <c r="B29" s="43" t="s">
        <v>90</v>
      </c>
      <c r="C29" s="239" t="s">
        <v>90</v>
      </c>
      <c r="D29" s="144" t="s">
        <v>91</v>
      </c>
      <c r="E29" s="144" t="s">
        <v>322</v>
      </c>
      <c r="F29" s="144" t="s">
        <v>323</v>
      </c>
      <c r="G29" s="144" t="s">
        <v>3</v>
      </c>
    </row>
    <row r="30" spans="1:7">
      <c r="A30" s="157" t="s">
        <v>74</v>
      </c>
      <c r="B30" s="141" t="s">
        <v>326</v>
      </c>
      <c r="C30" s="239" t="s">
        <v>145</v>
      </c>
      <c r="D30" s="144" t="s">
        <v>326</v>
      </c>
    </row>
    <row r="31" spans="1:7">
      <c r="A31" s="157" t="s">
        <v>75</v>
      </c>
      <c r="B31" s="259" t="s">
        <v>437</v>
      </c>
      <c r="C31" s="239" t="s">
        <v>379</v>
      </c>
    </row>
    <row r="32" spans="1:7">
      <c r="A32" s="157" t="s">
        <v>60</v>
      </c>
      <c r="B32" s="43" t="s">
        <v>63</v>
      </c>
    </row>
    <row r="33" spans="1:4">
      <c r="A33" s="157" t="s">
        <v>70</v>
      </c>
      <c r="B33" s="259" t="s">
        <v>435</v>
      </c>
    </row>
    <row r="34" spans="1:4" ht="28.5" hidden="1">
      <c r="A34" s="157"/>
      <c r="B34" s="43" t="str">
        <f>IF(B23="mos keladi",B26,B35)</f>
        <v>SUPER XOTDOG. PED INSTITUTDAN O'TGANDA KOICAGA YETMASDAN</v>
      </c>
    </row>
    <row r="35" spans="1:4">
      <c r="A35" s="157" t="s">
        <v>71</v>
      </c>
      <c r="B35" s="43"/>
    </row>
    <row r="36" spans="1:4">
      <c r="A36" s="157" t="s">
        <v>76</v>
      </c>
      <c r="B36" s="43"/>
    </row>
    <row r="37" spans="1:4">
      <c r="A37" s="157" t="s">
        <v>77</v>
      </c>
      <c r="B37" s="43"/>
    </row>
    <row r="38" spans="1:4">
      <c r="A38" s="157" t="s">
        <v>78</v>
      </c>
      <c r="B38" s="43"/>
    </row>
    <row r="39" spans="1:4">
      <c r="A39" s="157" t="s">
        <v>79</v>
      </c>
      <c r="B39" s="43" t="str" cm="1">
        <f t="array" aca="1" ref="B39" ca="1">+A39:B102</f>
        <v>Mutaxassisligi</v>
      </c>
    </row>
    <row r="40" spans="1:4" ht="24.75" customHeight="1">
      <c r="A40" s="157" t="s">
        <v>80</v>
      </c>
      <c r="B40" s="43" t="str">
        <f>B25</f>
        <v>90 606-09-53 UZI</v>
      </c>
    </row>
    <row r="41" spans="1:4" ht="24.75" customHeight="1">
      <c r="A41" s="157" t="s">
        <v>81</v>
      </c>
      <c r="B41" s="259" t="s">
        <v>438</v>
      </c>
    </row>
    <row r="42" spans="1:4" ht="24.75" customHeight="1">
      <c r="A42" s="157" t="s">
        <v>80</v>
      </c>
      <c r="B42" s="259" t="s">
        <v>439</v>
      </c>
    </row>
    <row r="43" spans="1:4" ht="30">
      <c r="A43" s="157" t="s">
        <v>81</v>
      </c>
      <c r="B43" s="43"/>
    </row>
    <row r="44" spans="1:4">
      <c r="A44" s="126" t="s">
        <v>82</v>
      </c>
      <c r="B44" s="141" t="s">
        <v>338</v>
      </c>
      <c r="C44" s="239" t="s">
        <v>338</v>
      </c>
      <c r="D44" s="144" t="s">
        <v>344</v>
      </c>
    </row>
    <row r="45" spans="1:4" hidden="1">
      <c r="A45" s="157"/>
      <c r="B45" s="141" t="str">
        <f>IF(B44=D44,CONCATENATE("MA'LUMOTNOMA ",B47,B46),C44)</f>
        <v>Yakka tartibdagi tadbirkor</v>
      </c>
    </row>
    <row r="46" spans="1:4" ht="30">
      <c r="A46" s="126" t="s">
        <v>345</v>
      </c>
      <c r="B46" s="155"/>
    </row>
    <row r="47" spans="1:4">
      <c r="A47" s="126"/>
      <c r="B47" s="149"/>
      <c r="C47" s="239" t="s">
        <v>14</v>
      </c>
    </row>
    <row r="48" spans="1:4" ht="30">
      <c r="A48" s="126" t="s">
        <v>346</v>
      </c>
      <c r="B48" s="141"/>
    </row>
    <row r="49" spans="1:4" hidden="1">
      <c r="A49" s="157" t="s">
        <v>83</v>
      </c>
      <c r="B49" s="43" t="str">
        <f>IF(B44=C44,C44,B48)</f>
        <v>Yakka tartibdagi tadbirkor</v>
      </c>
    </row>
    <row r="50" spans="1:4" ht="45">
      <c r="A50" s="157" t="s">
        <v>84</v>
      </c>
      <c r="B50" s="43"/>
    </row>
    <row r="51" spans="1:4">
      <c r="A51" s="157" t="s">
        <v>71</v>
      </c>
      <c r="B51" s="43"/>
    </row>
    <row r="52" spans="1:4">
      <c r="A52" s="157" t="s">
        <v>85</v>
      </c>
      <c r="B52" s="43"/>
    </row>
    <row r="53" spans="1:4">
      <c r="A53" s="157" t="s">
        <v>86</v>
      </c>
      <c r="B53" s="43"/>
    </row>
    <row r="54" spans="1:4">
      <c r="A54" s="157" t="s">
        <v>87</v>
      </c>
      <c r="B54" s="43"/>
    </row>
    <row r="55" spans="1:4">
      <c r="A55" s="157" t="s">
        <v>88</v>
      </c>
      <c r="B55" s="50"/>
    </row>
    <row r="56" spans="1:4">
      <c r="A56" s="157" t="s">
        <v>89</v>
      </c>
      <c r="B56" s="1" t="s">
        <v>21</v>
      </c>
    </row>
    <row r="57" spans="1:4" ht="30" customHeight="1">
      <c r="A57" s="268" t="s">
        <v>94</v>
      </c>
      <c r="B57" s="269"/>
    </row>
    <row r="58" spans="1:4" ht="20.25" hidden="1" customHeight="1">
      <c r="A58" s="157" t="s">
        <v>95</v>
      </c>
      <c r="B58" s="43" t="str">
        <f>IF(B44=C44,C44,CONCATENATE(B44," ",B47))</f>
        <v>Yakka tartibdagi tadbirkor</v>
      </c>
    </row>
    <row r="59" spans="1:4" ht="31.5" hidden="1" customHeight="1">
      <c r="A59" s="157" t="s">
        <v>83</v>
      </c>
      <c r="B59" s="43" t="str">
        <f>B49</f>
        <v>Yakka tartibdagi tadbirkor</v>
      </c>
    </row>
    <row r="60" spans="1:4">
      <c r="A60" s="126" t="s">
        <v>96</v>
      </c>
      <c r="B60" s="180">
        <v>12000000</v>
      </c>
      <c r="C60" s="242">
        <f>C63/B75</f>
        <v>0.43215182149999998</v>
      </c>
    </row>
    <row r="61" spans="1:4">
      <c r="A61" s="157" t="s">
        <v>97</v>
      </c>
      <c r="B61" s="3">
        <v>0</v>
      </c>
      <c r="C61" s="243" t="s">
        <v>382</v>
      </c>
    </row>
    <row r="62" spans="1:4" hidden="1">
      <c r="A62" s="157" t="s">
        <v>98</v>
      </c>
      <c r="B62" s="43">
        <f>B53</f>
        <v>0</v>
      </c>
      <c r="C62" s="244"/>
    </row>
    <row r="63" spans="1:4">
      <c r="A63" s="157" t="s">
        <v>99</v>
      </c>
      <c r="B63" s="43"/>
      <c r="C63" s="245">
        <f>SUM(grafik!E9:E20)</f>
        <v>17286072.859999999</v>
      </c>
    </row>
    <row r="64" spans="1:4">
      <c r="A64" s="267" t="s">
        <v>100</v>
      </c>
      <c r="B64" s="267"/>
      <c r="C64" s="239" t="str">
        <f>PROPER(B65)</f>
        <v>Mikroqarz</v>
      </c>
      <c r="D64" s="144" t="str">
        <f>UPPER(B65)</f>
        <v>MIKROQARZ</v>
      </c>
    </row>
    <row r="65" spans="1:14" ht="15.75" thickBot="1">
      <c r="A65" s="157" t="s">
        <v>101</v>
      </c>
      <c r="B65" s="156" t="str">
        <f>IF(B75&gt;100000001,"mikrokredit",IF(B75&lt;100000001,"mikroqarz",0))</f>
        <v>mikroqarz</v>
      </c>
      <c r="C65" s="246">
        <f>DATE(YEAR(B67),MONTH(B67)+B81,DAY(B67))</f>
        <v>46487</v>
      </c>
    </row>
    <row r="66" spans="1:14" hidden="1">
      <c r="A66" s="157" t="s">
        <v>102</v>
      </c>
      <c r="B66" s="43" t="str">
        <f>B1</f>
        <v>№745-SM</v>
      </c>
      <c r="C66" s="239">
        <f>MONTH(C65)</f>
        <v>4</v>
      </c>
      <c r="D66" s="144" t="str">
        <f>IF(C66=C68,C70,IF(C66=D68,D70,IF(C66=E68,E70,IF(C66=F68,F70,IF(C66=G68,G70,IF(C66=H68,H70,IF(C66=I68,I70,IF(C66=J68,J70,IF(C66=K68,K70,IF(C66=L68,L70,IF(C66=M68,M70,IF(C66=N68,N70,))))))))))))</f>
        <v>aprel</v>
      </c>
      <c r="E66" s="144">
        <f>DAY(C65)</f>
        <v>10</v>
      </c>
      <c r="F66" s="144">
        <f>YEAR(C65)</f>
        <v>2027</v>
      </c>
      <c r="G66" s="144">
        <f>MONTH(C65)</f>
        <v>4</v>
      </c>
      <c r="H66" s="144" t="str">
        <f>IF(C66=C68,C71,IF(C66=D68,D71,IF(C66=E68,E71,IF(C66=F68,F71,IF(C66=G68,G71,IF(C66=H68,H71,IF(C66=I68,I71,IF(C66=J68,J71,IF(C66=K68,K71,IF(C66=L68,L71,IF(C66=M68,M71,IF(C66=N68,N71,))))))))))))</f>
        <v>aprel</v>
      </c>
      <c r="I66" s="144">
        <f>YEAR(C65)</f>
        <v>2027</v>
      </c>
    </row>
    <row r="67" spans="1:14" hidden="1">
      <c r="A67" s="157" t="s">
        <v>103</v>
      </c>
      <c r="B67" s="68" t="str">
        <f>B2</f>
        <v>10.04.2025</v>
      </c>
      <c r="C67" s="239">
        <f>MONTH(B67)</f>
        <v>4</v>
      </c>
      <c r="D67" s="144" t="str">
        <f>IF(C67=C68,C70,IF(C67=D68,D70,IF(C67=E68,E70,IF(C67=F68,F70,IF(C67=G68,G70,IF(C67=H68,H70,IF(C67=I68,I70,IF(C67=J68,J70,IF(C67=K68,K70,IF(C67=L68,L70,IF(C67=M68,M70,IF(C67=N68,N70,))))))))))))</f>
        <v>aprel</v>
      </c>
      <c r="E67" s="144">
        <f>DAY(B67)</f>
        <v>10</v>
      </c>
      <c r="F67" s="144">
        <f>YEAR(B67)</f>
        <v>2025</v>
      </c>
      <c r="G67" s="144">
        <f>MONTH(B67)</f>
        <v>4</v>
      </c>
      <c r="H67" s="144" t="str">
        <f>IF(C67=C68,C71,IF(C67=D68,D71,IF(C67=E68,E71,IF(C67=F68,F71,IF(C67=G68,G71,IF(C67=H68,H71,IF(C67=I68,I71,IF(C67=J68,J71,IF(C67=K68,K71,IF(C67=L68,L71,IF(C67=M68,M71,IF(C67=N68,N71,))))))))))))</f>
        <v>aprel</v>
      </c>
      <c r="I67" s="144">
        <f>YEAR(B67)</f>
        <v>2025</v>
      </c>
    </row>
    <row r="68" spans="1:14" hidden="1">
      <c r="A68" s="157" t="s">
        <v>104</v>
      </c>
      <c r="B68" s="62" t="str">
        <f>""&amp;E67&amp;" "&amp;D67&amp;" "&amp;F67&amp;" y."</f>
        <v>10 aprel 2025 y.</v>
      </c>
      <c r="C68" s="239">
        <v>1</v>
      </c>
      <c r="D68" s="144">
        <v>2</v>
      </c>
      <c r="E68" s="144">
        <v>3</v>
      </c>
      <c r="F68" s="144">
        <v>4</v>
      </c>
      <c r="G68" s="144">
        <v>5</v>
      </c>
      <c r="H68" s="144">
        <v>6</v>
      </c>
      <c r="I68" s="144">
        <v>7</v>
      </c>
      <c r="J68" s="144">
        <v>8</v>
      </c>
      <c r="K68" s="144">
        <v>9</v>
      </c>
      <c r="L68" s="144">
        <v>10</v>
      </c>
      <c r="M68" s="144">
        <v>11</v>
      </c>
      <c r="N68" s="144">
        <v>12</v>
      </c>
    </row>
    <row r="69" spans="1:14" hidden="1">
      <c r="A69" s="157"/>
      <c r="B69" s="62" t="str">
        <f>""&amp;E67&amp;" "&amp;H67&amp;" "&amp;F67&amp;" y."</f>
        <v>10 aprel 2025 y.</v>
      </c>
    </row>
    <row r="70" spans="1:14" hidden="1">
      <c r="A70" s="157"/>
      <c r="B70" s="52" t="str">
        <f>B68</f>
        <v>10 aprel 2025 y.</v>
      </c>
      <c r="C70" s="239" t="s">
        <v>116</v>
      </c>
      <c r="D70" s="144" t="s">
        <v>117</v>
      </c>
      <c r="E70" s="144" t="s">
        <v>106</v>
      </c>
      <c r="F70" s="144" t="s">
        <v>107</v>
      </c>
      <c r="G70" s="144" t="s">
        <v>108</v>
      </c>
      <c r="H70" s="144" t="s">
        <v>109</v>
      </c>
      <c r="I70" s="144" t="s">
        <v>110</v>
      </c>
      <c r="J70" s="144" t="s">
        <v>111</v>
      </c>
      <c r="K70" s="144" t="s">
        <v>112</v>
      </c>
      <c r="L70" s="144" t="s">
        <v>113</v>
      </c>
      <c r="M70" s="144" t="s">
        <v>114</v>
      </c>
      <c r="N70" s="144" t="s">
        <v>115</v>
      </c>
    </row>
    <row r="71" spans="1:14" hidden="1">
      <c r="A71" s="157"/>
      <c r="B71" s="52" t="str">
        <f>B69</f>
        <v>10 aprel 2025 y.</v>
      </c>
      <c r="C71" s="239" t="s">
        <v>116</v>
      </c>
      <c r="D71" s="144" t="s">
        <v>117</v>
      </c>
      <c r="E71" s="144" t="s">
        <v>106</v>
      </c>
      <c r="F71" s="144" t="s">
        <v>107</v>
      </c>
      <c r="G71" s="144" t="s">
        <v>108</v>
      </c>
      <c r="H71" s="144" t="s">
        <v>109</v>
      </c>
      <c r="I71" s="144" t="s">
        <v>110</v>
      </c>
      <c r="J71" s="144" t="s">
        <v>111</v>
      </c>
      <c r="K71" s="144" t="s">
        <v>112</v>
      </c>
      <c r="L71" s="144" t="s">
        <v>113</v>
      </c>
      <c r="M71" s="144" t="s">
        <v>114</v>
      </c>
      <c r="N71" s="144" t="s">
        <v>115</v>
      </c>
    </row>
    <row r="72" spans="1:14" hidden="1">
      <c r="A72" s="157" t="s">
        <v>105</v>
      </c>
      <c r="B72" s="51" t="str">
        <f>""&amp;E66&amp;" "&amp;D66&amp;" "&amp;F66&amp;" y."</f>
        <v>10 aprel 2027 y.</v>
      </c>
    </row>
    <row r="73" spans="1:14" hidden="1">
      <c r="A73" s="157"/>
      <c r="B73" s="51" t="str">
        <f>""&amp;E66&amp;" "&amp;H66&amp;" "&amp;F66&amp;" y."</f>
        <v>10 aprel 2027 y.</v>
      </c>
    </row>
    <row r="74" spans="1:14" ht="15.75" hidden="1" thickBot="1">
      <c r="A74" s="157" t="s">
        <v>118</v>
      </c>
      <c r="B74" s="156" t="str">
        <f>""&amp;B68&amp;"dan "&amp;B66&amp;""</f>
        <v>10 aprel 2025 y.dan №745-SM</v>
      </c>
    </row>
    <row r="75" spans="1:14">
      <c r="A75" s="157" t="str">
        <f>CONCATENATE(B65," miqdori (summasi)")</f>
        <v>mikroqarz miqdori (summasi)</v>
      </c>
      <c r="B75" s="57">
        <v>40000000</v>
      </c>
      <c r="C75" s="247" t="s">
        <v>124</v>
      </c>
    </row>
    <row r="76" spans="1:14">
      <c r="A76" s="126" t="s">
        <v>119</v>
      </c>
      <c r="B76"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so'm</v>
      </c>
      <c r="C76" s="248"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Qirq million so'm</v>
      </c>
    </row>
    <row r="77" spans="1:14">
      <c r="A77" s="157" t="s">
        <v>120</v>
      </c>
      <c r="B77" s="43" t="s">
        <v>126</v>
      </c>
      <c r="C77" s="239" t="s">
        <v>126</v>
      </c>
      <c r="D77" s="144" t="s">
        <v>125</v>
      </c>
    </row>
    <row r="78" spans="1:14">
      <c r="A78" s="157" t="str">
        <f>CONCATENATE(B65,"ni to'lash sanasi (14.10.2011)")</f>
        <v>mikroqarzni to'lash sanasi (14.10.2011)</v>
      </c>
      <c r="B78" s="43">
        <v>15</v>
      </c>
      <c r="C78" s="246">
        <f>DATE(YEAR(B67),MONTH(B67)+1,DAY(B78))</f>
        <v>45792</v>
      </c>
      <c r="D78" s="144" t="s">
        <v>26</v>
      </c>
      <c r="E78" s="144" t="s">
        <v>27</v>
      </c>
      <c r="F78" s="144" t="s">
        <v>28</v>
      </c>
      <c r="G78" s="144" t="s">
        <v>29</v>
      </c>
      <c r="H78" s="144" t="s">
        <v>30</v>
      </c>
      <c r="I78" s="144" t="s">
        <v>31</v>
      </c>
      <c r="J78" s="144" t="s">
        <v>32</v>
      </c>
    </row>
    <row r="79" spans="1:14" ht="30" hidden="1">
      <c r="A79" s="157" t="str">
        <f>CONCATENATE(B65,"ni to'lash sanasi (14.10.2011 y.) QO’L BILAN KIRITILADI")</f>
        <v>mikroqarzni to'lash sanasi (14.10.2011 y.) QO’L BILAN KIRITILADI</v>
      </c>
      <c r="B79" s="63">
        <f>DATE(YEAR(B67),MONTH(B67)+1,DAY(B78+C80))</f>
        <v>45792</v>
      </c>
      <c r="C79" s="249" t="str">
        <f>TEXT(C78,"ддд")</f>
        <v>Чт</v>
      </c>
      <c r="D79" s="144" t="s">
        <v>26</v>
      </c>
      <c r="E79" s="144" t="s">
        <v>27</v>
      </c>
      <c r="F79" s="144" t="s">
        <v>28</v>
      </c>
      <c r="G79" s="144" t="s">
        <v>29</v>
      </c>
      <c r="H79" s="144" t="s">
        <v>30</v>
      </c>
      <c r="I79" s="144" t="s">
        <v>31</v>
      </c>
      <c r="J79" s="144" t="s">
        <v>32</v>
      </c>
    </row>
    <row r="80" spans="1:14" ht="30" hidden="1">
      <c r="A80" s="157" t="s">
        <v>121</v>
      </c>
      <c r="B80" s="64">
        <f>B79</f>
        <v>45792</v>
      </c>
      <c r="C80" s="239">
        <f>IF(C79=I79,2,IF(C79=J79,1,0))</f>
        <v>0</v>
      </c>
    </row>
    <row r="81" spans="1:63">
      <c r="A81" s="157" t="str">
        <f>CONCATENATE(B65," muddati")</f>
        <v>mikroqarz muddati</v>
      </c>
      <c r="B81" s="43">
        <v>24</v>
      </c>
      <c r="C81" s="239">
        <v>6</v>
      </c>
      <c r="D81" s="144">
        <v>12</v>
      </c>
      <c r="E81" s="144">
        <v>18</v>
      </c>
      <c r="F81" s="144">
        <v>24</v>
      </c>
      <c r="G81" s="144">
        <v>36</v>
      </c>
    </row>
    <row r="82" spans="1:63">
      <c r="A82" s="157" t="str">
        <f>CONCATENATE(B65," muddati QO’L BILAN KIRITILADI")</f>
        <v>mikroqarz muddati QO’L BILAN KIRITILADI</v>
      </c>
      <c r="B82" s="4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81,0))&gt;6,ROMAN(MID(ROUNDDOWN(B81,0),1,LEN(ROUNDDOWN(B81,0))-6)+0)&amp;" million "&amp;ROMAN(MID(ROUNDDOWN(B81,0),LEN(ROUNDDOWN(B81,0))-5,3)+0)&amp;" ming "&amp;ROMAN(MID(ROUNDDOWN(B81,0),LEN(ROUNDDOWN(B81,0))-2,3)+0)&amp;"",IF(LEN(ROUNDDOWN(B81,0))&gt;3,ROMAN(MID(ROUNDDOWN(B81,0),1,LEN(ROUNDDOWN(B81,0))-3)+0)&amp;" ming "&amp;ROMAN(MID(ROUNDDOWN(B81,0),LEN(ROUNDDOWN(B81,0))-2,3)+0)&amp;"",ROMAN(ROUNDDOWN(B81,0))&amp;"")),"DCCC","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81,0))&gt;6,ROMAN(MID(ROUNDDOWN(B81,0),1,LEN(ROUNDDOWN(B81,0))-6)+0)&amp;" million "&amp;ROMAN(MID(ROUNDDOWN(B81,0),LEN(ROUNDDOWN(B81,0))-5,3)+0)&amp;" "&amp;ROMAN(MID(ROUNDDOWN(B81,0),LEN(ROUNDDOWN(B81,0))-2,3)+0)&amp;"",IF(LEN(ROUNDDOWN(B81,0))&gt;3,ROMAN(MID(ROUNDDOWN(B81,0),1,LEN(ROUNDDOWN(B81,0))-3)+0)&amp;" ming "&amp;ROMAN(MID(ROUNDDOWN(B81,0),LEN(ROUNDDOWN(B81,0))-2,3)+0)&amp;"",ROMAN(ROUNDDOWN(B81,0))&amp;"")),"DCCC","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"&amp;SUBSTITUTE(SUBSTITUTE(SUBSTITUTE(SUBSTITUTE(SUBSTITUTE(SUBSTITUTE(SUBSTITUTE(SUBSTITUTE(RIGHT(TEXT(B81," "),2)&amp;"","1","1"),"2","2"),"3","3"),"4","4"),"11","11"),"12","12"),"13","13"),"14","14")</f>
        <v xml:space="preserve">Yigirma to'rt  </v>
      </c>
    </row>
    <row r="83" spans="1:63">
      <c r="A83" s="126" t="s">
        <v>341</v>
      </c>
      <c r="B83" s="123">
        <v>0</v>
      </c>
      <c r="BJ83" s="144">
        <v>1</v>
      </c>
      <c r="BK83" s="144">
        <v>0</v>
      </c>
    </row>
    <row r="84" spans="1:63">
      <c r="A84" s="157" t="str">
        <f>CONCATENATE(B65," stavkasi")</f>
        <v>mikroqarz stavkasi</v>
      </c>
      <c r="B84" s="65">
        <v>0.55000000000000004</v>
      </c>
    </row>
    <row r="85" spans="1:63">
      <c r="A85" s="157" t="str">
        <f>CONCATENATE(B65," stavkasi")</f>
        <v>mikroqarz stavkasi</v>
      </c>
      <c r="B85" s="66" t="s">
        <v>420</v>
      </c>
    </row>
    <row r="86" spans="1:63">
      <c r="A86" s="157" t="str">
        <f>CONCATENATE(B65," stavkasi (so’z bilan)")</f>
        <v>mikroqarz stavkasi (so’z bilan)</v>
      </c>
      <c r="B86" s="6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C86" s="239"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row>
    <row r="87" spans="1:63">
      <c r="A87" s="157" t="str">
        <f>CONCATENATE("Muddati o'tgan ",B65," bo’yicha stavka")</f>
        <v>Muddati o'tgan mikroqarz bo’yicha stavka</v>
      </c>
      <c r="B87" s="65">
        <v>1.05</v>
      </c>
    </row>
    <row r="88" spans="1:63">
      <c r="A88" s="126" t="s">
        <v>119</v>
      </c>
      <c r="B88" s="238" t="s">
        <v>425</v>
      </c>
    </row>
    <row r="89" spans="1:63">
      <c r="A89" s="157" t="str">
        <f>CONCATENATE("Muddati o'tgan ",B65," bo’yicha stavka")</f>
        <v>Muddati o'tgan mikroqarz bo’yicha stavka</v>
      </c>
      <c r="B89" s="237" t="s">
        <v>424</v>
      </c>
      <c r="C89" s="250" t="s">
        <v>424</v>
      </c>
    </row>
    <row r="90" spans="1:63">
      <c r="A90" s="157" t="s">
        <v>122</v>
      </c>
      <c r="B90" s="67">
        <f>IF(B77=C77,LARGE(grafik!F9:F26,1),ROUND(PMT(B84/12,B81,-B75,0),-3))</f>
        <v>3776255.62</v>
      </c>
    </row>
    <row r="91" spans="1:63">
      <c r="A91" s="267" t="s">
        <v>390</v>
      </c>
      <c r="B91" s="267"/>
    </row>
    <row r="92" spans="1:63">
      <c r="A92" s="164" t="s">
        <v>392</v>
      </c>
      <c r="B92" s="263" t="s">
        <v>440</v>
      </c>
    </row>
    <row r="93" spans="1:63">
      <c r="A93" s="164" t="s">
        <v>393</v>
      </c>
      <c r="B93" s="261" t="s">
        <v>441</v>
      </c>
    </row>
    <row r="94" spans="1:63">
      <c r="A94" s="164" t="s">
        <v>394</v>
      </c>
      <c r="B94" s="264" t="s">
        <v>442</v>
      </c>
    </row>
    <row r="95" spans="1:63">
      <c r="A95" s="164" t="s">
        <v>395</v>
      </c>
      <c r="B95" s="264" t="s">
        <v>443</v>
      </c>
    </row>
    <row r="96" spans="1:63">
      <c r="A96" s="164" t="s">
        <v>391</v>
      </c>
      <c r="B96" s="68"/>
    </row>
    <row r="97" spans="1:4">
      <c r="A97" s="267" t="s">
        <v>123</v>
      </c>
      <c r="B97" s="267"/>
    </row>
    <row r="98" spans="1:4">
      <c r="A98" s="177"/>
      <c r="B98" s="181" t="s">
        <v>128</v>
      </c>
      <c r="C98" s="251" t="s">
        <v>128</v>
      </c>
      <c r="D98" s="144" t="s">
        <v>129</v>
      </c>
    </row>
    <row r="99" spans="1:4">
      <c r="A99" s="164" t="s">
        <v>134</v>
      </c>
      <c r="B99" s="181" t="s">
        <v>130</v>
      </c>
      <c r="C99" s="252" t="s">
        <v>130</v>
      </c>
      <c r="D99" s="144" t="s">
        <v>131</v>
      </c>
    </row>
    <row r="100" spans="1:4" ht="30">
      <c r="A100" s="164" t="s">
        <v>135</v>
      </c>
      <c r="B100" s="181" t="s">
        <v>132</v>
      </c>
      <c r="C100" s="239" t="s">
        <v>132</v>
      </c>
      <c r="D100" s="144" t="s">
        <v>133</v>
      </c>
    </row>
    <row r="101" spans="1:4" ht="30">
      <c r="A101" s="164" t="s">
        <v>136</v>
      </c>
      <c r="B101" s="197"/>
    </row>
    <row r="102" spans="1:4" ht="30">
      <c r="A102" s="164" t="s">
        <v>137</v>
      </c>
      <c r="B102" s="197"/>
    </row>
    <row r="103" spans="1:4">
      <c r="A103" s="267"/>
      <c r="B103" s="267"/>
    </row>
    <row r="104" spans="1:4" ht="30">
      <c r="A104" s="164" t="s">
        <v>138</v>
      </c>
      <c r="B104" s="197"/>
    </row>
    <row r="105" spans="1:4" ht="30">
      <c r="A105" s="164" t="s">
        <v>139</v>
      </c>
      <c r="B105" s="197"/>
    </row>
    <row r="106" spans="1:4" ht="18">
      <c r="A106" s="164" t="s">
        <v>140</v>
      </c>
      <c r="B106" s="198"/>
    </row>
    <row r="107" spans="1:4" ht="18">
      <c r="A107" s="164" t="s">
        <v>141</v>
      </c>
      <c r="B107" s="198"/>
    </row>
    <row r="108" spans="1:4" ht="15" customHeight="1">
      <c r="A108" s="164"/>
      <c r="B108" s="181"/>
    </row>
    <row r="109" spans="1:4" ht="15" customHeight="1">
      <c r="A109" s="164" t="s">
        <v>418</v>
      </c>
      <c r="B109" s="228"/>
    </row>
    <row r="110" spans="1:4" ht="15" customHeight="1">
      <c r="A110" s="164" t="s">
        <v>417</v>
      </c>
      <c r="B110" s="181"/>
    </row>
    <row r="111" spans="1:4">
      <c r="A111" s="164"/>
      <c r="B111" s="177" t="s">
        <v>142</v>
      </c>
      <c r="C111" s="239" t="s">
        <v>142</v>
      </c>
      <c r="D111" s="144" t="s">
        <v>143</v>
      </c>
    </row>
    <row r="112" spans="1:4">
      <c r="A112" s="182" t="s">
        <v>343</v>
      </c>
      <c r="B112" s="183" t="s">
        <v>342</v>
      </c>
      <c r="C112" s="181" t="s">
        <v>143</v>
      </c>
    </row>
    <row r="113" spans="1:4">
      <c r="A113" s="184" t="s">
        <v>364</v>
      </c>
      <c r="B113" s="232"/>
      <c r="C113" s="181"/>
    </row>
    <row r="114" spans="1:4">
      <c r="A114" s="184" t="s">
        <v>365</v>
      </c>
      <c r="B114" s="232"/>
      <c r="C114" s="181"/>
    </row>
    <row r="115" spans="1:4">
      <c r="A115" s="184" t="str">
        <f>A121</f>
        <v>Tug’ilgan sanasi (01.10.2011 y.)</v>
      </c>
      <c r="B115" s="234"/>
      <c r="C115" s="181"/>
    </row>
    <row r="116" spans="1:4">
      <c r="A116" s="184" t="str">
        <f>A122</f>
        <v>Pasport seriyasi (СА №1234567)</v>
      </c>
      <c r="B116" s="232"/>
      <c r="C116" s="181"/>
    </row>
    <row r="117" spans="1:4" ht="60">
      <c r="A117" s="184" t="str">
        <f>A123</f>
        <v xml:space="preserve">Kim va qachon berilgan
(Toshkent shahri Chilonzor IIB tomonidan 2011 yil __.____)
</v>
      </c>
      <c r="B117" s="232"/>
      <c r="C117" s="181"/>
    </row>
    <row r="118" spans="1:4" ht="60">
      <c r="A118" s="184" t="str">
        <f>A124</f>
        <v xml:space="preserve">doimiy ro’yhatdan o’tgan joyi
(Toshkent sh., Mirobod tumani, Nukus ko’chasi, 1 uy, 1 honadon)
</v>
      </c>
      <c r="B118" s="232"/>
      <c r="C118" s="181"/>
    </row>
    <row r="119" spans="1:4" hidden="1">
      <c r="A119" s="116" t="s">
        <v>155</v>
      </c>
      <c r="B119" s="112" t="str">
        <f>IF(B99="HA",B7,B113)</f>
        <v>DJURAKULOVA S.A.</v>
      </c>
      <c r="C119" s="253" t="str">
        <f>IF(B99="HA",B5,C113)</f>
        <v>DJURAKULOVA SANAM ASHUROVNA</v>
      </c>
    </row>
    <row r="120" spans="1:4" hidden="1">
      <c r="A120" s="116"/>
      <c r="B120" s="112" t="str">
        <f>IF(B99="HA",B8,B114)</f>
        <v>DJURAKULOVA SANAM ASHUROVNA</v>
      </c>
      <c r="C120" s="253" t="str">
        <f>IF(B99="HA",B7,C114)</f>
        <v>DJURAKULOVA S.A.</v>
      </c>
    </row>
    <row r="121" spans="1:4" hidden="1">
      <c r="A121" s="117" t="s">
        <v>156</v>
      </c>
      <c r="B121" s="139" t="str">
        <f>IF(B99="HA",B15,B115)</f>
        <v>18.07.1970 y</v>
      </c>
      <c r="C121" s="253" t="str">
        <f>IF(B99="HA",B15,C115)</f>
        <v>18.07.1970 y</v>
      </c>
    </row>
    <row r="122" spans="1:4" hidden="1">
      <c r="A122" s="117" t="s">
        <v>62</v>
      </c>
      <c r="B122" s="139" t="str">
        <f>IF(B99="HA",B16,B116)</f>
        <v>AB 0252157</v>
      </c>
      <c r="C122" s="253" t="str">
        <f>IF(B99="HA",B16,C116)</f>
        <v>AB 0252157</v>
      </c>
    </row>
    <row r="123" spans="1:4" ht="30" hidden="1" customHeight="1">
      <c r="A123" s="117" t="s">
        <v>65</v>
      </c>
      <c r="B123" s="112" t="str">
        <f>IF(B99="HA",B20,B117)</f>
        <v>SAMARQAND VILOYATI SAMARQAND SHAHAR IIB tomonidan 29.06.2015 yilda berilgan</v>
      </c>
      <c r="C123" s="253" t="str">
        <f>IF(B99="HA",B20,C117)</f>
        <v>SAMARQAND VILOYATI SAMARQAND SHAHAR IIB tomonidan 29.06.2015 yilda berilgan</v>
      </c>
      <c r="D123" s="144">
        <v>493193762</v>
      </c>
    </row>
    <row r="124" spans="1:4" ht="53.25" hidden="1" customHeight="1">
      <c r="A124" s="117" t="s">
        <v>67</v>
      </c>
      <c r="B124" s="112" t="str">
        <f>IF(B99="HA",B22,B118)</f>
        <v>SAMARQAND VILOYATI SAMARQAND SHAHAR BOG'ISARIY MAHALLASI SPITAMENSHOX KO'CHASI 252 UY</v>
      </c>
      <c r="C124" s="254" t="str">
        <f>IF(B99="HA",B22,C118)</f>
        <v>SAMARQAND VILOYATI SAMARQAND SHAHAR BOG'ISARIY MAHALLASI SPITAMENSHOX KO'CHASI 252 UY</v>
      </c>
    </row>
    <row r="125" spans="1:4" hidden="1">
      <c r="A125" s="117" t="s">
        <v>157</v>
      </c>
      <c r="B125" s="156" t="str">
        <f>IF(B100="ha",B7,B119)</f>
        <v>DJURAKULOVA S.A.</v>
      </c>
      <c r="C125" s="255" t="str">
        <f>IF(B99="ha",B5,C119)</f>
        <v>DJURAKULOVA SANAM ASHUROVNA</v>
      </c>
    </row>
    <row r="126" spans="1:4" hidden="1">
      <c r="A126" s="117"/>
      <c r="B126" s="156" t="str">
        <f>IF(B100="ha",B9,B120)</f>
        <v>DJURAKULOVA SANAM ASHUROVNA</v>
      </c>
      <c r="C126" s="255" t="str">
        <f>IF(B99="ha",B7,C120)</f>
        <v>DJURAKULOVA S.A.</v>
      </c>
    </row>
    <row r="127" spans="1:4" hidden="1">
      <c r="A127" s="157" t="s">
        <v>156</v>
      </c>
      <c r="B127" s="235" t="str">
        <f>IF(B100="ha",B17,B121)</f>
        <v>18.07.1970 y</v>
      </c>
      <c r="C127" s="255" t="str">
        <f>IF(B99="ha",B15,C121)</f>
        <v>18.07.1970 y</v>
      </c>
    </row>
    <row r="128" spans="1:4" hidden="1">
      <c r="A128" s="157" t="s">
        <v>62</v>
      </c>
      <c r="B128" s="156" t="str">
        <f>IF(B100="ha",B18,B122)</f>
        <v>AB 0252157</v>
      </c>
      <c r="C128" s="255" t="str">
        <f>IF(B99="ha",B16,C122)</f>
        <v>AB 0252157</v>
      </c>
    </row>
    <row r="129" spans="1:18" ht="60" hidden="1">
      <c r="A129" s="157" t="s">
        <v>65</v>
      </c>
      <c r="B129" s="156" t="str">
        <f>IF(B100="ha",B22,B123)</f>
        <v>SAMARQAND VILOYATI SAMARQAND SHAHAR IIB tomonidan 29.06.2015 yilda berilgan</v>
      </c>
      <c r="C129" s="255" t="str">
        <f>IF(B99="ha",B20,C123)</f>
        <v>SAMARQAND VILOYATI SAMARQAND SHAHAR IIB tomonidan 29.06.2015 yilda berilgan</v>
      </c>
    </row>
    <row r="130" spans="1:18" ht="60" hidden="1">
      <c r="A130" s="157" t="s">
        <v>67</v>
      </c>
      <c r="B130" s="136" t="str">
        <f>IF(B100="ha",B24,B124)</f>
        <v>SAMARQAND VILOYATI SAMARQAND SHAHAR BOG'ISARIY MAHALLASI SPITAMENSHOX KO'CHASI 252 UY</v>
      </c>
      <c r="C130" s="233" t="str">
        <f>IF(B99="ha",B22,C124)</f>
        <v>SAMARQAND VILOYATI SAMARQAND SHAHAR BOG'ISARIY MAHALLASI SPITAMENSHOX KO'CHASI 252 UY</v>
      </c>
    </row>
    <row r="131" spans="1:18" ht="42.75">
      <c r="A131" s="157" t="s">
        <v>158</v>
      </c>
      <c r="B131" s="259" t="s">
        <v>444</v>
      </c>
      <c r="C131" s="43" t="s">
        <v>45</v>
      </c>
      <c r="N131" s="144" t="str">
        <f>IF(B111=C111,B125,IF(B111=D111,C125,0))</f>
        <v>DJURAKULOVA S.A.</v>
      </c>
    </row>
    <row r="132" spans="1:18" ht="45">
      <c r="A132" s="157" t="s">
        <v>159</v>
      </c>
      <c r="B132" s="259" t="s">
        <v>445</v>
      </c>
      <c r="C132" s="255" t="s">
        <v>374</v>
      </c>
      <c r="D132" s="150" t="s">
        <v>148</v>
      </c>
      <c r="Q132" s="144" t="str">
        <f>""&amp;B101&amp;" (по генеральному доверенестью №"&amp;B106&amp;" от "&amp;B108&amp;")"</f>
        <v xml:space="preserve"> (по генеральному доверенестью № от )</v>
      </c>
      <c r="R132" s="144" t="str">
        <f>""&amp;B101&amp;" ("&amp;B108&amp;"y. sanasidagi reestr raqami №"&amp;B106&amp;" bo'lgan Ishonchnomaga asosan)"</f>
        <v xml:space="preserve"> (y. sanasidagi reestr raqami № bo'lgan Ishonchnomaga asosan)</v>
      </c>
    </row>
    <row r="133" spans="1:18" ht="45">
      <c r="A133" s="157" t="s">
        <v>160</v>
      </c>
      <c r="B133" s="259" t="s">
        <v>446</v>
      </c>
      <c r="C133" s="233" t="str">
        <f>""&amp;D134&amp;" "&amp;IF(C137=D137,"- xonali yakka tartibdagi uy-joy", IF(C137=E137,"-  xonali ko'p qavatli uydagi xonadon",0))&amp;""</f>
        <v>3 - xonali yakka tartibdagi uy-joy</v>
      </c>
      <c r="D133" s="151" t="s">
        <v>146</v>
      </c>
      <c r="E133" s="144" t="str">
        <f>IF($C$137=$D$137,I133,IF($C$137=$E$137,H133,0))</f>
        <v>3 - xonali yakka tartibdagi uy-joy</v>
      </c>
      <c r="F133" s="144" t="str">
        <f>IF($C$137=$D$137,I133,IF($C$137=$E$137,H133,0))</f>
        <v>3 - xonali yakka tartibdagi uy-joy</v>
      </c>
      <c r="H133" s="144" t="str">
        <f>"Ko'p qavatli uydagi "&amp;D134&amp;" - xonali xonadon"</f>
        <v>Ko'p qavatli uydagi 3 - xonali xonadon</v>
      </c>
      <c r="I133" s="144" t="str">
        <f>""&amp;D134&amp;" - xonali yakka tartibdagi uy-joy"</f>
        <v>3 - xonali yakka tartibdagi uy-joy</v>
      </c>
      <c r="N133" s="144" t="str">
        <f>IF(B99=C99,Q134,IF(B99=D99,Q133,0))</f>
        <v>Микрофинансовой организацией и Заемщиком</v>
      </c>
      <c r="Q133" s="144" t="str">
        <f>"Микрофинансовой организацией, Заемщиком и "&amp;IF(B100=D100,Q132,IF(B100=C100,B119,0))&amp;""</f>
        <v>Микрофинансовой организацией, Заемщиком и DJURAKULOVA S.A.</v>
      </c>
      <c r="R133" s="144" t="str">
        <f>"Mikromoliya tashkiloti, Qarz oluvchi va "&amp;IF(B100=D100,R132,IF(B100=C100,B119))&amp;""</f>
        <v>Mikromoliya tashkiloti, Qarz oluvchi va DJURAKULOVA S.A.</v>
      </c>
    </row>
    <row r="134" spans="1:18" ht="30">
      <c r="A134" s="157" t="s">
        <v>161</v>
      </c>
      <c r="B134" s="265" t="s">
        <v>447</v>
      </c>
      <c r="C134" s="233" t="str">
        <f>C133</f>
        <v>3 - xonali yakka tartibdagi uy-joy</v>
      </c>
      <c r="D134" s="152">
        <v>3</v>
      </c>
      <c r="E134" s="144" t="str">
        <f>IF($C$137=$D$137,I134,IF($C$137=$E$137,H134,0))</f>
        <v>yer uchastkasi maydoni - , umumiy maydoni - 72,13, yashash maydoni - 37,39</v>
      </c>
      <c r="F134" s="144" t="str">
        <f>IF($C$137=$D$137,I134,IF($C$137=$E$137,H134,0))</f>
        <v>yer uchastkasi maydoni - , umumiy maydoni - 72,13, yashash maydoni - 37,39</v>
      </c>
      <c r="H134" s="144" t="str">
        <f>"umumiy maydoni - "&amp;C138&amp;", yashash maydoni - "&amp;C141&amp;""</f>
        <v>umumiy maydoni - 72,13, yashash maydoni - 37,39</v>
      </c>
      <c r="I134" s="144" t="str">
        <f>"yer uchastkasi maydoni - "&amp;C139&amp;", umumiy maydoni - "&amp;C138&amp;", yashash maydoni - "&amp;C141&amp;""</f>
        <v>yer uchastkasi maydoni - , umumiy maydoni - 72,13, yashash maydoni - 37,39</v>
      </c>
      <c r="N134" s="144" t="str">
        <f>IF(B99=C99,R134,IF(B99=D99,R133,0))</f>
        <v>Mikromoliya tashkiloti va Qarz oluvchi</v>
      </c>
      <c r="Q134" s="144" t="s">
        <v>49</v>
      </c>
      <c r="R134" s="144" t="s">
        <v>147</v>
      </c>
    </row>
    <row r="135" spans="1:18" ht="27" customHeight="1">
      <c r="A135" s="157" t="s">
        <v>162</v>
      </c>
      <c r="B135" s="61" t="str">
        <f>"kuzov turi - "&amp;B136&amp;", kuzov raqami "&amp;B137&amp;""</f>
        <v>kuzov turi - YENGIL SEDAN, kuzov raqami XWB5M31BDBA256320 TASH KUR GENTRA</v>
      </c>
      <c r="C135" s="255" t="s">
        <v>373</v>
      </c>
      <c r="D135" s="150" t="s">
        <v>375</v>
      </c>
    </row>
    <row r="136" spans="1:18">
      <c r="A136" s="58" t="s">
        <v>163</v>
      </c>
      <c r="B136" s="259" t="s">
        <v>448</v>
      </c>
      <c r="C136" s="256"/>
    </row>
    <row r="137" spans="1:18">
      <c r="A137" s="58" t="s">
        <v>164</v>
      </c>
      <c r="B137" s="259" t="s">
        <v>449</v>
      </c>
      <c r="C137" s="240" t="s">
        <v>149</v>
      </c>
      <c r="D137" s="144" t="s">
        <v>149</v>
      </c>
      <c r="E137" s="144" t="s">
        <v>150</v>
      </c>
    </row>
    <row r="138" spans="1:18" ht="27" customHeight="1">
      <c r="A138" s="157" t="s">
        <v>165</v>
      </c>
      <c r="B138" s="61" t="str">
        <f>"dvigatel raqami "&amp;B139&amp;", shassi raqami - "&amp;B140&amp;""</f>
        <v>dvigatel raqami 2132251, shassi raqami - RAKAMSIZ</v>
      </c>
      <c r="C138" s="240">
        <v>72.13</v>
      </c>
      <c r="D138" s="153" t="s">
        <v>151</v>
      </c>
      <c r="E138" s="144" t="str">
        <f>CONCATENATE(C138," ","kv.m")</f>
        <v>72,13 kv.m</v>
      </c>
      <c r="F138" s="147">
        <f>C138-C141</f>
        <v>34.739999999999995</v>
      </c>
    </row>
    <row r="139" spans="1:18">
      <c r="A139" s="58" t="s">
        <v>166</v>
      </c>
      <c r="B139" s="261" t="s">
        <v>450</v>
      </c>
      <c r="C139" s="240"/>
      <c r="D139" s="153" t="s">
        <v>152</v>
      </c>
    </row>
    <row r="140" spans="1:18">
      <c r="A140" s="58" t="s">
        <v>167</v>
      </c>
      <c r="B140" s="259" t="s">
        <v>403</v>
      </c>
      <c r="C140" s="240"/>
    </row>
    <row r="141" spans="1:18" ht="25.5" customHeight="1">
      <c r="A141" s="157" t="s">
        <v>168</v>
      </c>
      <c r="B141" s="61" t="str">
        <f>"rangi -  "&amp;B142&amp;", ishlab chiqarilgan yili - "&amp;B143&amp;""</f>
        <v>rangi -  QORA CHERNIY, ishlab chiqarilgan yili - 2011</v>
      </c>
      <c r="C141" s="257" t="s">
        <v>372</v>
      </c>
      <c r="D141" s="153" t="s">
        <v>247</v>
      </c>
      <c r="E141" s="144" t="str">
        <f>CONCATENATE(C141," ","kv.m")</f>
        <v>37,39 kv.m</v>
      </c>
    </row>
    <row r="142" spans="1:18">
      <c r="A142" s="58" t="s">
        <v>169</v>
      </c>
      <c r="B142" s="259" t="s">
        <v>451</v>
      </c>
      <c r="C142" s="240"/>
    </row>
    <row r="143" spans="1:18" ht="30">
      <c r="A143" s="58" t="s">
        <v>170</v>
      </c>
      <c r="B143" s="261" t="s">
        <v>452</v>
      </c>
      <c r="C143" s="256">
        <v>44181</v>
      </c>
      <c r="D143" s="154" t="s">
        <v>376</v>
      </c>
    </row>
    <row r="144" spans="1:18" hidden="1">
      <c r="A144" s="157" t="s">
        <v>171</v>
      </c>
      <c r="B144" s="16">
        <f>B75*1.4</f>
        <v>56000000</v>
      </c>
      <c r="C144" s="124">
        <f>B144</f>
        <v>56000000</v>
      </c>
      <c r="D144" s="153" t="s">
        <v>171</v>
      </c>
    </row>
    <row r="145" spans="1:3" ht="27.75" hidden="1" customHeight="1">
      <c r="A145" s="126"/>
      <c r="B145"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144))&gt;6,ROMAN(MID(INT(B144),1,LEN(INT(B144))-6)+0)&amp;" million "&amp;ROMAN(MID(INT(B144),LEN(INT(B144))-5,3)+0)&amp;" ming "&amp;ROMAN(MID(INT(B144),LEN(INT(B144))-2,3)+0),IF(LEN(INT(B144))&gt;3,ROMAN(MID(INT(B144),1,LEN(INT(B144))-3)+0)&amp;" ming "&amp;ROMAN(MID(INT(B144),LEN(INT(B144))-2,3)+0),ROMAN(INT(B144)))),"DCCC","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olti million so'm</v>
      </c>
      <c r="C145" s="124" t="str">
        <f>B145</f>
        <v>ellik olti million so'm</v>
      </c>
    </row>
    <row r="146" spans="1:3" ht="27.75" hidden="1" customHeight="1">
      <c r="A146" s="157"/>
      <c r="B146" s="124" t="str">
        <f>B145</f>
        <v>ellik olti million so'm</v>
      </c>
      <c r="C146" s="258"/>
    </row>
    <row r="147" spans="1:3">
      <c r="A147" s="157" t="s">
        <v>399</v>
      </c>
      <c r="B147" s="45">
        <v>88772</v>
      </c>
      <c r="C147" s="239" t="s">
        <v>378</v>
      </c>
    </row>
    <row r="148" spans="1:3">
      <c r="A148" s="157" t="s">
        <v>366</v>
      </c>
      <c r="B148" s="43">
        <v>1</v>
      </c>
    </row>
    <row r="149" spans="1:3">
      <c r="A149" s="157" t="s">
        <v>153</v>
      </c>
      <c r="B149" s="1" t="s">
        <v>144</v>
      </c>
      <c r="C149" s="239">
        <v>1</v>
      </c>
    </row>
    <row r="150" spans="1:3" hidden="1">
      <c r="A150" s="157" t="s">
        <v>154</v>
      </c>
      <c r="B150" s="2" t="str">
        <f>B70</f>
        <v>10 aprel 2025 y.</v>
      </c>
      <c r="C150" s="239" t="str">
        <f>B70</f>
        <v>10 aprel 2025 y.</v>
      </c>
    </row>
    <row r="151" spans="1:3" hidden="1">
      <c r="A151" s="157"/>
      <c r="B151" s="156">
        <f>YEAR(B67)</f>
        <v>2025</v>
      </c>
    </row>
    <row r="152" spans="1:3" hidden="1">
      <c r="A152" s="157"/>
      <c r="B152" s="127" t="str">
        <f>D67</f>
        <v>aprel</v>
      </c>
    </row>
    <row r="153" spans="1:3" hidden="1">
      <c r="A153" s="157"/>
      <c r="B153" s="156">
        <f>DAY(B67)</f>
        <v>10</v>
      </c>
    </row>
    <row r="154" spans="1:3">
      <c r="A154" s="267" t="s">
        <v>347</v>
      </c>
      <c r="B154" s="267"/>
    </row>
    <row r="155" spans="1:3">
      <c r="A155" s="157" t="s">
        <v>172</v>
      </c>
      <c r="B155" s="156" t="s">
        <v>371</v>
      </c>
    </row>
    <row r="156" spans="1:3">
      <c r="A156" s="157"/>
      <c r="B156" s="156" t="s">
        <v>371</v>
      </c>
    </row>
    <row r="157" spans="1:3">
      <c r="A157" s="157"/>
      <c r="B157" s="156" t="s">
        <v>371</v>
      </c>
    </row>
    <row r="158" spans="1:3">
      <c r="A158" s="157" t="s">
        <v>428</v>
      </c>
      <c r="B158" s="260" t="s">
        <v>426</v>
      </c>
    </row>
    <row r="159" spans="1:3">
      <c r="A159" s="157"/>
      <c r="B159" s="260" t="s">
        <v>427</v>
      </c>
    </row>
    <row r="160" spans="1:3" hidden="1">
      <c r="A160" s="157" t="s">
        <v>175</v>
      </c>
      <c r="B160" s="156" t="s">
        <v>173</v>
      </c>
    </row>
    <row r="161" spans="1:2" ht="28.5" hidden="1">
      <c r="A161" s="157" t="s">
        <v>176</v>
      </c>
      <c r="B161" s="156" t="s">
        <v>174</v>
      </c>
    </row>
    <row r="162" spans="1:2" hidden="1">
      <c r="A162" s="157" t="s">
        <v>177</v>
      </c>
      <c r="B162" s="156" t="s">
        <v>421</v>
      </c>
    </row>
    <row r="163" spans="1:2" hidden="1">
      <c r="A163" s="157" t="s">
        <v>178</v>
      </c>
      <c r="B163" s="156" t="s">
        <v>422</v>
      </c>
    </row>
    <row r="164" spans="1:2" hidden="1">
      <c r="A164" s="157" t="s">
        <v>179</v>
      </c>
      <c r="B164" s="236" t="s">
        <v>423</v>
      </c>
    </row>
    <row r="165" spans="1:2" hidden="1">
      <c r="A165" s="157" t="s">
        <v>180</v>
      </c>
      <c r="B165" s="1" t="s">
        <v>23</v>
      </c>
    </row>
    <row r="166" spans="1:2" hidden="1">
      <c r="A166" s="157" t="s">
        <v>181</v>
      </c>
      <c r="B166" s="156" t="s">
        <v>327</v>
      </c>
    </row>
    <row r="167" spans="1:2">
      <c r="A167" s="157" t="s">
        <v>383</v>
      </c>
      <c r="B167" s="156" t="s">
        <v>384</v>
      </c>
    </row>
    <row r="168" spans="1:2">
      <c r="A168" s="161" t="s">
        <v>369</v>
      </c>
      <c r="B168" s="156" t="s">
        <v>404</v>
      </c>
    </row>
    <row r="169" spans="1:2">
      <c r="A169" s="157" t="s">
        <v>428</v>
      </c>
      <c r="B169" s="260" t="s">
        <v>426</v>
      </c>
    </row>
    <row r="170" spans="1:2">
      <c r="A170" s="157" t="s">
        <v>182</v>
      </c>
      <c r="B170" s="1" t="s">
        <v>339</v>
      </c>
    </row>
    <row r="171" spans="1:2">
      <c r="A171" s="157" t="s">
        <v>183</v>
      </c>
      <c r="B171" s="1" t="s">
        <v>340</v>
      </c>
    </row>
    <row r="172" spans="1:2">
      <c r="A172" s="157" t="s">
        <v>184</v>
      </c>
      <c r="B172" s="156" t="str">
        <f>B1</f>
        <v>№745-SM</v>
      </c>
    </row>
    <row r="173" spans="1:2">
      <c r="A173" s="157" t="s">
        <v>185</v>
      </c>
      <c r="B173" s="2" t="str">
        <f>B69</f>
        <v>10 aprel 2025 y.</v>
      </c>
    </row>
    <row r="174" spans="1:2">
      <c r="A174" s="267" t="s">
        <v>347</v>
      </c>
      <c r="B174" s="267"/>
    </row>
    <row r="175" spans="1:2">
      <c r="A175" s="157"/>
      <c r="B175" s="2"/>
    </row>
    <row r="176" spans="1:2">
      <c r="A176" s="157"/>
      <c r="B176" s="2"/>
    </row>
    <row r="177" spans="1:2">
      <c r="A177" s="157"/>
      <c r="B177" s="2"/>
    </row>
  </sheetData>
  <mergeCells count="8">
    <mergeCell ref="A174:B174"/>
    <mergeCell ref="A154:B154"/>
    <mergeCell ref="A103:B103"/>
    <mergeCell ref="A4:B4"/>
    <mergeCell ref="A57:B57"/>
    <mergeCell ref="A64:B64"/>
    <mergeCell ref="A97:B97"/>
    <mergeCell ref="A91:B91"/>
  </mergeCells>
  <phoneticPr fontId="51" type="noConversion"/>
  <dataValidations count="13">
    <dataValidation type="list" allowBlank="1" showInputMessage="1" showErrorMessage="1" sqref="B30" xr:uid="{00000000-0002-0000-0000-000000000000}">
      <formula1>$C$30:$D$30</formula1>
    </dataValidation>
    <dataValidation type="list" allowBlank="1" showInputMessage="1" showErrorMessage="1" sqref="B99" xr:uid="{00000000-0002-0000-0000-000001000000}">
      <formula1>$C$99:$D$99</formula1>
    </dataValidation>
    <dataValidation type="list" allowBlank="1" showInputMessage="1" showErrorMessage="1" sqref="B111" xr:uid="{00000000-0002-0000-0000-000002000000}">
      <formula1>$C$111:$D$111</formula1>
    </dataValidation>
    <dataValidation type="list" allowBlank="1" showInputMessage="1" showErrorMessage="1" sqref="B77" xr:uid="{00000000-0002-0000-0000-000003000000}">
      <formula1>$C$77:$D$77</formula1>
    </dataValidation>
    <dataValidation type="list" allowBlank="1" showInputMessage="1" showErrorMessage="1" sqref="C137" xr:uid="{00000000-0002-0000-0000-000004000000}">
      <formula1>$D$137:$E$137</formula1>
    </dataValidation>
    <dataValidation type="list" allowBlank="1" showInputMessage="1" showErrorMessage="1" sqref="B98" xr:uid="{00000000-0002-0000-0000-000005000000}">
      <formula1>$C$98:$D$98</formula1>
    </dataValidation>
    <dataValidation type="list" allowBlank="1" showInputMessage="1" showErrorMessage="1" sqref="B100" xr:uid="{00000000-0002-0000-0000-000006000000}">
      <formula1>$C$100:$D$100</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3" xr:uid="{00000000-0002-0000-0000-00000A000000}">
      <formula1>$BJ$83:$BK$83</formula1>
    </dataValidation>
    <dataValidation type="list" allowBlank="1" showInputMessage="1" showErrorMessage="1" sqref="B6" xr:uid="{00000000-0002-0000-0000-00000B000000}">
      <formula1>$C$6:$D$6</formula1>
    </dataValidation>
    <dataValidation type="list" allowBlank="1" showInputMessage="1" showErrorMessage="1" sqref="B44" xr:uid="{00000000-0002-0000-00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29"/>
  <sheetViews>
    <sheetView view="pageBreakPreview" zoomScale="85" zoomScaleNormal="55" zoomScaleSheetLayoutView="85" workbookViewId="0">
      <selection activeCell="A119" sqref="A119:XFD119"/>
    </sheetView>
  </sheetViews>
  <sheetFormatPr defaultColWidth="9.140625" defaultRowHeight="15.75"/>
  <cols>
    <col min="1" max="1" width="50.140625" style="4" customWidth="1"/>
    <col min="2" max="2" width="58.85546875" style="4" customWidth="1"/>
    <col min="3" max="3" width="93.28515625" style="4" customWidth="1"/>
    <col min="4" max="7" width="9.140625" style="4" customWidth="1"/>
    <col min="8" max="8" width="111.5703125" style="4" customWidth="1"/>
    <col min="9" max="16" width="9.140625" style="4" customWidth="1"/>
    <col min="17" max="16384" width="9.140625" style="4"/>
  </cols>
  <sheetData>
    <row r="1" spans="1:3">
      <c r="A1" s="270" t="str">
        <f>""&amp;malumot!C64&amp;" shartnoma "&amp;malumot!B66&amp;""</f>
        <v>Mikroqarz shartnoma №745-SM</v>
      </c>
      <c r="B1" s="270"/>
    </row>
    <row r="3" spans="1:3">
      <c r="A3" s="270" t="str">
        <f>"Toshkent shahri                                                                               "&amp;malumot!B70&amp;""</f>
        <v>Toshkent shahri                                                                               10 aprel 2025 y.</v>
      </c>
      <c r="B3" s="270"/>
    </row>
    <row r="4" spans="1:3" hidden="1">
      <c r="A4" s="200"/>
    </row>
    <row r="5" spans="1:3" ht="126.75" customHeight="1">
      <c r="A5" s="271" t="str">
        <f>""&amp;malumot!B155&amp;", bundan buyon «Mikromoliya tashkiloti» deb nomlanuvchi, ishonchnoma asosida xarakat qiluvchi "&amp;malumot!A158&amp;" "&amp;malumot!B158&amp;"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Samarqand filiali boshlig'i S.Asrorov  bir tomondan va o‘z manfaati yo‘lida hamda o‘z nomidan harakat qiluvchi O‘zbekiston Respublikasi fuqarosi DJURAKULOVA SANAM ASHUROVNA  (pasport raqami AB 0252157, SAMARQAND VILOYATI SAMARQAND SHAHAR IIB tomonidan 29.06.2015 yilda berilgan ), bundan buyon «Qarz oluvchi» deb nomlanuvchi, boshqa tomondan, birgalikda “Tomonlar” yoki alohida “Tomon” deb nomlanuvchilar, Qarz oluvchi tomonidan 10.04.2025 yil,mikroqarz olish uchun ariza berilganligini hisobga olib, ushbu Mikroqarz shartnomasini (bundan keyin – «Shartnoma») quyidagilar haqida tuzdilar:</v>
      </c>
      <c r="B5" s="271"/>
    </row>
    <row r="6" spans="1:3" ht="3" customHeight="1"/>
    <row r="7" spans="1:3">
      <c r="A7" s="270" t="s">
        <v>257</v>
      </c>
      <c r="B7" s="270"/>
    </row>
    <row r="8" spans="1:3" ht="49.5" customHeight="1">
      <c r="A8" s="271"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40 000 000,00 (Qirq million so'm) bo‘lgan mikroqarzni 10 aprel 2025 y. dan 10 aprel 2027 y. gacha bo'lgan muddatga naqd pul va/yoki o'tkazmasi shaklida ajratadi.</v>
      </c>
      <c r="B8" s="271"/>
    </row>
    <row r="9" spans="1:3" ht="36" customHeight="1">
      <c r="A9" s="271"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71"/>
    </row>
    <row r="10" spans="1:3" hidden="1">
      <c r="A10" s="201"/>
    </row>
    <row r="11" spans="1:3">
      <c r="A11" s="274" t="str">
        <f>"2. "&amp;malumot!D64&amp;" BERISH VA QAYTARISH TARTIBI"</f>
        <v>2. MIKROQARZ BERISH VA QAYTARISH TARTIBI</v>
      </c>
      <c r="B11" s="274"/>
      <c r="C11" s="55"/>
    </row>
    <row r="12" spans="1:3" ht="36" customHeight="1">
      <c r="A12" s="271"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71"/>
    </row>
    <row r="13" spans="1:3" ht="35.25" customHeight="1">
      <c r="A13" s="271"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71"/>
    </row>
    <row r="14" spans="1:3" ht="35.25" customHeight="1">
      <c r="A14" s="271"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71"/>
    </row>
    <row r="15" spans="1:3" ht="69.75" customHeight="1">
      <c r="A15" s="271"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105 (bir yuz besh) foiz miqdorida foizlar hisoblaydi.</v>
      </c>
      <c r="B15" s="271"/>
    </row>
    <row r="16" spans="1:3" ht="176.25" customHeight="1">
      <c r="A16" s="271" t="s">
        <v>324</v>
      </c>
      <c r="B16" s="271"/>
    </row>
    <row r="17" spans="1:11" ht="161.25" customHeight="1">
      <c r="A17" s="27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71"/>
      <c r="C17" s="128" t="s">
        <v>328</v>
      </c>
      <c r="H17" s="4" t="str">
        <f>malumot!B65</f>
        <v>mikroqarz</v>
      </c>
      <c r="I17" s="4" t="s">
        <v>329</v>
      </c>
    </row>
    <row r="18" spans="1:11" ht="100.5" customHeight="1">
      <c r="A18" s="273" t="s">
        <v>367</v>
      </c>
      <c r="B18" s="273"/>
    </row>
    <row r="19" spans="1:11" ht="36" customHeight="1">
      <c r="A19" s="271"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71"/>
    </row>
    <row r="20" spans="1:11" ht="48.75" customHeight="1">
      <c r="A20" s="271"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71"/>
    </row>
    <row r="21" spans="1:11" ht="113.25" customHeight="1">
      <c r="A21" s="27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5"/>
      <c r="C21" s="4"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4"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4"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ht="27.75" customHeight="1">
      <c r="A22" s="274" t="str">
        <f>"3. "&amp;malumot!D64&amp;" TA'MINOTI BO‘YICHA "</f>
        <v xml:space="preserve">3. MIKROQARZ TA'MINOTI BO‘YICHA </v>
      </c>
      <c r="B22" s="274"/>
    </row>
    <row r="23" spans="1:11" ht="19.5" customHeight="1">
      <c r="A23" s="271" t="str">
        <f>"3.1. Ushbu Shartnoma bo‘yicha taqdim etilgan "&amp;malumot!C64&amp;" quyidagi garov bilan ta'minlanadi:"</f>
        <v>3.1. Ushbu Shartnoma bo‘yicha taqdim etilgan Mikroqarz quyidagi garov bilan ta'minlanadi:</v>
      </c>
      <c r="B23" s="271"/>
    </row>
    <row r="24" spans="1:11" ht="147.75" customHeight="1">
      <c r="A24" s="272" t="str">
        <f>IF(malumot!B111=malumot!C111,shartnoma!A28,IF(malumot!B111=malumot!D111,shartnoma!A25,0))</f>
        <v>3.1.1. Mikromoliya tashkiloti va Qarz oluvchi tomonidan 2025 yil 10 aprelda imzolangan 1-sonli garov predmeti qiymatini tasdiqlash dalolatnomasiga muvofiq QORA CHERNIY rangli, ishlab chiqarilgan yili – 2011 yil,  dvigatel raqami 2132251, shassi - RAKAMSIZ,  kuzov turi - YENGIL SEDAN, kuzov raqami №XWB5M31BDBA256320 TASH KUR GENTRA, davlat raqam belgisi 30O259OA bo'lgan LACETTI rusumli avtomashinasi (bundan keyin “Garov predmeti”), egalik huquqiga ega  DJURAKULOVA S.A.ga tegishli va kelishilgan garov qiymati 2025 yil 10 aprelda imzolangan 1-sonli Garov predmeti qiymatini tasdiqlash dalolatnomasiga muvifiq 56 000 000,00 (ellik olti million so'm) so'mni tashkil qiladi. Garov garovining aniq shartlari tegishli notarial rasmiylashtirilgan garov shartnomasi bilan belgilanadi.</v>
      </c>
      <c r="B24" s="272"/>
    </row>
    <row r="25" spans="1:11" ht="129" hidden="1" customHeight="1">
      <c r="A25" s="271" t="str">
        <f>IF(malumot!B98=malumot!C98,shartnoma!A27,IF(malumot!B98=malumot!D98,shartnoma!A26,0))</f>
        <v>3.1.1. Mikromoliya tashkiloti va Qarz oluvchi tomonidan 2025 yil 10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DJURAKULOVA SANAM ASHUROVNAga tegishli va kelishilgan garov qiymati 2025 yil 10 aprelda imzolangan 1-sonli Garov predmeti qiymatini tasdiqlash dalolatnomasiga muvofiq 56 000 000,00 (ellik olti million so'm) so'mni tashkil qiladi. Garovning aniq shartlari tegishli tarzda notarial tasdiqlangan garov shartnomasi bilan belgilangan.</v>
      </c>
      <c r="B25" s="271"/>
    </row>
    <row r="26" spans="1:11" ht="129.75" hidden="1" customHeight="1">
      <c r="A26" s="272" t="str">
        <f>"3.1.1. "&amp;malumot!N134&amp;" tomonidan "&amp;malumot!B151&amp;" yil "&amp;malumot!B153&amp;" "&amp;malumot!B152&amp;"da imzolangan 1-sonli navbatdagi garov predmeti qiymatini tasdiqlash dalolatnomasiga muvofiq "&amp;malumot!C131&amp;" manzilida joylashgan, "&amp;malumot!E134&amp;" bo'lgan, "&amp;malumot!E133&amp;" ko'rinishidagi ko'chmas mulk (bundan keyin “navbatdagi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va Qarz oluvchi tomonidan 2025 yil 10 aprelda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DJURAKULOVA SANAM ASHUROVNAga tegishli va kelishilgan garov qiymati 2025 yil 10 aprelda imzolangan 1-sonli Garov predmeti qiymatini tasdiqlash dalolatnomasiga muvofiq 56 000 000,00 (ellik olti million so'm) so'mni tashkil qiladi. Garovning aniq shartlari tegishli tarzda notarial tasdiqlangan garov shartnomasi bilan belgilangan.</v>
      </c>
      <c r="B26" s="272"/>
    </row>
    <row r="27" spans="1:11" ht="131.25" hidden="1" customHeight="1">
      <c r="A27" s="271" t="str">
        <f>"3.1.1. "&amp;malumot!N134&amp;" tomonidan "&amp;malumot!B151&amp;" yil "&amp;malumot!B153&amp;" "&amp;malumot!B152&amp;"da imzolangan 1-sonli Garov predmeti qiymatini tasdiqlash dalolatnomasiga muvofiq "&amp;malumot!C131&amp;" manzilida joylashgan, "&amp;malumot!E134&amp;" bo'lgan, "&amp;malumot!E133&amp;" ko'rinishidagi ko'chmas mulk (bundan keyin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va Qarz oluvchi tomonidan 2025 yil 10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DJURAKULOVA SANAM ASHUROVNAga tegishli va kelishilgan garov qiymati 2025 yil 10 aprelda imzolangan 1-sonli Garov predmeti qiymatini tasdiqlash dalolatnomasiga muvofiq 56 000 000,00 (ellik olti million so'm) so'mni tashkil qiladi. Garovning aniq shartlari tegishli tarzda notarial tasdiqlangan garov shartnomasi bilan belgilangan.</v>
      </c>
      <c r="B27" s="271"/>
    </row>
    <row r="28" spans="1:11" ht="114" hidden="1" customHeight="1">
      <c r="A28" s="272" t="str">
        <f>IF(malumot!B98=malumot!C98,A29,IF(malumot!B98=malumot!D98,A30,0))</f>
        <v>3.1.1. Mikromoliya tashkiloti va Qarz oluvchi tomonidan 2025 yil 10 aprelda imzolangan 1-sonli garov predmeti qiymatini tasdiqlash dalolatnomasiga muvofiq QORA CHERNIY rangli, ishlab chiqarilgan yili – 2011 yil,  dvigatel raqami 2132251, shassi - RAKAMSIZ,  kuzov turi - YENGIL SEDAN, kuzov raqami №XWB5M31BDBA256320 TASH KUR GENTRA, davlat raqam belgisi 30O259OA bo'lgan LACETTI rusumli avtomashinasi (bundan keyin “Garov predmeti”), egalik huquqiga ega  DJURAKULOVA S.A.ga tegishli va kelishilgan garov qiymati 2025 yil 10 aprelda imzolangan 1-sonli Garov predmeti qiymatini tasdiqlash dalolatnomasiga muvifiq 56 000 000,00 (ellik olti million so'm) so'mni tashkil qiladi. Garov garovining aniq shartlari tegishli notarial rasmiylashtirilgan garov shartnomasi bilan belgilanadi.</v>
      </c>
      <c r="B28" s="272"/>
      <c r="K28" s="4" t="s">
        <v>321</v>
      </c>
    </row>
    <row r="29" spans="1:11" ht="114.75" hidden="1" customHeight="1">
      <c r="A29" s="272" t="str">
        <f>"3.1.1. "&amp;malumot!N134&amp;" tomonidan "&amp;malumot!B151&amp;" yil "&amp;malumot!B153&amp;" "&amp;malumot!B152&amp;"da imzolangan 1-sonli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va Qarz oluvchi tomonidan 2025 yil 10 aprelda imzolangan 1-sonli garov predmeti qiymatini tasdiqlash dalolatnomasiga muvofiq QORA CHERNIY rangli, ishlab chiqarilgan yili – 2011 yil,  dvigatel raqami 2132251, shassi - RAKAMSIZ,  kuzov turi - YENGIL SEDAN, kuzov raqami №XWB5M31BDBA256320 TASH KUR GENTRA, davlat raqam belgisi 30O259OA bo'lgan LACETTI rusumli avtomashinasi (bundan keyin “Garov predmeti”), egalik huquqiga ega  DJURAKULOVA S.A.ga tegishli va kelishilgan garov qiymati 2025 yil 10 aprelda imzolangan 1-sonli Garov predmeti qiymatini tasdiqlash dalolatnomasiga muvifiq 56 000 000,00 (ellik olti million so'm) so'mni tashkil qiladi. Garov garovining aniq shartlari tegishli notarial rasmiylashtirilgan garov shartnomasi bilan belgilanadi.</v>
      </c>
      <c r="B29" s="272"/>
    </row>
    <row r="30" spans="1:11" ht="20.25" hidden="1" customHeight="1">
      <c r="A30" s="277" t="str">
        <f>"3.1.1. "&amp;malumot!N134&amp;" tomonidan "&amp;malumot!B151&amp;" yil "&amp;malumot!B153&amp;" "&amp;malumot!B152&amp;"da imzolangan 1-sonli navbatdagi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“navbatdagi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va Qarz oluvchi tomonidan 2025 yil 10 aprelda imzolangan 1-sonli navbatdagi garov predmeti qiymatini tasdiqlash dalolatnomasiga muvofiq QORA CHERNIY rangli, ishlab chiqarilgan yili – 2011 yil,  dvigatel raqami 2132251, shassi - RAKAMSIZ,  kuzov turi - YENGIL SEDAN, kuzov raqami №XWB5M31BDBA256320 TASH KUR GENTRA, davlat raqam belgisi 30O259OA bo'lgan LACETTI rusumli avtomashinasi (bundan keyin “navbatdagi garov predmeti”), egalik huquqiga ega  DJURAKULOVA S.A.ga tegishli va kelishilgan garov qiymati 2025 yil 10 aprelda imzolangan 1-sonli Garov predmeti qiymatini tasdiqlash dalolatnomasiga muvifiq 56 000 000,00 (ellik olti million so'm) so'mni tashkil qiladi. Garov garovining aniq shartlari tegishli notarial rasmiylashtirilgan garov shartnomasi bilan belgilanadi.</v>
      </c>
      <c r="B30" s="277"/>
    </row>
    <row r="31" spans="1:11" ht="117" customHeight="1">
      <c r="A31" s="27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76"/>
    </row>
    <row r="32" spans="1:11" ht="94.5" hidden="1">
      <c r="A32" s="199" t="s">
        <v>349</v>
      </c>
      <c r="B32" s="201"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99"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201" t="s">
        <v>331</v>
      </c>
    </row>
    <row r="34" spans="1:8" ht="87.75" customHeight="1">
      <c r="A34" s="276" t="s">
        <v>258</v>
      </c>
      <c r="B34" s="276"/>
    </row>
    <row r="35" spans="1:8" ht="84" customHeight="1">
      <c r="A35" s="276" t="s">
        <v>309</v>
      </c>
      <c r="B35" s="276"/>
    </row>
    <row r="36" spans="1:8" hidden="1"/>
    <row r="37" spans="1:8">
      <c r="A37" s="278" t="s">
        <v>308</v>
      </c>
      <c r="B37" s="278"/>
      <c r="C37" s="60"/>
    </row>
    <row r="38" spans="1:8">
      <c r="A38" s="271" t="s">
        <v>307</v>
      </c>
      <c r="B38" s="271"/>
    </row>
    <row r="39" spans="1:8" ht="114" customHeight="1">
      <c r="A39" s="276"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76"/>
      <c r="C39" s="4" t="str">
        <f>"4.1.1. Ushbu Shartnomada ko‘rsatilgan asoslar bo‘yicha Qarz oluvchiga Shartnomada ko‘zda tutilgan "&amp;malumot!B65&amp;""</f>
        <v>4.1.1. Ushbu Shartnomada ko‘rsatilgan asoslar bo‘yicha Qarz oluvchiga Shartnomada ko‘zda tutilgan mikroqarz</v>
      </c>
      <c r="H39" s="128" t="s">
        <v>381</v>
      </c>
    </row>
    <row r="40" spans="1:8" ht="39" customHeight="1">
      <c r="A40" s="276"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76"/>
    </row>
    <row r="41" spans="1:8">
      <c r="A41" s="276" t="s">
        <v>310</v>
      </c>
      <c r="B41" s="276"/>
    </row>
    <row r="42" spans="1:8" ht="33" customHeight="1">
      <c r="A42" s="276" t="str">
        <f>"b) "&amp;malumot!B65&amp;" summasiga hisoblanadigan asosiy qarz bo‘yicha muddati o‘tgan qarzdorlik va/yoki foizlarning yuzaga kelishi;"</f>
        <v>b) mikroqarz summasiga hisoblanadigan asosiy qarz bo‘yicha muddati o‘tgan qarzdorlik va/yoki foizlarning yuzaga kelishi;</v>
      </c>
      <c r="B42" s="276"/>
    </row>
    <row r="43" spans="1:8" ht="37.5" customHeight="1">
      <c r="A43" s="276" t="s">
        <v>311</v>
      </c>
      <c r="B43" s="276"/>
    </row>
    <row r="44" spans="1:8" ht="52.5" customHeight="1">
      <c r="A44" s="276" t="s">
        <v>312</v>
      </c>
      <c r="B44" s="276"/>
    </row>
    <row r="45" spans="1:8" ht="19.5" customHeight="1">
      <c r="A45" s="276" t="s">
        <v>313</v>
      </c>
      <c r="B45" s="276"/>
    </row>
    <row r="46" spans="1:8" ht="51.75" customHeight="1">
      <c r="A46" s="276"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76"/>
    </row>
    <row r="47" spans="1:8" ht="33.75" customHeight="1">
      <c r="A47" s="276" t="s">
        <v>306</v>
      </c>
      <c r="B47" s="276"/>
    </row>
    <row r="48" spans="1:8" ht="36.75" customHeight="1">
      <c r="A48" s="276" t="s">
        <v>305</v>
      </c>
      <c r="B48" s="276"/>
      <c r="C48" s="132"/>
    </row>
    <row r="49" spans="1:8" ht="99" customHeight="1">
      <c r="A49" s="271" t="s">
        <v>304</v>
      </c>
      <c r="B49" s="271"/>
      <c r="C49" s="132"/>
    </row>
    <row r="50" spans="1:8" ht="70.5" customHeight="1">
      <c r="A50" s="271" t="s">
        <v>303</v>
      </c>
      <c r="B50" s="271"/>
      <c r="C50" s="132"/>
    </row>
    <row r="51" spans="1:8" ht="39.75" customHeight="1">
      <c r="A51" s="271"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71"/>
      <c r="C51" s="132"/>
    </row>
    <row r="52" spans="1:8" ht="33" customHeight="1">
      <c r="A52" s="271" t="s">
        <v>314</v>
      </c>
      <c r="B52" s="271"/>
      <c r="C52" s="132"/>
    </row>
    <row r="53" spans="1:8" ht="39.75" customHeight="1">
      <c r="A53" s="271" t="s">
        <v>302</v>
      </c>
      <c r="B53" s="271"/>
      <c r="C53" s="132"/>
    </row>
    <row r="54" spans="1:8" ht="50.25" customHeight="1">
      <c r="A54" s="27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71"/>
      <c r="C54" s="132" t="str">
        <f>"4.1.10. Qarz oluvchi taqdim etilgan "&amp;malumot!B65&amp;"dan Shartnoma tuzilgan kundan boshlab 1 (bir) oy davomida foydalanmagan"</f>
        <v>4.1.10. Qarz oluvchi taqdim etilgan mikroqarzdan Shartnoma tuzilgan kundan boshlab 1 (bir) oy davomida foydalanmagan</v>
      </c>
      <c r="H54" s="4" t="s">
        <v>332</v>
      </c>
    </row>
    <row r="55" spans="1:8" ht="19.5" customHeight="1">
      <c r="A55" s="271" t="str">
        <f>"4.1.11. Oldingi "&amp;malumot!B65&amp;" to‘liq to‘lanmagunga qadar yangi "&amp;malumot!B65&amp;" berishni rad etish."</f>
        <v>4.1.11. Oldingi mikroqarz to‘liq to‘lanmagunga qadar yangi mikroqarz berishni rad etish.</v>
      </c>
      <c r="B55" s="271"/>
      <c r="C55" s="132"/>
    </row>
    <row r="56" spans="1:8" hidden="1"/>
    <row r="57" spans="1:8">
      <c r="A57" s="274" t="s">
        <v>301</v>
      </c>
      <c r="B57" s="274"/>
      <c r="C57" s="131"/>
    </row>
    <row r="58" spans="1:8">
      <c r="A58" s="279" t="s">
        <v>300</v>
      </c>
      <c r="B58" s="279"/>
      <c r="C58" s="133"/>
    </row>
    <row r="59" spans="1:8" ht="36" customHeight="1">
      <c r="A59" s="271"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71"/>
      <c r="C59" s="132"/>
    </row>
    <row r="60" spans="1:8" ht="36.75" customHeight="1">
      <c r="A60" s="271"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71"/>
      <c r="C60" s="132"/>
    </row>
    <row r="61" spans="1:8" ht="17.25" customHeight="1">
      <c r="A61" s="271" t="str">
        <f>"5.1.3. "&amp;malumot!C64&amp;" xizmatlari ko‘rsatish qoidalari bilan tanishish."</f>
        <v>5.1.3. Mikroqarz xizmatlari ko‘rsatish qoidalari bilan tanishish.</v>
      </c>
      <c r="B61" s="271"/>
      <c r="C61" s="132"/>
    </row>
    <row r="62" spans="1:8" ht="36" customHeight="1">
      <c r="A62" s="271"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71"/>
      <c r="C62" s="132"/>
    </row>
    <row r="63" spans="1:8" ht="33.75" customHeight="1">
      <c r="A63" s="271" t="s">
        <v>315</v>
      </c>
      <c r="B63" s="271"/>
      <c r="C63" s="132"/>
    </row>
    <row r="64" spans="1:8">
      <c r="A64" s="279" t="s">
        <v>299</v>
      </c>
      <c r="B64" s="279"/>
      <c r="C64" s="133"/>
    </row>
    <row r="65" spans="1:8" ht="37.5" customHeight="1">
      <c r="A65" s="271"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71"/>
      <c r="C65" s="132"/>
    </row>
    <row r="66" spans="1:8" ht="39.75" customHeight="1">
      <c r="A66" s="271" t="s">
        <v>316</v>
      </c>
      <c r="B66" s="271"/>
      <c r="C66" s="132"/>
    </row>
    <row r="67" spans="1:8" ht="27" customHeight="1">
      <c r="A67" s="271" t="str">
        <f>"5.2.3. To‘lov jadvaliga muvofiq "&amp;malumot!B65&amp;", shuningdek hisoblangan foizlar to‘lovlarini amalga oshirish."</f>
        <v>5.2.3. To‘lov jadvaliga muvofiq mikroqarz, shuningdek hisoblangan foizlar to‘lovlarini amalga oshirish.</v>
      </c>
      <c r="B67" s="271"/>
      <c r="C67" s="132"/>
    </row>
    <row r="68" spans="1:8" ht="84" customHeight="1">
      <c r="A68" s="27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71"/>
      <c r="C68" s="132" t="s">
        <v>333</v>
      </c>
      <c r="H68" s="4"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71" t="s">
        <v>317</v>
      </c>
      <c r="B69" s="271"/>
      <c r="C69" s="132"/>
    </row>
    <row r="70" spans="1:8" ht="36" customHeight="1">
      <c r="A70" s="271"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71"/>
      <c r="C70" s="132"/>
    </row>
    <row r="71" spans="1:8" ht="51.75" customHeight="1">
      <c r="A71" s="273" t="s">
        <v>334</v>
      </c>
      <c r="B71" s="273"/>
      <c r="C71" s="135"/>
    </row>
    <row r="72" spans="1:8" ht="71.25" customHeight="1">
      <c r="A72" s="271"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71"/>
      <c r="C72" s="132"/>
    </row>
    <row r="73" spans="1:8" ht="33.75" customHeight="1">
      <c r="A73" s="271"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71"/>
      <c r="C73" s="132"/>
      <c r="H73" s="4" t="s">
        <v>330</v>
      </c>
    </row>
    <row r="74" spans="1:8" ht="68.25" customHeight="1">
      <c r="A74" s="27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71"/>
      <c r="C74" s="132"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4" t="s">
        <v>335</v>
      </c>
    </row>
    <row r="75" spans="1:8" hidden="1">
      <c r="A75" s="202"/>
    </row>
    <row r="76" spans="1:8">
      <c r="A76" s="278" t="s">
        <v>298</v>
      </c>
      <c r="B76" s="278"/>
      <c r="C76" s="134"/>
    </row>
    <row r="77" spans="1:8" ht="98.25" customHeight="1">
      <c r="A77" s="27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71"/>
      <c r="C77" s="132" t="s">
        <v>336</v>
      </c>
      <c r="H77" s="4"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71" t="s">
        <v>297</v>
      </c>
      <c r="B78" s="271"/>
      <c r="C78" s="132"/>
    </row>
    <row r="79" spans="1:8" ht="35.25" customHeight="1">
      <c r="A79" s="271" t="s">
        <v>296</v>
      </c>
      <c r="B79" s="271"/>
      <c r="C79" s="132"/>
    </row>
    <row r="80" spans="1:8" ht="33" customHeight="1">
      <c r="A80" s="271" t="s">
        <v>295</v>
      </c>
      <c r="B80" s="271"/>
      <c r="C80" s="132"/>
    </row>
    <row r="81" spans="1:3" hidden="1"/>
    <row r="82" spans="1:3">
      <c r="A82" s="280" t="s">
        <v>294</v>
      </c>
      <c r="B82" s="280"/>
      <c r="C82" s="56"/>
    </row>
    <row r="83" spans="1:3" ht="161.25" customHeight="1">
      <c r="A83" s="271" t="s">
        <v>293</v>
      </c>
      <c r="B83" s="271"/>
      <c r="C83" s="132"/>
    </row>
    <row r="84" spans="1:3" ht="33.75" customHeight="1">
      <c r="A84" s="271" t="s">
        <v>337</v>
      </c>
      <c r="B84" s="271"/>
      <c r="C84" s="132"/>
    </row>
    <row r="85" spans="1:3" ht="34.5" customHeight="1">
      <c r="A85" s="271" t="s">
        <v>292</v>
      </c>
      <c r="B85" s="271"/>
      <c r="C85" s="132"/>
    </row>
    <row r="86" spans="1:3" ht="36" customHeight="1">
      <c r="A86" s="271" t="s">
        <v>291</v>
      </c>
      <c r="B86" s="271"/>
      <c r="C86" s="132"/>
    </row>
    <row r="88" spans="1:3">
      <c r="A88" s="280" t="s">
        <v>290</v>
      </c>
      <c r="B88" s="280"/>
      <c r="C88" s="56"/>
    </row>
    <row r="89" spans="1:3" ht="114.75" customHeight="1">
      <c r="A89" s="271" t="s">
        <v>350</v>
      </c>
      <c r="B89" s="271"/>
      <c r="C89" s="132"/>
    </row>
    <row r="90" spans="1:3" ht="36.75" customHeight="1">
      <c r="A90" s="271" t="s">
        <v>318</v>
      </c>
      <c r="B90" s="271"/>
      <c r="C90" s="132"/>
    </row>
    <row r="91" spans="1:3" ht="69" customHeight="1">
      <c r="A91" s="271"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71"/>
      <c r="C91" s="132"/>
    </row>
    <row r="93" spans="1:3">
      <c r="A93" s="281" t="s">
        <v>289</v>
      </c>
      <c r="B93" s="281"/>
      <c r="C93" s="59"/>
    </row>
    <row r="94" spans="1:3" ht="20.25" customHeight="1">
      <c r="A94" s="271" t="s">
        <v>288</v>
      </c>
      <c r="B94" s="271"/>
      <c r="C94" s="132"/>
    </row>
    <row r="95" spans="1:3" ht="33.75" customHeight="1">
      <c r="A95" s="271"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71"/>
      <c r="C95" s="132"/>
    </row>
    <row r="96" spans="1:3" ht="37.5" customHeight="1">
      <c r="A96" s="271" t="s">
        <v>287</v>
      </c>
      <c r="B96" s="271"/>
      <c r="C96" s="132"/>
    </row>
    <row r="98" spans="1:3">
      <c r="A98" s="274" t="s">
        <v>286</v>
      </c>
      <c r="B98" s="274"/>
      <c r="C98" s="55"/>
    </row>
    <row r="99" spans="1:3" ht="82.5" customHeight="1">
      <c r="A99" s="271" t="s">
        <v>285</v>
      </c>
      <c r="B99" s="271"/>
      <c r="C99" s="132"/>
    </row>
    <row r="100" spans="1:3" ht="66" customHeight="1">
      <c r="A100" s="271" t="s">
        <v>284</v>
      </c>
      <c r="B100" s="271"/>
      <c r="C100" s="132"/>
    </row>
    <row r="101" spans="1:3" ht="48" customHeight="1">
      <c r="A101" s="271" t="s">
        <v>283</v>
      </c>
      <c r="B101" s="271"/>
      <c r="C101" s="132"/>
    </row>
    <row r="103" spans="1:3">
      <c r="A103" s="280" t="s">
        <v>282</v>
      </c>
      <c r="B103" s="280"/>
      <c r="C103" s="122"/>
    </row>
    <row r="104" spans="1:3" ht="37.5" customHeight="1">
      <c r="A104" s="271" t="s">
        <v>281</v>
      </c>
      <c r="B104" s="271"/>
      <c r="C104" s="132"/>
    </row>
    <row r="105" spans="1:3" ht="34.5" customHeight="1">
      <c r="A105" s="271" t="s">
        <v>280</v>
      </c>
      <c r="B105" s="271"/>
      <c r="C105" s="132"/>
    </row>
    <row r="106" spans="1:3" ht="66.75" customHeight="1">
      <c r="A106" s="271" t="s">
        <v>279</v>
      </c>
      <c r="B106" s="271"/>
      <c r="C106" s="132"/>
    </row>
    <row r="107" spans="1:3" ht="51" customHeight="1">
      <c r="A107" s="271" t="s">
        <v>278</v>
      </c>
      <c r="B107" s="271"/>
      <c r="C107" s="132"/>
    </row>
    <row r="108" spans="1:3" ht="37.5" customHeight="1">
      <c r="A108" s="271" t="s">
        <v>277</v>
      </c>
      <c r="B108" s="271"/>
      <c r="C108" s="132"/>
    </row>
    <row r="109" spans="1:3" ht="38.25" customHeight="1">
      <c r="A109" s="271" t="s">
        <v>276</v>
      </c>
      <c r="B109" s="271"/>
      <c r="C109" s="132"/>
    </row>
    <row r="110" spans="1:3" ht="21" customHeight="1">
      <c r="A110" s="271" t="s">
        <v>275</v>
      </c>
      <c r="B110" s="271"/>
      <c r="C110" s="132"/>
    </row>
    <row r="111" spans="1:3" ht="4.5" customHeight="1">
      <c r="A111" s="271"/>
      <c r="B111" s="271"/>
      <c r="C111" s="132"/>
    </row>
    <row r="112" spans="1:3" ht="3.75" customHeight="1"/>
    <row r="113" spans="1:3">
      <c r="A113" s="281" t="s">
        <v>319</v>
      </c>
      <c r="B113" s="281"/>
      <c r="C113" s="59"/>
    </row>
    <row r="114" spans="1:3" ht="7.5" customHeight="1"/>
    <row r="115" spans="1:3">
      <c r="A115" s="203" t="s">
        <v>274</v>
      </c>
      <c r="B115" s="204" t="s">
        <v>273</v>
      </c>
    </row>
    <row r="116" spans="1:3" ht="31.5">
      <c r="A116" s="206" t="str">
        <f>malumot!B156</f>
        <v>«CLEVER MIKROMOLIYA TASHKILOTI» MChJ</v>
      </c>
      <c r="B116" s="207" t="str">
        <f>malumot!B5</f>
        <v>DJURAKULOVA SANAM ASHUROVNA</v>
      </c>
    </row>
    <row r="117" spans="1:3" ht="47.25">
      <c r="A117" s="208" t="str">
        <f>"Manzil: "&amp;malumot!B161&amp;""</f>
        <v>Manzil: Toshkent shahri, Olmazor tumani, Sagbon ko'chasi, 30 boshi berk, 6-uy</v>
      </c>
      <c r="B117" s="209" t="str">
        <f>"Manzil: "&amp;malumot!B27&amp;""</f>
        <v>Manzil: SAMARQAND VILOYATI SAMARQAND SHAHAR BOG'ISARIY MAHALLASI SPITAMENSHOX KO'CHASI 252 UY</v>
      </c>
    </row>
    <row r="118" spans="1:3">
      <c r="A118" s="210" t="str">
        <f>"h/r: "&amp;malumot!B162&amp;""</f>
        <v>h/r: №20216000105068380006</v>
      </c>
      <c r="B118" s="211"/>
    </row>
    <row r="119" spans="1:3" ht="45.75" customHeight="1">
      <c r="A119" s="208" t="str">
        <f>"MFO: "&amp;malumot!B163&amp;" в "&amp;malumot!B164&amp;""</f>
        <v>MFO: №01183 в Toshkent sh., "ANOR BANK"</v>
      </c>
      <c r="B119" s="209" t="str">
        <f>"Pasport: "&amp;malumot!B16&amp;", "&amp;malumot!B20&amp;""</f>
        <v>Pasport: AB 0252157, SAMARQAND VILOYATI SAMARQAND SHAHAR IIB tomonidan 29.06.2015 yilda berilgan</v>
      </c>
    </row>
    <row r="120" spans="1:3">
      <c r="A120" s="208" t="str">
        <f>"STIR: "&amp;malumot!B165&amp;""</f>
        <v>STIR: 306365847</v>
      </c>
      <c r="B120" s="212" t="str">
        <f>"Tel: "&amp;malumot!B40&amp;""</f>
        <v>Tel: 90 606-09-53 UZI</v>
      </c>
    </row>
    <row r="121" spans="1:3">
      <c r="A121" s="213" t="str">
        <f>"Tel: (78) 113 31 33"</f>
        <v>Tel: (78) 113 31 33</v>
      </c>
      <c r="B121" s="212" t="str">
        <f>malumot!B41</f>
        <v>90 504-18-38 JASUR JIYANI</v>
      </c>
    </row>
    <row r="122" spans="1:3">
      <c r="A122" s="213" t="s">
        <v>7</v>
      </c>
      <c r="B122" s="212" t="str">
        <f>malumot!B42</f>
        <v>77 007-88-07 (2 nomeri)</v>
      </c>
    </row>
    <row r="123" spans="1:3">
      <c r="A123" s="214"/>
      <c r="B123" s="211"/>
    </row>
    <row r="124" spans="1:3">
      <c r="A124" s="282" t="str">
        <f>malumot!A169</f>
        <v>Samarqand filiali boshlig'i</v>
      </c>
      <c r="B124" s="205"/>
    </row>
    <row r="125" spans="1:3">
      <c r="A125" s="282"/>
      <c r="B125" s="215" t="str">
        <f>""&amp;malumot!B7&amp;"     __________________"</f>
        <v>DJURAKULOVA S.A.     __________________</v>
      </c>
    </row>
    <row r="126" spans="1:3">
      <c r="A126" s="216" t="str">
        <f>malumot!B158</f>
        <v>S.Asrorov</v>
      </c>
      <c r="B126" s="205"/>
    </row>
    <row r="127" spans="1:3">
      <c r="A127" s="216"/>
      <c r="B127" s="217"/>
    </row>
    <row r="128" spans="1:3">
      <c r="A128" s="218"/>
      <c r="B128" s="219" t="s">
        <v>389</v>
      </c>
    </row>
    <row r="129" spans="1:1" ht="24.75" hidden="1" customHeight="1">
      <c r="A129" s="4" t="str">
        <f>"менеджер :   "&amp;malumot!B169&amp;"______________"</f>
        <v>менеджер :   S.Asrorov______________</v>
      </c>
    </row>
  </sheetData>
  <mergeCells count="99">
    <mergeCell ref="A124:A125"/>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3:E28"/>
  <sheetViews>
    <sheetView view="pageBreakPreview" topLeftCell="A10" zoomScaleSheetLayoutView="100" workbookViewId="0">
      <selection activeCell="D27" sqref="D27"/>
    </sheetView>
  </sheetViews>
  <sheetFormatPr defaultColWidth="9.140625" defaultRowHeight="15" outlineLevelRow="1"/>
  <cols>
    <col min="1" max="1" width="23.85546875" style="10" customWidth="1"/>
    <col min="2" max="2" width="23.28515625" style="10" customWidth="1"/>
    <col min="3" max="3" width="17" style="10" customWidth="1"/>
    <col min="4" max="4" width="17.5703125" style="10" customWidth="1"/>
    <col min="5" max="5" width="19.7109375" style="10" customWidth="1"/>
    <col min="6" max="16384" width="9.140625" style="10"/>
  </cols>
  <sheetData>
    <row r="3" spans="1:5" ht="16.5" customHeight="1"/>
    <row r="4" spans="1:5" ht="17.25" customHeight="1">
      <c r="A4" s="285" t="str">
        <f>""&amp;malumot!B155&amp;" ijrochi direktorining
"&amp;malumot!B177&amp;"dagi "&amp;malumot!B172&amp;"-sonli buyrug‘i"</f>
        <v>«CLEVER MIKROMOLIYA TASHKILOTI» MChJ ijrochi direktorining
dagi №745-SM-sonli buyrug‘i</v>
      </c>
      <c r="B4" s="285"/>
      <c r="C4" s="285"/>
      <c r="D4" s="285"/>
      <c r="E4" s="285"/>
    </row>
    <row r="5" spans="1:5">
      <c r="A5" s="285"/>
      <c r="B5" s="285"/>
      <c r="C5" s="285"/>
      <c r="D5" s="285"/>
      <c r="E5" s="285"/>
    </row>
    <row r="6" spans="1:5">
      <c r="A6" s="285"/>
      <c r="B6" s="285"/>
      <c r="C6" s="285"/>
      <c r="D6" s="285"/>
      <c r="E6" s="285"/>
    </row>
    <row r="7" spans="1:5">
      <c r="A7" s="283"/>
      <c r="B7" s="283"/>
      <c r="C7" s="283"/>
      <c r="D7" s="283"/>
      <c r="E7" s="283"/>
    </row>
    <row r="8" spans="1:5" ht="44.25" customHeight="1">
      <c r="A8" s="283" t="str">
        <f>"Men, Abduraximov Nadirbek Kamilevich "&amp;malumot!B155&amp;" ijrochi direktori, jismoniy shaxs "&amp;malumot!B10&amp;"ga quyidagi shartlarda "&amp;malumot!B65&amp;" berishni buyuraman:"</f>
        <v>Men, Abduraximov Nadirbek Kamilevich «CLEVER MIKROMOLIYA TASHKILOTI» MChJ ijrochi direktori, jismoniy shaxs DJURAKULOVA SANAM ASHUROVNAga quyidagi shartlarda mikroqarz berishni buyuraman:</v>
      </c>
      <c r="B8" s="283"/>
      <c r="C8" s="283"/>
      <c r="D8" s="283"/>
      <c r="E8" s="283"/>
    </row>
    <row r="9" spans="1:5" ht="26.25" customHeight="1">
      <c r="A9" s="283" t="str">
        <f>kredit_ariza!A13:D13</f>
        <v>Mikroqarz summasi: 40 000 000,00 (qirq million so'm) so'm.</v>
      </c>
      <c r="B9" s="283"/>
      <c r="C9" s="283"/>
      <c r="D9" s="283"/>
      <c r="E9" s="283"/>
    </row>
    <row r="10" spans="1:5" ht="21" customHeight="1">
      <c r="A10" s="283" t="str">
        <f>kredit_ariza!A14:D14</f>
        <v>Mikroqarz muddati: 24 (Yigirma to'rt  ) oy.</v>
      </c>
      <c r="B10" s="283"/>
      <c r="C10" s="283"/>
      <c r="D10" s="283"/>
      <c r="E10" s="283"/>
    </row>
    <row r="11" spans="1:5" ht="27" customHeight="1">
      <c r="A11" s="283" t="str">
        <f>kredit_ariza!A15:D15</f>
        <v>Mikroqarzdan foydalanganlik uchun foiz stavkasi: yillik  55% (Ellik besh  ) foiz</v>
      </c>
      <c r="B11" s="283"/>
      <c r="C11" s="283"/>
      <c r="D11" s="283"/>
      <c r="E11" s="283"/>
    </row>
    <row r="12" spans="1:5" ht="26.25" customHeight="1">
      <c r="A12" s="283" t="str">
        <f>kredit_ariza!A16:D16</f>
        <v>Mikroqarz bo'yicha asosiy qarz va foizlarni to'lash:</v>
      </c>
      <c r="B12" s="283"/>
      <c r="C12" s="283"/>
      <c r="D12" s="283"/>
      <c r="E12" s="283"/>
    </row>
    <row r="13" spans="1:5" ht="21.75" hidden="1" customHeight="1">
      <c r="A13" s="283" t="str">
        <f>kredit_ariza!A17:D17</f>
        <v xml:space="preserve"> - mikroqarz shartnomasi bo'yicha har oy differensial to'lovlari amalga oshiriladi</v>
      </c>
      <c r="B13" s="283"/>
      <c r="C13" s="283"/>
      <c r="D13" s="283"/>
      <c r="E13" s="283"/>
    </row>
    <row r="14" spans="1:5" hidden="1">
      <c r="A14" s="283" t="str">
        <f>kredit_ariza!A19:D19</f>
        <v xml:space="preserve"> - mikroqarz shartnomasi bo'yicha har oy differensial to'lovlari amalga oshiriladi</v>
      </c>
      <c r="B14" s="283"/>
      <c r="C14" s="283"/>
      <c r="D14" s="283"/>
      <c r="E14" s="283"/>
    </row>
    <row r="15" spans="1:5" ht="23.25" customHeight="1">
      <c r="A15" s="283" t="str">
        <f>IF(malumot!B111="Avtotransport",buyruq!A14:E14,buyruq!A13:E13)</f>
        <v xml:space="preserve"> - mikroqarz shartnomasi bo'yicha har oy differensial to'lovlari amalga oshiriladi</v>
      </c>
      <c r="B15" s="283"/>
      <c r="C15" s="283"/>
      <c r="D15" s="283"/>
      <c r="E15" s="283"/>
    </row>
    <row r="16" spans="1:5" ht="45.75" customHeight="1">
      <c r="A16" s="284" t="str">
        <f>IF(malumot!B111=malumot!D111,""&amp;malumot!C125&amp;"ga tegishli "&amp;malumot!C134&amp;" ko'rinishidagi ko'chmas mulkni quyidagi ma'lumotlarga muvofiq  garovga qabul qilinsin:",""&amp;malumot!B125&amp;"ga tegishli "&amp;malumot!B133&amp;" ko'rinishidagi transport vositasini quyidagi ma'lumotlarga muvofiq garovga qabul qilinsin:")</f>
        <v>DJURAKULOVA S.A.ga tegishli LACETTI ko'rinishidagi transport vositasini quyidagi ma'lumotlarga muvofiq garovga qabul qilinsin:</v>
      </c>
      <c r="B16" s="284"/>
      <c r="C16" s="284"/>
      <c r="D16" s="284"/>
      <c r="E16" s="284"/>
    </row>
    <row r="17" spans="1:5" ht="50.25" hidden="1" customHeight="1">
      <c r="A17" s="283" t="str">
        <f>""&amp;malumot!C125&amp;"ga tegishli "&amp;malumot!C134&amp;" ko'rinishidagi ko'chmas mulkni quyidagi ma'lumotlarga muvofiq  garovga qabul qilinsin:"</f>
        <v>DJURAKULOVA SANAM ASHUROVNAga tegishli 3 - xonali yakka tartibdagi uy-joy ko'rinishidagi ko'chmas mulkni quyidagi ma'lumotlarga muvofiq  garovga qabul qilinsin:</v>
      </c>
      <c r="B17" s="283"/>
      <c r="C17" s="283"/>
      <c r="D17" s="283"/>
      <c r="E17" s="283"/>
    </row>
    <row r="18" spans="1:5" ht="47.25" hidden="1" customHeight="1">
      <c r="A18" s="283" t="str">
        <f>""&amp;malumot!B125&amp;"ga tegishli "&amp;malumot!B133&amp;" ko'rinishidagi transport vositasini quyidagi ma'lumotlarga muvofiq garovga qabul qilinsin:"</f>
        <v>DJURAKULOVA S.A.ga tegishli LACETTI ko'rinishidagi transport vositasini quyidagi ma'lumotlarga muvofiq garovga qabul qilinsin:</v>
      </c>
      <c r="B18" s="283"/>
      <c r="C18" s="283"/>
      <c r="D18" s="283"/>
      <c r="E18" s="283"/>
    </row>
    <row r="19" spans="1:5" s="31" customFormat="1" ht="60" customHeight="1" outlineLevel="1">
      <c r="A19" s="33" t="str">
        <f>dalolatnoma!A29</f>
        <v>Nomi</v>
      </c>
      <c r="B19" s="33" t="str">
        <f>dalolatnoma!B29</f>
        <v>Kuzov turi  va kuzov raqami*</v>
      </c>
      <c r="C19" s="33" t="str">
        <f>dalolatnoma!C29</f>
        <v>Dvigatel va shassi raqami*</v>
      </c>
      <c r="D19" s="33" t="str">
        <f>dalolatnoma!D29</f>
        <v>Ishlab chiqarilgan yili va rangi*</v>
      </c>
      <c r="E19" s="33" t="str">
        <f>dalolatnoma!E29</f>
        <v>Kelishilgan garov qiymati, so'm</v>
      </c>
    </row>
    <row r="20" spans="1:5" ht="94.5" customHeight="1" outlineLevel="1">
      <c r="A20" s="12" t="str">
        <f>dalolatnoma!A30</f>
        <v>LACETTI</v>
      </c>
      <c r="B20" s="12" t="str">
        <f>dalolatnoma!B30</f>
        <v>kuzov turi - YENGIL SEDAN, kuzov raqami XWB5M31BDBA256320 TASH KUR GENTRA</v>
      </c>
      <c r="C20" s="12" t="str">
        <f>dalolatnoma!C30</f>
        <v>dvigatel raqami 2132251, shassi raqami - RAKAMSIZ</v>
      </c>
      <c r="D20" s="12" t="str">
        <f>dalolatnoma!D30</f>
        <v>rangi -  QORA CHERNIY, ishlab chiqarilgan yili - 2011</v>
      </c>
      <c r="E20" s="12" t="str">
        <f>dalolatnoma!E30</f>
        <v>56 000 000,00 
(ellik olti million so'm)</v>
      </c>
    </row>
    <row r="21" spans="1:5" ht="20.25" customHeight="1" outlineLevel="1">
      <c r="A21" s="283" t="str">
        <f>dalolatnoma!A22:E22</f>
        <v>-* avtotransport egasi: DJURAKULOVA S.A.</v>
      </c>
      <c r="B21" s="283"/>
      <c r="C21" s="283"/>
      <c r="D21" s="283"/>
      <c r="E21" s="283"/>
    </row>
    <row r="22" spans="1:5" ht="20.25" customHeight="1" outlineLevel="1">
      <c r="A22" s="283" t="str">
        <f>dalolatnoma!A23:E23</f>
        <v>-* texnik pasport: AAG 4271140 05.07.2024y.</v>
      </c>
      <c r="B22" s="283"/>
      <c r="C22" s="283"/>
      <c r="D22" s="283"/>
      <c r="E22" s="283"/>
    </row>
    <row r="23" spans="1:5" ht="36" customHeight="1" outlineLevel="1">
      <c r="A23" s="283" t="str">
        <f>dalolatnoma!A24:E24</f>
        <v>-* roʻyxatdan oʻtgan manzili/garaj manzili: SAMARQAND VILOYATI SAMARQAND SHAHAR BOG'ISARIY MAHALLASI SPITAMENSHOX KO'CHASI 252 UY</v>
      </c>
      <c r="B23" s="283"/>
      <c r="C23" s="283"/>
      <c r="D23" s="283"/>
      <c r="E23" s="283"/>
    </row>
    <row r="24" spans="1:5" ht="31.5" customHeight="1" outlineLevel="1">
      <c r="A24" s="283" t="str">
        <f>dalolatnoma!A25:E25</f>
        <v>-* davlat raqami: 30O259OA</v>
      </c>
      <c r="B24" s="283"/>
      <c r="C24" s="283"/>
      <c r="D24" s="283"/>
      <c r="E24" s="283"/>
    </row>
    <row r="25" spans="1:5">
      <c r="B25" s="163"/>
      <c r="D25" s="163"/>
      <c r="E25" s="17"/>
    </row>
    <row r="26" spans="1:5">
      <c r="B26" s="163"/>
      <c r="D26" s="163"/>
      <c r="E26" s="17"/>
    </row>
    <row r="27" spans="1:5" ht="57">
      <c r="A27" s="174" t="s">
        <v>402</v>
      </c>
      <c r="D27" s="31" t="s">
        <v>385</v>
      </c>
      <c r="E27" s="17"/>
    </row>
    <row r="28" spans="1:5">
      <c r="A28" s="163"/>
      <c r="E28" s="163"/>
    </row>
  </sheetData>
  <mergeCells count="17">
    <mergeCell ref="A15:E15"/>
    <mergeCell ref="A17:E17"/>
    <mergeCell ref="A16:E16"/>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zoomScaleNormal="100" zoomScaleSheetLayoutView="100" workbookViewId="0">
      <selection activeCell="A31" sqref="A31:XFD31"/>
    </sheetView>
  </sheetViews>
  <sheetFormatPr defaultColWidth="9.140625" defaultRowHeight="15"/>
  <cols>
    <col min="1" max="1" width="24.7109375" style="15" customWidth="1"/>
    <col min="2" max="2" width="24.28515625" style="15" customWidth="1"/>
    <col min="3" max="3" width="20.7109375" style="15" customWidth="1"/>
    <col min="4" max="4" width="18" style="15" customWidth="1"/>
    <col min="5" max="5" width="25.140625" style="15" customWidth="1"/>
    <col min="6" max="6" width="9.140625" style="10" customWidth="1"/>
    <col min="7" max="7" width="24.42578125" style="10" customWidth="1"/>
    <col min="8" max="8" width="17.140625" style="10" customWidth="1"/>
    <col min="9" max="34" width="9.140625" style="10" hidden="1" customWidth="1"/>
    <col min="35" max="35" width="8.7109375" style="10" customWidth="1"/>
    <col min="36" max="16384" width="9.140625" style="10"/>
  </cols>
  <sheetData>
    <row r="1" spans="1:33" ht="63.75" customHeight="1">
      <c r="A1" s="289" t="str">
        <f>""&amp;malumot!B155&amp;"
mikromoliya tashkiloti
Kredit qo‘mitasining yig‘ilishi"</f>
        <v>«CLEVER MIKROMOLIYA TASHKILOTI» MChJ
mikromoliya tashkiloti
Kredit qo‘mitasining yig‘ilishi</v>
      </c>
      <c r="B1" s="289"/>
      <c r="C1" s="289"/>
      <c r="D1" s="289"/>
      <c r="E1" s="289"/>
    </row>
    <row r="2" spans="1:33" ht="29.25" customHeight="1">
      <c r="A2" s="289" t="str">
        <f>""&amp;H7&amp;" protokolidan ko'chirma"</f>
        <v>№745-SM protokolidan ko'chirma</v>
      </c>
      <c r="B2" s="289"/>
      <c r="C2" s="289"/>
      <c r="D2" s="289"/>
      <c r="E2" s="289"/>
    </row>
    <row r="3" spans="1:33" ht="29.25" customHeight="1">
      <c r="A3" s="114" t="s">
        <v>198</v>
      </c>
      <c r="B3" s="158"/>
      <c r="C3" s="158"/>
      <c r="D3" s="158"/>
      <c r="E3" s="185" t="str">
        <f>malumot!B68</f>
        <v>10 aprel 2025 y.</v>
      </c>
    </row>
    <row r="4" spans="1:33" ht="29.25" customHeight="1">
      <c r="A4" s="158"/>
      <c r="B4" s="289" t="s">
        <v>197</v>
      </c>
      <c r="C4" s="289"/>
      <c r="D4" s="289"/>
      <c r="E4" s="158"/>
    </row>
    <row r="5" spans="1:33" ht="36" customHeight="1">
      <c r="A5" s="288" t="str">
        <f>"         "&amp;H8&amp;"."&amp;malumot!B5&amp;" ga "&amp;malumot!B65&amp;" berish masalasini ko‘rib chiqish to‘g‘risida."</f>
        <v xml:space="preserve">         1.DJURAKULOVA SANAM ASHUROVNA ga mikroqarz berish masalasini ko‘rib chiqish to‘g‘risida.</v>
      </c>
      <c r="B5" s="288"/>
      <c r="C5" s="288"/>
      <c r="D5" s="288"/>
      <c r="E5" s="288"/>
    </row>
    <row r="7" spans="1:33" ht="21" customHeight="1">
      <c r="A7" s="283"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"&amp;malumot!B155&amp;"ning xulosasi bilan ishtirokchilarni tanishtirdi."</f>
        <v xml:space="preserve">      Birinchi masala yuzasidan: «Clever Mikromoliya Tashkiloti» MChJ mikromoliya tashkiloti kredit bo‘yicha menejeri  DJURAKULOVA SANAM ASHUROVNAga 40 000 000,00 (qirq million so'm) so‘m miqdorida, muddati 24 (Yigirma to'rt  ) oyga va yillik 60 (Oltmish) foiz miqdorida mikroqarz berich bo‘yicha DJURAKULOVA SANAM ASHUROVNAning kredit arizasi va «CLEVER MIKROMOLIYA TASHKILOTI» MChJning xulosasi bilan ishtirokchilarni tanishtirdi.</v>
      </c>
      <c r="B7" s="283"/>
      <c r="C7" s="283"/>
      <c r="D7" s="283"/>
      <c r="E7" s="283"/>
      <c r="G7" s="187" t="s">
        <v>252</v>
      </c>
      <c r="H7" s="190" t="str">
        <f>malumot!B1</f>
        <v>№745-SM</v>
      </c>
    </row>
    <row r="8" spans="1:33">
      <c r="A8" s="283"/>
      <c r="B8" s="283"/>
      <c r="C8" s="283"/>
      <c r="D8" s="283"/>
      <c r="E8" s="283"/>
      <c r="G8" s="187" t="s">
        <v>253</v>
      </c>
      <c r="H8" s="190">
        <v>1</v>
      </c>
      <c r="I8" s="10">
        <v>1</v>
      </c>
      <c r="J8" s="10">
        <v>2</v>
      </c>
      <c r="K8" s="10">
        <v>3</v>
      </c>
      <c r="L8" s="10">
        <v>4</v>
      </c>
      <c r="M8" s="10">
        <v>5</v>
      </c>
      <c r="N8" s="10">
        <v>6</v>
      </c>
      <c r="O8" s="10">
        <v>7</v>
      </c>
      <c r="P8" s="10">
        <v>8</v>
      </c>
      <c r="Q8" s="10">
        <v>9</v>
      </c>
      <c r="R8" s="10">
        <v>10</v>
      </c>
      <c r="S8" s="10">
        <v>11</v>
      </c>
      <c r="T8" s="10">
        <v>12</v>
      </c>
      <c r="U8" s="10">
        <v>13</v>
      </c>
      <c r="V8" s="10">
        <v>14</v>
      </c>
      <c r="W8" s="10">
        <v>15</v>
      </c>
      <c r="X8" s="10">
        <v>16</v>
      </c>
      <c r="Y8" s="10">
        <v>17</v>
      </c>
      <c r="Z8" s="10">
        <v>18</v>
      </c>
      <c r="AA8" s="10">
        <v>19</v>
      </c>
      <c r="AB8" s="10">
        <v>20</v>
      </c>
      <c r="AC8" s="10">
        <v>21</v>
      </c>
      <c r="AD8" s="10">
        <v>22</v>
      </c>
      <c r="AE8" s="10">
        <v>23</v>
      </c>
      <c r="AF8" s="10">
        <v>24</v>
      </c>
      <c r="AG8" s="10">
        <v>25</v>
      </c>
    </row>
    <row r="9" spans="1:33" ht="24" customHeight="1">
      <c r="A9" s="283"/>
      <c r="B9" s="283"/>
      <c r="C9" s="283"/>
      <c r="D9" s="283"/>
      <c r="E9" s="283"/>
      <c r="G9" s="187" t="s">
        <v>254</v>
      </c>
      <c r="H9" s="190" t="str">
        <f>IF(H8=I8,I9,IF(H8=J8,J9,IF(H8=K8,K9,IF(H8=L8,L9,IF(H8=M8,M9,IF(H8=N8,N9,IF(H8=O8,O9,IF(H8=P8,P9,IF(H8=Q8,Q9,IF(H8=R8,R9,IF(H8=S8,S9,IF(H8=T8,T9,IF(H8=U8,U9,IF(H8=V8,V9,IF(H8=W8,W9,IF(H8=X8,X9,IF(H8=Y8,Y9,IF(H8=Z8,Z9,IF(H8=AA8,AA9,IF(H8=AB8,AB9,IF(H8=AC8,AC9,IF(H8=AD8,AD9,IF(H8=AE8,AE9,IF(H8=AF8,AF9,IF(H8=AG8,AG9)))))))))))))))))))))))))</f>
        <v>Birinchi</v>
      </c>
      <c r="I9" s="10" t="s">
        <v>400</v>
      </c>
      <c r="J9" s="91" t="s">
        <v>186</v>
      </c>
      <c r="K9" s="91" t="s">
        <v>187</v>
      </c>
      <c r="L9" s="91" t="s">
        <v>361</v>
      </c>
      <c r="M9" s="91" t="s">
        <v>188</v>
      </c>
      <c r="N9" s="91" t="s">
        <v>362</v>
      </c>
      <c r="O9" s="91" t="s">
        <v>189</v>
      </c>
      <c r="P9" s="91" t="s">
        <v>190</v>
      </c>
      <c r="Q9" s="91" t="s">
        <v>191</v>
      </c>
      <c r="R9" s="91" t="s">
        <v>351</v>
      </c>
      <c r="S9" s="91" t="s">
        <v>352</v>
      </c>
      <c r="T9" s="91" t="s">
        <v>353</v>
      </c>
      <c r="U9" s="91" t="s">
        <v>354</v>
      </c>
      <c r="V9" s="91" t="s">
        <v>363</v>
      </c>
      <c r="W9" s="91" t="s">
        <v>355</v>
      </c>
      <c r="X9" s="91" t="s">
        <v>356</v>
      </c>
      <c r="Y9" s="91" t="s">
        <v>357</v>
      </c>
      <c r="Z9" s="91" t="s">
        <v>358</v>
      </c>
      <c r="AA9" s="91" t="s">
        <v>359</v>
      </c>
      <c r="AB9" s="91" t="s">
        <v>192</v>
      </c>
      <c r="AC9" s="91" t="s">
        <v>193</v>
      </c>
      <c r="AD9" s="91" t="s">
        <v>194</v>
      </c>
      <c r="AE9" s="91" t="s">
        <v>195</v>
      </c>
      <c r="AF9" s="91" t="s">
        <v>360</v>
      </c>
      <c r="AG9" s="91" t="s">
        <v>196</v>
      </c>
    </row>
    <row r="10" spans="1:33" ht="10.5" hidden="1" customHeight="1">
      <c r="A10" s="283"/>
      <c r="B10" s="283"/>
      <c r="C10" s="283"/>
      <c r="D10" s="283"/>
      <c r="E10" s="283"/>
    </row>
    <row r="11" spans="1:33" ht="9" hidden="1" customHeight="1">
      <c r="A11" s="283"/>
      <c r="B11" s="283"/>
      <c r="C11" s="283"/>
      <c r="D11" s="283"/>
      <c r="E11" s="283"/>
    </row>
    <row r="12" spans="1:33" ht="3" hidden="1" customHeight="1">
      <c r="A12" s="283"/>
      <c r="B12" s="283"/>
      <c r="C12" s="283"/>
      <c r="D12" s="283"/>
      <c r="E12" s="283"/>
    </row>
    <row r="13" spans="1:33" ht="7.5" customHeight="1"/>
    <row r="14" spans="1:33" ht="15.75" customHeight="1">
      <c r="A14" s="284" t="str">
        <f>""&amp;malumot!C64&amp;" ta’minoti:"</f>
        <v>Mikroqarz ta’minoti:</v>
      </c>
      <c r="B14" s="284"/>
      <c r="C14" s="284"/>
      <c r="D14" s="284"/>
      <c r="E14" s="284"/>
    </row>
    <row r="15" spans="1:33" ht="7.5" customHeight="1"/>
    <row r="16" spans="1:33" ht="57" customHeight="1">
      <c r="A16" s="283" t="str">
        <f>xulosa!A18:E18</f>
        <v xml:space="preserve">  Egalik huquqi DJURAKULOVA S.A.ga tegishli bo'lgan garovga olingan avtomobil markasi   LACETTI, rangi -  QORA CHERNIY, ishlab chiqarilgan yili - 2011, davlat raqam belgisi 30O259OA, kuzov turi - YENGIL SEDAN, kuzov raqami XWB5M31BDBA256320 TASH KUR GENTRA, dvigatel raqami 2132251, shassi raqami - RAKAMSIZ</v>
      </c>
      <c r="B16" s="283"/>
      <c r="C16" s="283"/>
      <c r="D16" s="283"/>
      <c r="E16" s="283"/>
    </row>
    <row r="17" spans="1:5" ht="17.25" customHeight="1">
      <c r="C17" s="188" t="s">
        <v>370</v>
      </c>
      <c r="D17" s="188" t="str">
        <f>""&amp;malumot!B155&amp;" kredit qo‘mitasi"</f>
        <v>«CLEVER MIKROMOLIYA TASHKILOTI» MChJ kredit qo‘mitasi</v>
      </c>
      <c r="E17" s="188"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8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83"/>
      <c r="C18" s="283"/>
      <c r="D18" s="283"/>
      <c r="E18" s="283"/>
    </row>
    <row r="19" spans="1:5" ht="24" customHeight="1">
      <c r="A19" s="290" t="s">
        <v>255</v>
      </c>
      <c r="B19" s="290"/>
      <c r="C19" s="290"/>
      <c r="D19" s="290"/>
      <c r="E19" s="290"/>
    </row>
    <row r="20" spans="1:5" ht="32.25" customHeight="1">
      <c r="A20" s="283" t="str">
        <f>"       "&amp;malumot!B5&amp;"ga quyidagi shartlarda "&amp;malumot!B65&amp;" berish masalasi ma’qullansin:"</f>
        <v xml:space="preserve">       DJURAKULOVA SANAM ASHUROVNAga quyidagi shartlarda mikroqarz berish masalasi ma’qullansin:</v>
      </c>
      <c r="B20" s="283"/>
      <c r="C20" s="283"/>
      <c r="D20" s="283"/>
      <c r="E20" s="283"/>
    </row>
    <row r="21" spans="1:5" s="189" customFormat="1" ht="18.75" customHeight="1">
      <c r="A21" s="288" t="str">
        <f>"1. "&amp;malumot!C64&amp;" summasi: "&amp;FIXED(malumot!B75)&amp;" ("&amp;malumot!B76&amp;") so'm."</f>
        <v>1. Mikroqarz summasi: 40 000 000,00 (qirq million so'm) so'm.</v>
      </c>
      <c r="B21" s="288"/>
      <c r="C21" s="288"/>
      <c r="D21" s="288"/>
      <c r="E21" s="288"/>
    </row>
    <row r="22" spans="1:5" s="189" customFormat="1" ht="18.75" customHeight="1">
      <c r="A22" s="288" t="str">
        <f>"2. "&amp;malumot!C64&amp;" muddati: "&amp;malumot!B81&amp;" ("&amp;malumot!B82&amp;") oy "</f>
        <v xml:space="preserve">2. Mikroqarz muddati: 24 (Yigirma to'rt  ) oy </v>
      </c>
      <c r="B22" s="288"/>
      <c r="C22" s="288"/>
      <c r="D22" s="288"/>
      <c r="E22" s="288"/>
    </row>
    <row r="23" spans="1:5" s="189" customFormat="1" ht="18.75" customHeight="1">
      <c r="A23" s="288" t="str">
        <f>"3. "&amp;malumot!C64&amp;"dan foydalanganlik uchun foiz stavkasi:yillik "&amp;malumot!B85&amp;"% ("&amp;malumot!B86&amp;") foiz."</f>
        <v>3. Mikroqarzdan foydalanganlik uchun foiz stavkasi:yillik 55% (Ellik besh  ) foiz.</v>
      </c>
      <c r="B23" s="288"/>
      <c r="C23" s="288"/>
      <c r="D23" s="288"/>
      <c r="E23" s="288"/>
    </row>
    <row r="24" spans="1:5" s="189" customFormat="1" ht="18.75" customHeight="1">
      <c r="A24" s="288" t="str">
        <f>"4. "&amp;malumot!C64&amp;" bo‘yicha asosiy qarz va foizlarni to‘lash:"</f>
        <v>4. Mikroqarz bo‘yicha asosiy qarz va foizlarni to‘lash:</v>
      </c>
      <c r="B24" s="288"/>
      <c r="C24" s="288"/>
      <c r="D24" s="288"/>
      <c r="E24" s="288"/>
    </row>
    <row r="25" spans="1:5" s="189" customFormat="1" ht="18.75" customHeight="1">
      <c r="A25" s="288" t="str">
        <f>kredit_ariza!A19:D19</f>
        <v xml:space="preserve"> - mikroqarz shartnomasi bo'yicha har oy differensial to'lovlari amalga oshiriladi</v>
      </c>
      <c r="B25" s="288"/>
      <c r="C25" s="288"/>
      <c r="D25" s="288"/>
      <c r="E25" s="288"/>
    </row>
    <row r="26" spans="1:5" ht="48" customHeight="1">
      <c r="A26" s="283" t="str">
        <f>"5. "&amp;malumot!C64&amp;" bo‘yicha garov  "&amp;xulosa!A29:E29&amp;""</f>
        <v>5. Mikroqarz bo‘yicha garov   - DJURAKULOVA S.A. ga mulk huquqi asosida tegishli avtotransport vositasi LACETTI , quyidagi tafsilotlarga muvofiq:</v>
      </c>
      <c r="B26" s="283"/>
      <c r="C26" s="283"/>
      <c r="D26" s="283"/>
      <c r="E26" s="283"/>
    </row>
    <row r="27" spans="1:5" ht="40.5" customHeight="1">
      <c r="A27" s="12" t="str">
        <f>dalolatnoma!A29</f>
        <v>Nomi</v>
      </c>
      <c r="B27" s="12" t="str">
        <f>dalolatnoma!B29</f>
        <v>Kuzov turi  va kuzov raqami*</v>
      </c>
      <c r="C27" s="12" t="str">
        <f>dalolatnoma!C29</f>
        <v>Dvigatel va shassi raqami*</v>
      </c>
      <c r="D27" s="12" t="str">
        <f>dalolatnoma!D29</f>
        <v>Ishlab chiqarilgan yili va rangi*</v>
      </c>
      <c r="E27" s="12" t="str">
        <f>dalolatnoma!E29</f>
        <v>Kelishilgan garov qiymati, so'm</v>
      </c>
    </row>
    <row r="28" spans="1:5" ht="84" customHeight="1">
      <c r="A28" s="12" t="str">
        <f>dalolatnoma!A30</f>
        <v>LACETTI</v>
      </c>
      <c r="B28" s="12" t="str">
        <f>dalolatnoma!B30</f>
        <v>kuzov turi - YENGIL SEDAN, kuzov raqami XWB5M31BDBA256320 TASH KUR GENTRA</v>
      </c>
      <c r="C28" s="12" t="str">
        <f>dalolatnoma!C30</f>
        <v>dvigatel raqami 2132251, shassi raqami - RAKAMSIZ</v>
      </c>
      <c r="D28" s="12" t="str">
        <f>dalolatnoma!D30</f>
        <v>rangi -  QORA CHERNIY, ishlab chiqarilgan yili - 2011</v>
      </c>
      <c r="E28" s="12" t="str">
        <f>dalolatnoma!E30</f>
        <v>56 000 000,00 
(ellik olti million so'm)</v>
      </c>
    </row>
    <row r="29" spans="1:5" ht="20.25" customHeight="1">
      <c r="A29" s="283" t="str">
        <f>dalolatnoma!A22:E22</f>
        <v>-* avtotransport egasi: DJURAKULOVA S.A.</v>
      </c>
      <c r="B29" s="283"/>
      <c r="C29" s="283"/>
      <c r="D29" s="283"/>
      <c r="E29" s="283"/>
    </row>
    <row r="30" spans="1:5" ht="20.25" customHeight="1">
      <c r="A30" s="283" t="str">
        <f>dalolatnoma!A23:E23</f>
        <v>-* texnik pasport: AAG 4271140 05.07.2024y.</v>
      </c>
      <c r="B30" s="283"/>
      <c r="C30" s="283"/>
      <c r="D30" s="283"/>
      <c r="E30" s="283"/>
    </row>
    <row r="31" spans="1:5" ht="28.5" customHeight="1">
      <c r="A31" s="283" t="str">
        <f>dalolatnoma!A24:E24</f>
        <v>-* roʻyxatdan oʻtgan manzili/garaj manzili: SAMARQAND VILOYATI SAMARQAND SHAHAR BOG'ISARIY MAHALLASI SPITAMENSHOX KO'CHASI 252 UY</v>
      </c>
      <c r="B31" s="283"/>
      <c r="C31" s="283"/>
      <c r="D31" s="283"/>
      <c r="E31" s="283"/>
    </row>
    <row r="32" spans="1:5" ht="25.5" customHeight="1">
      <c r="A32" s="283" t="str">
        <f>dalolatnoma!A25:E25</f>
        <v>-* davlat raqami: 30O259OA</v>
      </c>
      <c r="B32" s="283"/>
      <c r="C32" s="283"/>
      <c r="D32" s="283"/>
      <c r="E32" s="283"/>
    </row>
    <row r="33" spans="1:5" ht="12" customHeight="1">
      <c r="A33" s="159"/>
      <c r="B33" s="159"/>
      <c r="C33" s="159"/>
      <c r="D33" s="159"/>
      <c r="E33" s="159"/>
    </row>
    <row r="34" spans="1:5" ht="20.25" customHeight="1">
      <c r="A34" s="283" t="str">
        <f>"6. Boshqa shartlar – "&amp;IF(malumot!B111=malumot!B112,"avtotransport vositasi",IF(malumot!B111=malumot!C112,"ko'chmas mulk",0))&amp;" shaklida garov ta'minlangandan keyin "&amp;malumot!B65&amp;" berish."</f>
        <v>6. Boshqa shartlar – 0 shaklida garov ta'minlangandan keyin mikroqarz berish.</v>
      </c>
      <c r="B34" s="283"/>
      <c r="C34" s="283"/>
      <c r="D34" s="283"/>
      <c r="E34" s="283"/>
    </row>
    <row r="35" spans="1:5">
      <c r="A35" s="14"/>
      <c r="B35" s="14"/>
      <c r="C35" s="14"/>
      <c r="D35" s="14"/>
      <c r="E35" s="14"/>
    </row>
    <row r="36" spans="1:5">
      <c r="A36" s="14"/>
      <c r="B36" s="14"/>
      <c r="C36" s="14"/>
      <c r="D36" s="14"/>
      <c r="E36" s="14"/>
    </row>
    <row r="37" spans="1:5">
      <c r="A37" s="14"/>
      <c r="B37" s="14"/>
      <c r="C37" s="14"/>
      <c r="D37" s="14"/>
      <c r="E37" s="14"/>
    </row>
    <row r="39" spans="1:5" ht="29.25" customHeight="1">
      <c r="A39" s="286" t="s">
        <v>256</v>
      </c>
      <c r="B39" s="286"/>
      <c r="C39" s="286"/>
      <c r="D39" s="286"/>
      <c r="E39" s="286"/>
    </row>
    <row r="40" spans="1:5">
      <c r="A40" s="195"/>
      <c r="B40" s="195"/>
      <c r="C40" s="195"/>
      <c r="D40" s="195"/>
      <c r="E40" s="195"/>
    </row>
    <row r="41" spans="1:5" ht="37.5" customHeight="1">
      <c r="A41" s="287" t="str">
        <f>malumot!B155&amp;" ijrochi direktori"</f>
        <v>«CLEVER MIKROMOLIYA TASHKILOTI» MChJ ijrochi direktori</v>
      </c>
      <c r="B41" s="287"/>
      <c r="C41" s="191"/>
      <c r="D41" s="192" t="s">
        <v>385</v>
      </c>
      <c r="E41" s="170"/>
    </row>
    <row r="42" spans="1:5">
      <c r="A42" s="194"/>
      <c r="B42" s="194"/>
      <c r="C42" s="191"/>
      <c r="D42" s="192"/>
      <c r="E42" s="170"/>
    </row>
    <row r="43" spans="1:5">
      <c r="A43" s="194"/>
      <c r="B43" s="194"/>
      <c r="C43" s="191"/>
      <c r="D43" s="192"/>
      <c r="E43" s="170"/>
    </row>
    <row r="44" spans="1:5">
      <c r="A44" s="160"/>
      <c r="B44" s="191"/>
      <c r="C44" s="191"/>
      <c r="D44" s="193"/>
      <c r="E44" s="171"/>
    </row>
    <row r="45" spans="1:5" ht="29.25">
      <c r="A45" s="160" t="str">
        <f>malumot!A167</f>
        <v>Kreditlash bo’limi boshlig’i</v>
      </c>
      <c r="D45" s="194" t="str">
        <f>malumot!B167</f>
        <v>B. Mominov</v>
      </c>
      <c r="E45" s="172"/>
    </row>
    <row r="46" spans="1:5">
      <c r="A46" s="31"/>
      <c r="D46" s="194"/>
      <c r="E46" s="172"/>
    </row>
    <row r="47" spans="1:5">
      <c r="A47" s="31"/>
      <c r="D47" s="194"/>
      <c r="E47" s="172"/>
    </row>
    <row r="49" spans="1:4" ht="29.25">
      <c r="A49" s="160" t="str">
        <f>malumot!A168</f>
        <v>Monitoring bo’limi boshlig’i</v>
      </c>
      <c r="D49" s="160" t="str">
        <f>malumot!B168</f>
        <v>J.Karimov</v>
      </c>
    </row>
  </sheetData>
  <mergeCells count="23">
    <mergeCell ref="A41:B41"/>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9:E39"/>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76"/>
  <sheetViews>
    <sheetView topLeftCell="A15" zoomScale="70" zoomScaleNormal="70" zoomScaleSheetLayoutView="70" workbookViewId="0">
      <selection activeCell="D56" sqref="D56:F56"/>
    </sheetView>
  </sheetViews>
  <sheetFormatPr defaultColWidth="9.140625" defaultRowHeight="15" outlineLevelCol="1"/>
  <cols>
    <col min="1" max="1" width="9.140625" style="70"/>
    <col min="2" max="2" width="12.28515625" style="70" customWidth="1"/>
    <col min="3" max="3" width="16.5703125" style="70" customWidth="1"/>
    <col min="4" max="4" width="16.7109375" style="70" customWidth="1"/>
    <col min="5" max="5" width="16.5703125" style="70" customWidth="1"/>
    <col min="6" max="6" width="20.85546875" style="70" customWidth="1"/>
    <col min="7" max="7" width="10.140625" style="70" customWidth="1" outlineLevel="1"/>
    <col min="8" max="8" width="19.140625" style="70" customWidth="1"/>
    <col min="9" max="9" width="21.42578125" style="70" customWidth="1"/>
    <col min="10" max="10" width="20.85546875" style="70" customWidth="1"/>
    <col min="11" max="11" width="20.140625" style="70" customWidth="1"/>
    <col min="12" max="12" width="21.42578125" style="70" customWidth="1"/>
    <col min="13" max="13" width="25.42578125" style="70" customWidth="1"/>
    <col min="14" max="14" width="18.28515625" style="70" customWidth="1"/>
    <col min="15" max="17" width="9.140625" style="10"/>
    <col min="18" max="18" width="24.42578125" style="10" customWidth="1"/>
    <col min="19" max="16384" width="9.140625" style="10"/>
  </cols>
  <sheetData>
    <row r="1" spans="1:22">
      <c r="A1" s="69"/>
      <c r="B1" s="69"/>
      <c r="C1" s="69"/>
      <c r="D1" s="69"/>
      <c r="E1" s="300" t="s">
        <v>15</v>
      </c>
      <c r="F1" s="300"/>
    </row>
    <row r="2" spans="1:22">
      <c r="A2" s="69"/>
      <c r="B2" s="69"/>
      <c r="C2" s="69"/>
      <c r="D2" s="69"/>
      <c r="E2" s="69"/>
      <c r="F2" s="71" t="str">
        <f>"к договору микрозайма "&amp;malumot!B74&amp;""</f>
        <v>к договору микрозайма 10 aprel 2025 y.dan №745-SM</v>
      </c>
    </row>
    <row r="3" spans="1:22" ht="19.5" customHeight="1">
      <c r="A3" s="69"/>
      <c r="B3" s="69"/>
      <c r="C3" s="69"/>
      <c r="D3" s="69"/>
      <c r="E3" s="69"/>
      <c r="F3" s="69"/>
      <c r="H3" s="72"/>
      <c r="I3" s="72"/>
      <c r="J3" s="73"/>
      <c r="K3" s="73"/>
    </row>
    <row r="4" spans="1:22" ht="19.5" customHeight="1">
      <c r="A4" s="301" t="s">
        <v>16</v>
      </c>
      <c r="B4" s="301"/>
      <c r="C4" s="301"/>
      <c r="D4" s="301"/>
      <c r="E4" s="301"/>
      <c r="F4" s="301"/>
      <c r="H4" s="72"/>
      <c r="I4" s="72"/>
      <c r="J4" s="72"/>
      <c r="K4" s="72"/>
    </row>
    <row r="5" spans="1:22" ht="19.5" customHeight="1">
      <c r="L5" s="70">
        <f>malumot!B81</f>
        <v>24</v>
      </c>
    </row>
    <row r="6" spans="1:22">
      <c r="A6" s="302" t="s">
        <v>14</v>
      </c>
      <c r="B6" s="303" t="s">
        <v>8</v>
      </c>
      <c r="C6" s="303" t="s">
        <v>9</v>
      </c>
      <c r="D6" s="304" t="s">
        <v>10</v>
      </c>
      <c r="E6" s="304"/>
      <c r="F6" s="304"/>
    </row>
    <row r="7" spans="1:22" s="11" customFormat="1">
      <c r="A7" s="302"/>
      <c r="B7" s="303"/>
      <c r="C7" s="303"/>
      <c r="D7" s="74" t="s">
        <v>11</v>
      </c>
      <c r="E7" s="74" t="s">
        <v>12</v>
      </c>
      <c r="F7" s="74" t="s">
        <v>13</v>
      </c>
      <c r="G7" s="75"/>
      <c r="H7" s="75"/>
      <c r="I7" s="75"/>
      <c r="J7" s="75"/>
      <c r="K7" s="75"/>
      <c r="L7" s="75"/>
      <c r="M7" s="75"/>
      <c r="N7" s="75"/>
    </row>
    <row r="8" spans="1:22">
      <c r="A8" s="76">
        <v>1</v>
      </c>
      <c r="B8" s="77">
        <f>malumot!B79</f>
        <v>45792</v>
      </c>
      <c r="C8" s="44">
        <f>malumot!B75</f>
        <v>40000000</v>
      </c>
      <c r="D8" s="44">
        <f>IF(IF(C8=0,L8,IF(C8&gt;1,I8))="",0,(IF(C8=0,L8,IF(C8&gt;1,I8))))</f>
        <v>1666666.67</v>
      </c>
      <c r="E8" s="44">
        <f>IF(C8=0,N6,IF(C8&gt;1,L8))</f>
        <v>2109588.9500000002</v>
      </c>
      <c r="F8" s="44">
        <f>IF(C8=0,O6,IF(C8&gt;1,M8))</f>
        <v>3776255.62</v>
      </c>
      <c r="G8" s="90">
        <f>B8-malumot!B67</f>
        <v>35</v>
      </c>
      <c r="H8" s="70">
        <f>DATE(YEAR(B8),12,31)-DATE(YEAR(B8),1,1)+1</f>
        <v>365</v>
      </c>
      <c r="I8" s="78">
        <f>IF(malumot!B83=0,ROUND(C8/L5,2),"")</f>
        <v>1666666.67</v>
      </c>
      <c r="J8" s="78"/>
      <c r="K8" s="78"/>
      <c r="L8" s="72">
        <f>ROUND(C8*malumot!$B$84/H8,2)*G8</f>
        <v>2109588.9500000002</v>
      </c>
      <c r="M8" s="72">
        <f t="shared" ref="M8:M31" si="0">D8+E8</f>
        <v>3776255.62</v>
      </c>
      <c r="N8" s="72"/>
      <c r="O8" s="87" t="str">
        <f>TEXT(B8,"ддд")</f>
        <v>Чт</v>
      </c>
      <c r="P8" s="89">
        <f>IF(O8=$U$8,2,IF(O8=$V$8,1,0))</f>
        <v>0</v>
      </c>
      <c r="Q8" s="89">
        <f>DAY(malumot!$B$78)+P8</f>
        <v>15</v>
      </c>
      <c r="R8" s="84"/>
      <c r="S8" s="85" t="s">
        <v>29</v>
      </c>
      <c r="T8" s="85" t="s">
        <v>30</v>
      </c>
      <c r="U8" s="85" t="s">
        <v>31</v>
      </c>
      <c r="V8" s="86" t="s">
        <v>32</v>
      </c>
    </row>
    <row r="9" spans="1:22">
      <c r="A9" s="76">
        <v>2</v>
      </c>
      <c r="B9" s="77">
        <f>IF(A9&lt;=malumot!$B$81,DATE(YEAR(R9),MONTH(R9),DAY(IF(A9=malumot!$B$81,malumot!$B$67,IF(A9&lt;malumot!$B$81,(Q9),IF(A9&gt;malumot!$B$81,$H$56,0))))))</f>
        <v>45824</v>
      </c>
      <c r="C9" s="44">
        <f t="shared" ref="C9:C30" si="1">C8-D8</f>
        <v>38333333.329999998</v>
      </c>
      <c r="D9" s="44">
        <f t="shared" ref="D9:D30" si="2">IF(C9=0,L9,IF(C9&gt;1,I9))</f>
        <v>1666666.67</v>
      </c>
      <c r="E9" s="44">
        <f t="shared" ref="E9:E30" si="3">IF(C9=0,N8,IF(C9&gt;1,L9))</f>
        <v>1848401.9199999999</v>
      </c>
      <c r="F9" s="44">
        <f t="shared" ref="F9:F30" si="4">IF(C9=0,N8,IF(C9&gt;1,M9))</f>
        <v>3515068.59</v>
      </c>
      <c r="G9" s="70">
        <f>B9-B8</f>
        <v>32</v>
      </c>
      <c r="H9" s="70">
        <f t="shared" ref="H9:H31" si="5">DATE(YEAR(B9),12,31)-DATE(YEAR(B9),1,1)+1</f>
        <v>365</v>
      </c>
      <c r="I9" s="78">
        <f>IF(I8="",ROUND(C8/(L5-1),2),I8)</f>
        <v>1666666.67</v>
      </c>
      <c r="J9" s="78"/>
      <c r="K9" s="78"/>
      <c r="L9" s="72">
        <f>ROUND(C9*malumot!$B$84/H9,2)*G9</f>
        <v>1848401.9199999999</v>
      </c>
      <c r="M9" s="72">
        <f t="shared" si="0"/>
        <v>3515068.59</v>
      </c>
      <c r="N9" s="72"/>
      <c r="O9" s="87" t="str">
        <f>TEXT(R9,"ддд")</f>
        <v>Вс</v>
      </c>
      <c r="P9" s="89">
        <f t="shared" ref="P9:P31" si="6">IF(O9=$U$8,2,IF(O9=$V$8,1,0))</f>
        <v>1</v>
      </c>
      <c r="Q9" s="89">
        <f>DAY(malumot!$B$78)+P9</f>
        <v>16</v>
      </c>
      <c r="R9" s="84">
        <f>IF(A9&lt;=malumot!$B$81,DATE(YEAR($B$8),MONTH($B$8)+A8,DAY(malumot!$B$78)),0)</f>
        <v>45823</v>
      </c>
      <c r="S9" s="70"/>
      <c r="T9" s="70"/>
      <c r="U9" s="70"/>
      <c r="V9" s="70"/>
    </row>
    <row r="10" spans="1:22">
      <c r="A10" s="76">
        <v>3</v>
      </c>
      <c r="B10" s="77">
        <f>IF(A10&lt;=malumot!$B$81,DATE(YEAR(R10),MONTH(R10),DAY(IF(A10=malumot!$B$81,malumot!$B$67,IF(A10&lt;malumot!$B$81,(Q10),IF(A10&gt;malumot!$B$81,$H$56,0))))))</f>
        <v>45853</v>
      </c>
      <c r="C10" s="44">
        <f t="shared" si="1"/>
        <v>36666666.659999996</v>
      </c>
      <c r="D10" s="44">
        <f t="shared" si="2"/>
        <v>1666666.67</v>
      </c>
      <c r="E10" s="44">
        <f t="shared" si="3"/>
        <v>1602283.06</v>
      </c>
      <c r="F10" s="44">
        <f t="shared" si="4"/>
        <v>3268949.73</v>
      </c>
      <c r="G10" s="70">
        <f t="shared" ref="G10:G31" si="7">B10-B9</f>
        <v>29</v>
      </c>
      <c r="H10" s="70">
        <f t="shared" si="5"/>
        <v>365</v>
      </c>
      <c r="I10" s="78">
        <f>I9</f>
        <v>1666666.67</v>
      </c>
      <c r="J10" s="78"/>
      <c r="K10" s="78"/>
      <c r="L10" s="72">
        <f>ROUND(C10*malumot!$B$84/H10,2)*G10</f>
        <v>1602283.06</v>
      </c>
      <c r="M10" s="72">
        <f t="shared" si="0"/>
        <v>3268949.73</v>
      </c>
      <c r="N10" s="72"/>
      <c r="O10" s="87" t="str">
        <f t="shared" ref="O10:O31" si="8">TEXT(R10,"ддд")</f>
        <v>Вт</v>
      </c>
      <c r="P10" s="89">
        <f t="shared" si="6"/>
        <v>0</v>
      </c>
      <c r="Q10" s="89">
        <f>DAY(malumot!$B$78)+P10</f>
        <v>15</v>
      </c>
      <c r="R10" s="84">
        <f>IF(A10&lt;=malumot!$B$81,DATE(YEAR($B$8),MONTH($B$8)+A9,DAY(malumot!$B$78)),0)</f>
        <v>45853</v>
      </c>
      <c r="S10" s="70"/>
      <c r="T10" s="70"/>
      <c r="U10" s="70"/>
      <c r="V10" s="70"/>
    </row>
    <row r="11" spans="1:22">
      <c r="A11" s="76">
        <v>4</v>
      </c>
      <c r="B11" s="77">
        <f>IF(A11&lt;=malumot!$B$81,DATE(YEAR(R11),MONTH(R11),DAY(IF(A11=malumot!$B$81,malumot!$B$67,IF(A11&lt;malumot!$B$81,(Q11),IF(A11&gt;malumot!$B$81,$H$56,0))))))</f>
        <v>45884</v>
      </c>
      <c r="C11" s="44">
        <f t="shared" si="1"/>
        <v>34999999.989999995</v>
      </c>
      <c r="D11" s="44">
        <f t="shared" si="2"/>
        <v>1666666.67</v>
      </c>
      <c r="E11" s="44">
        <f t="shared" si="3"/>
        <v>1634931.6300000001</v>
      </c>
      <c r="F11" s="44">
        <f t="shared" si="4"/>
        <v>3301598.3</v>
      </c>
      <c r="G11" s="70">
        <f t="shared" si="7"/>
        <v>31</v>
      </c>
      <c r="H11" s="70">
        <f t="shared" si="5"/>
        <v>365</v>
      </c>
      <c r="I11" s="78">
        <f>I10</f>
        <v>1666666.67</v>
      </c>
      <c r="J11" s="78"/>
      <c r="K11" s="78"/>
      <c r="L11" s="72">
        <f>ROUND(C11*malumot!$B$84/H11,2)*G11</f>
        <v>1634931.6300000001</v>
      </c>
      <c r="M11" s="72">
        <f t="shared" si="0"/>
        <v>3301598.3</v>
      </c>
      <c r="N11" s="72"/>
      <c r="O11" s="87" t="str">
        <f t="shared" si="8"/>
        <v>Пт</v>
      </c>
      <c r="P11" s="89">
        <f t="shared" si="6"/>
        <v>0</v>
      </c>
      <c r="Q11" s="89">
        <f>DAY(malumot!$B$78)+P11</f>
        <v>15</v>
      </c>
      <c r="R11" s="84">
        <f>IF(A11&lt;=malumot!$B$81,DATE(YEAR($B$8),MONTH($B$8)+A10,DAY(malumot!$B$78)),0)</f>
        <v>45884</v>
      </c>
      <c r="S11" s="70"/>
      <c r="T11" s="70"/>
      <c r="U11" s="70"/>
      <c r="V11" s="70"/>
    </row>
    <row r="12" spans="1:22">
      <c r="A12" s="76">
        <v>5</v>
      </c>
      <c r="B12" s="77">
        <f>IF(A12&lt;=malumot!$B$81,DATE(YEAR(R12),MONTH(R12),DAY(IF(A12=malumot!$B$81,malumot!$B$67,IF(A12&lt;malumot!$B$81,(Q12),IF(A12&gt;malumot!$B$81,$H$56,0))))))</f>
        <v>45915</v>
      </c>
      <c r="C12" s="44">
        <f t="shared" si="1"/>
        <v>33333333.319999993</v>
      </c>
      <c r="D12" s="44">
        <f t="shared" si="2"/>
        <v>1666666.67</v>
      </c>
      <c r="E12" s="44">
        <f t="shared" si="3"/>
        <v>1557077.6099999999</v>
      </c>
      <c r="F12" s="44">
        <f t="shared" si="4"/>
        <v>3223744.28</v>
      </c>
      <c r="G12" s="70">
        <f t="shared" si="7"/>
        <v>31</v>
      </c>
      <c r="H12" s="70">
        <f t="shared" si="5"/>
        <v>365</v>
      </c>
      <c r="I12" s="78">
        <f>I11</f>
        <v>1666666.67</v>
      </c>
      <c r="J12" s="78">
        <f>malumot!B75</f>
        <v>40000000</v>
      </c>
      <c r="K12" s="78"/>
      <c r="L12" s="72">
        <f>ROUND(C12*malumot!$B$84/H12,2)*G12</f>
        <v>1557077.6099999999</v>
      </c>
      <c r="M12" s="72">
        <f t="shared" si="0"/>
        <v>3223744.28</v>
      </c>
      <c r="N12" s="72"/>
      <c r="O12" s="87" t="str">
        <f t="shared" si="8"/>
        <v>Пн</v>
      </c>
      <c r="P12" s="89">
        <f t="shared" si="6"/>
        <v>0</v>
      </c>
      <c r="Q12" s="89">
        <f>DAY(malumot!$B$78)+P12</f>
        <v>15</v>
      </c>
      <c r="R12" s="84">
        <f>IF(A12&lt;=malumot!$B$81,DATE(YEAR($B$8),MONTH($B$8)+A11,DAY(malumot!$B$78)),0)</f>
        <v>45915</v>
      </c>
      <c r="S12" s="70"/>
      <c r="T12" s="70"/>
      <c r="U12" s="70"/>
      <c r="V12" s="70"/>
    </row>
    <row r="13" spans="1:22">
      <c r="A13" s="76">
        <v>6</v>
      </c>
      <c r="B13" s="77">
        <f>IF(A13&lt;=malumot!$B$81,DATE(YEAR(R13),MONTH(R13),DAY(IF(A13=malumot!$B$81,malumot!$B$67,IF(A13&lt;malumot!$B$81,(Q13),IF(A13&gt;malumot!$B$81,$H$56,0))))))</f>
        <v>45945</v>
      </c>
      <c r="C13" s="44">
        <f t="shared" si="1"/>
        <v>31666666.649999991</v>
      </c>
      <c r="D13" s="44">
        <f t="shared" si="2"/>
        <v>1666666.67</v>
      </c>
      <c r="E13" s="44">
        <f t="shared" si="3"/>
        <v>1431506.7</v>
      </c>
      <c r="F13" s="44">
        <f t="shared" si="4"/>
        <v>3098173.37</v>
      </c>
      <c r="G13" s="70">
        <f t="shared" si="7"/>
        <v>30</v>
      </c>
      <c r="H13" s="70">
        <f t="shared" si="5"/>
        <v>365</v>
      </c>
      <c r="I13" s="78">
        <f>IF(L5=H1,K13,IF(L5&gt;H1,I12))</f>
        <v>1666666.67</v>
      </c>
      <c r="J13" s="78">
        <f>SUM($I$8:I12)</f>
        <v>8333333.3499999996</v>
      </c>
      <c r="K13" s="78">
        <f>$J$12-J13</f>
        <v>31666666.649999999</v>
      </c>
      <c r="L13" s="72">
        <f>ROUND(C13*malumot!$B$84/H13,2)*G13</f>
        <v>1431506.7</v>
      </c>
      <c r="M13" s="72">
        <f t="shared" si="0"/>
        <v>3098173.37</v>
      </c>
      <c r="N13" s="72"/>
      <c r="O13" s="87" t="str">
        <f t="shared" si="8"/>
        <v>Ср</v>
      </c>
      <c r="P13" s="89">
        <f t="shared" si="6"/>
        <v>0</v>
      </c>
      <c r="Q13" s="89">
        <f>DAY(malumot!$B$78)+P13</f>
        <v>15</v>
      </c>
      <c r="R13" s="84">
        <f>IF(A13&lt;=malumot!$B$81,DATE(YEAR($B$8),MONTH($B$8)+A12,DAY(malumot!$B$78)),0)</f>
        <v>45945</v>
      </c>
      <c r="S13" s="70"/>
      <c r="T13" s="70"/>
      <c r="U13" s="70"/>
      <c r="V13" s="70"/>
    </row>
    <row r="14" spans="1:22">
      <c r="A14" s="76">
        <v>7</v>
      </c>
      <c r="B14" s="77">
        <f>IF(A14&lt;=malumot!$B$81,DATE(YEAR(R14),MONTH(R14),DAY(IF(A14=malumot!$B$81,malumot!$B$67,IF(A14&lt;malumot!$B$81,(Q14),IF(A14&gt;malumot!$B$81,$H$56,0))))))</f>
        <v>45978</v>
      </c>
      <c r="C14" s="44">
        <f t="shared" si="1"/>
        <v>29999999.979999989</v>
      </c>
      <c r="D14" s="44">
        <f t="shared" si="2"/>
        <v>1666666.67</v>
      </c>
      <c r="E14" s="44">
        <f t="shared" si="3"/>
        <v>1491780.84</v>
      </c>
      <c r="F14" s="44">
        <f t="shared" si="4"/>
        <v>3158447.51</v>
      </c>
      <c r="G14" s="70">
        <f t="shared" si="7"/>
        <v>33</v>
      </c>
      <c r="H14" s="70">
        <f t="shared" si="5"/>
        <v>365</v>
      </c>
      <c r="I14" s="78">
        <f>IF($L$5=A14,K14,IF($L$5&gt;A14,I13))</f>
        <v>1666666.67</v>
      </c>
      <c r="J14" s="78">
        <f>SUM($I$8:I13)</f>
        <v>10000000.02</v>
      </c>
      <c r="K14" s="78">
        <f t="shared" ref="K14:K31" si="9">$J$12-J14</f>
        <v>29999999.98</v>
      </c>
      <c r="L14" s="72">
        <f>ROUND(C14*malumot!$B$84/H14,2)*G14</f>
        <v>1491780.84</v>
      </c>
      <c r="M14" s="72">
        <f t="shared" si="0"/>
        <v>3158447.51</v>
      </c>
      <c r="N14" s="72"/>
      <c r="O14" s="87" t="str">
        <f t="shared" si="8"/>
        <v>Сб</v>
      </c>
      <c r="P14" s="89">
        <f t="shared" si="6"/>
        <v>2</v>
      </c>
      <c r="Q14" s="89">
        <f>DAY(malumot!$B$78)+P14</f>
        <v>17</v>
      </c>
      <c r="R14" s="84">
        <f>IF(A14&lt;=malumot!$B$81,DATE(YEAR($B$8),MONTH($B$8)+A13,DAY(malumot!$B$78)),0)</f>
        <v>45976</v>
      </c>
      <c r="S14" s="70"/>
      <c r="T14" s="70"/>
      <c r="U14" s="70"/>
      <c r="V14" s="70"/>
    </row>
    <row r="15" spans="1:22">
      <c r="A15" s="76">
        <v>8</v>
      </c>
      <c r="B15" s="77">
        <f>IF(A15&lt;=malumot!$B$81,DATE(YEAR(R15),MONTH(R15),DAY(IF(A15=malumot!$B$81,malumot!$B$67,IF(A15&lt;malumot!$B$81,(Q15),IF(A15&gt;malumot!$B$81,$H$56,0))))))</f>
        <v>46006</v>
      </c>
      <c r="C15" s="44">
        <f t="shared" si="1"/>
        <v>28333333.309999987</v>
      </c>
      <c r="D15" s="44">
        <f t="shared" si="2"/>
        <v>1666666.67</v>
      </c>
      <c r="E15" s="44">
        <f t="shared" si="3"/>
        <v>1195433.68</v>
      </c>
      <c r="F15" s="44">
        <f t="shared" si="4"/>
        <v>2862100.3499999996</v>
      </c>
      <c r="G15" s="70">
        <f t="shared" si="7"/>
        <v>28</v>
      </c>
      <c r="H15" s="70">
        <f t="shared" si="5"/>
        <v>365</v>
      </c>
      <c r="I15" s="78">
        <f t="shared" ref="I15:I31" si="10">IF($L$5=A15,K15,IF($L$5&gt;A15,I14))</f>
        <v>1666666.67</v>
      </c>
      <c r="J15" s="78">
        <f>SUM($I$8:I14)</f>
        <v>11666666.689999999</v>
      </c>
      <c r="K15" s="78">
        <f t="shared" si="9"/>
        <v>28333333.310000002</v>
      </c>
      <c r="L15" s="72">
        <f>ROUND(C15*malumot!$B$84/H15,2)*G15</f>
        <v>1195433.68</v>
      </c>
      <c r="M15" s="72">
        <f t="shared" si="0"/>
        <v>2862100.3499999996</v>
      </c>
      <c r="N15" s="72"/>
      <c r="O15" s="87" t="str">
        <f t="shared" si="8"/>
        <v>Пн</v>
      </c>
      <c r="P15" s="89">
        <f t="shared" si="6"/>
        <v>0</v>
      </c>
      <c r="Q15" s="89">
        <f>DAY(malumot!$B$78)+P15</f>
        <v>15</v>
      </c>
      <c r="R15" s="84">
        <f>IF(A15&lt;=malumot!$B$81,DATE(YEAR($B$8),MONTH($B$8)+A14,DAY(malumot!$B$78)),0)</f>
        <v>46006</v>
      </c>
      <c r="S15" s="70"/>
      <c r="T15" s="70"/>
      <c r="U15" s="70"/>
      <c r="V15" s="70"/>
    </row>
    <row r="16" spans="1:22">
      <c r="A16" s="76">
        <v>9</v>
      </c>
      <c r="B16" s="77">
        <f>IF(A16&lt;=malumot!$B$81,DATE(YEAR(R16),MONTH(R16),DAY(IF(A16=malumot!$B$81,malumot!$B$67,IF(A16&lt;malumot!$B$81,(Q16),IF(A16&gt;malumot!$B$81,$H$56,0))))))</f>
        <v>46037</v>
      </c>
      <c r="C16" s="44">
        <f t="shared" si="1"/>
        <v>26666666.639999986</v>
      </c>
      <c r="D16" s="44">
        <f t="shared" si="2"/>
        <v>1666666.67</v>
      </c>
      <c r="E16" s="44">
        <f t="shared" si="3"/>
        <v>1245662.1500000001</v>
      </c>
      <c r="F16" s="44">
        <f t="shared" si="4"/>
        <v>2912328.8200000003</v>
      </c>
      <c r="G16" s="70">
        <f t="shared" si="7"/>
        <v>31</v>
      </c>
      <c r="H16" s="70">
        <f t="shared" si="5"/>
        <v>365</v>
      </c>
      <c r="I16" s="78">
        <f t="shared" si="10"/>
        <v>1666666.67</v>
      </c>
      <c r="J16" s="78">
        <f>SUM($I$8:I15)</f>
        <v>13333333.359999999</v>
      </c>
      <c r="K16" s="78">
        <f t="shared" si="9"/>
        <v>26666666.640000001</v>
      </c>
      <c r="L16" s="72">
        <f>ROUND(C16*malumot!$B$84/H16,2)*G16</f>
        <v>1245662.1500000001</v>
      </c>
      <c r="M16" s="72">
        <f t="shared" si="0"/>
        <v>2912328.8200000003</v>
      </c>
      <c r="N16" s="72"/>
      <c r="O16" s="87" t="str">
        <f t="shared" si="8"/>
        <v>Чт</v>
      </c>
      <c r="P16" s="89">
        <f t="shared" si="6"/>
        <v>0</v>
      </c>
      <c r="Q16" s="89">
        <f>DAY(malumot!$B$78)+P16</f>
        <v>15</v>
      </c>
      <c r="R16" s="84">
        <f>IF(A16&lt;=malumot!$B$81,DATE(YEAR($B$8),MONTH($B$8)+A15,DAY(malumot!$B$78)),0)</f>
        <v>46037</v>
      </c>
      <c r="S16" s="70"/>
      <c r="T16" s="70"/>
      <c r="U16" s="70"/>
      <c r="V16" s="70"/>
    </row>
    <row r="17" spans="1:22">
      <c r="A17" s="76">
        <v>10</v>
      </c>
      <c r="B17" s="77">
        <f>IF(A17&lt;=malumot!$B$81,DATE(YEAR(R17),MONTH(R17),DAY(IF(A17=malumot!$B$81,malumot!$B$67,IF(A17&lt;malumot!$B$81,(Q17),IF(A17&gt;malumot!$B$81,$H$56,0))))))</f>
        <v>46069</v>
      </c>
      <c r="C17" s="44">
        <f t="shared" si="1"/>
        <v>24999999.969999984</v>
      </c>
      <c r="D17" s="44">
        <f t="shared" si="2"/>
        <v>1666666.67</v>
      </c>
      <c r="E17" s="44">
        <f t="shared" si="3"/>
        <v>1205479.3600000001</v>
      </c>
      <c r="F17" s="44">
        <f t="shared" si="4"/>
        <v>2872146.0300000003</v>
      </c>
      <c r="G17" s="70">
        <f t="shared" si="7"/>
        <v>32</v>
      </c>
      <c r="H17" s="70">
        <f t="shared" si="5"/>
        <v>365</v>
      </c>
      <c r="I17" s="78">
        <f t="shared" si="10"/>
        <v>1666666.67</v>
      </c>
      <c r="J17" s="78">
        <f>SUM($I$8:I16)</f>
        <v>15000000.029999999</v>
      </c>
      <c r="K17" s="78">
        <f>$J$12-J17</f>
        <v>24999999.969999999</v>
      </c>
      <c r="L17" s="72">
        <f>ROUND(C17*malumot!$B$84/H17,2)*G17</f>
        <v>1205479.3600000001</v>
      </c>
      <c r="M17" s="72">
        <f t="shared" si="0"/>
        <v>2872146.0300000003</v>
      </c>
      <c r="N17" s="72"/>
      <c r="O17" s="87" t="str">
        <f t="shared" si="8"/>
        <v>Вс</v>
      </c>
      <c r="P17" s="89">
        <f t="shared" si="6"/>
        <v>1</v>
      </c>
      <c r="Q17" s="89">
        <f>DAY(malumot!$B$78)+P17</f>
        <v>16</v>
      </c>
      <c r="R17" s="84">
        <f>IF(A17&lt;=malumot!$B$81,DATE(YEAR($B$8),MONTH($B$8)+A16,DAY(malumot!$B$78)),0)</f>
        <v>46068</v>
      </c>
      <c r="S17" s="70"/>
      <c r="T17" s="70"/>
      <c r="U17" s="70"/>
      <c r="V17" s="70"/>
    </row>
    <row r="18" spans="1:22">
      <c r="A18" s="76">
        <v>11</v>
      </c>
      <c r="B18" s="77">
        <f>IF(A18&lt;=malumot!$B$81,DATE(YEAR(R18),MONTH(R18),DAY(IF(A18=malumot!$B$81,malumot!$B$67,IF(A18&lt;malumot!$B$81,(Q18),IF(A18&gt;malumot!$B$81,$H$56,0))))))</f>
        <v>46097</v>
      </c>
      <c r="C18" s="44">
        <f t="shared" si="1"/>
        <v>23333333.299999982</v>
      </c>
      <c r="D18" s="44">
        <f t="shared" si="2"/>
        <v>1666666.67</v>
      </c>
      <c r="E18" s="44">
        <f t="shared" si="3"/>
        <v>984474.96</v>
      </c>
      <c r="F18" s="44">
        <f t="shared" si="4"/>
        <v>2651141.63</v>
      </c>
      <c r="G18" s="70">
        <f t="shared" si="7"/>
        <v>28</v>
      </c>
      <c r="H18" s="70">
        <f t="shared" si="5"/>
        <v>365</v>
      </c>
      <c r="I18" s="78">
        <f t="shared" si="10"/>
        <v>1666666.67</v>
      </c>
      <c r="J18" s="78">
        <f>SUM($I$8:I17)</f>
        <v>16666666.699999999</v>
      </c>
      <c r="K18" s="78">
        <f t="shared" si="9"/>
        <v>23333333.300000001</v>
      </c>
      <c r="L18" s="72">
        <f>ROUND(C18*malumot!$B$84/H18,2)*G18</f>
        <v>984474.96</v>
      </c>
      <c r="M18" s="72">
        <f t="shared" si="0"/>
        <v>2651141.63</v>
      </c>
      <c r="N18" s="72"/>
      <c r="O18" s="87" t="str">
        <f t="shared" si="8"/>
        <v>Вс</v>
      </c>
      <c r="P18" s="89">
        <f t="shared" si="6"/>
        <v>1</v>
      </c>
      <c r="Q18" s="89">
        <f>DAY(malumot!$B$78)+P18</f>
        <v>16</v>
      </c>
      <c r="R18" s="84">
        <f>IF(A18&lt;=malumot!$B$81,DATE(YEAR($B$8),MONTH($B$8)+A17,DAY(malumot!$B$78)),0)</f>
        <v>46096</v>
      </c>
      <c r="S18" s="70"/>
      <c r="T18" s="70"/>
      <c r="U18" s="70"/>
      <c r="V18" s="70"/>
    </row>
    <row r="19" spans="1:22">
      <c r="A19" s="76">
        <v>12</v>
      </c>
      <c r="B19" s="77">
        <f>IF(A19&lt;=malumot!$B$81,DATE(YEAR(R19),MONTH(R19),DAY(IF(A19=malumot!$B$81,malumot!$B$67,IF(A19&lt;malumot!$B$81,(Q19),IF(A19&gt;malumot!$B$81,$H$56,0))))))</f>
        <v>46127</v>
      </c>
      <c r="C19" s="44">
        <f t="shared" si="1"/>
        <v>21666666.62999998</v>
      </c>
      <c r="D19" s="44">
        <f t="shared" si="2"/>
        <v>1666666.67</v>
      </c>
      <c r="E19" s="44">
        <f t="shared" si="3"/>
        <v>979452</v>
      </c>
      <c r="F19" s="44">
        <f t="shared" si="4"/>
        <v>2646118.67</v>
      </c>
      <c r="G19" s="70">
        <f t="shared" si="7"/>
        <v>30</v>
      </c>
      <c r="H19" s="70">
        <f t="shared" si="5"/>
        <v>365</v>
      </c>
      <c r="I19" s="78">
        <f t="shared" si="10"/>
        <v>1666666.67</v>
      </c>
      <c r="J19" s="78">
        <f>SUM($I$8:I18)</f>
        <v>18333333.369999997</v>
      </c>
      <c r="K19" s="78">
        <f t="shared" si="9"/>
        <v>21666666.630000003</v>
      </c>
      <c r="L19" s="72">
        <f>ROUND(C19*malumot!$B$84/H19,2)*G19</f>
        <v>979452</v>
      </c>
      <c r="M19" s="72">
        <f t="shared" si="0"/>
        <v>2646118.67</v>
      </c>
      <c r="N19" s="72"/>
      <c r="O19" s="87" t="str">
        <f t="shared" si="8"/>
        <v>Ср</v>
      </c>
      <c r="P19" s="89">
        <f t="shared" si="6"/>
        <v>0</v>
      </c>
      <c r="Q19" s="89">
        <f>DAY(malumot!$B$78)+P19</f>
        <v>15</v>
      </c>
      <c r="R19" s="84">
        <f>IF(A19&lt;=malumot!$B$81,DATE(YEAR($B$8),MONTH($B$8)+A18,DAY(malumot!$B$78)),0)</f>
        <v>46127</v>
      </c>
      <c r="S19" s="70"/>
      <c r="T19" s="70"/>
      <c r="U19" s="70"/>
      <c r="V19" s="70"/>
    </row>
    <row r="20" spans="1:22">
      <c r="A20" s="76">
        <v>13</v>
      </c>
      <c r="B20" s="77">
        <f>IF(A20&lt;=malumot!$B$81,DATE(YEAR(R20),MONTH(R20),DAY(IF(A20=malumot!$B$81,malumot!$B$67,IF(A20&lt;malumot!$B$81,(Q20),IF(A20&gt;malumot!$B$81,$H$56,0))))))</f>
        <v>46157</v>
      </c>
      <c r="C20" s="44">
        <f t="shared" si="1"/>
        <v>19999999.959999979</v>
      </c>
      <c r="D20" s="44">
        <f t="shared" si="2"/>
        <v>1666666.67</v>
      </c>
      <c r="E20" s="44">
        <f t="shared" si="3"/>
        <v>904109.70000000007</v>
      </c>
      <c r="F20" s="44">
        <f t="shared" si="4"/>
        <v>2570776.37</v>
      </c>
      <c r="G20" s="70">
        <f t="shared" si="7"/>
        <v>30</v>
      </c>
      <c r="H20" s="70">
        <f t="shared" si="5"/>
        <v>365</v>
      </c>
      <c r="I20" s="78">
        <f t="shared" si="10"/>
        <v>1666666.67</v>
      </c>
      <c r="J20" s="78">
        <f>SUM($I$8:I19)</f>
        <v>20000000.039999999</v>
      </c>
      <c r="K20" s="78">
        <f>$J$12-J20</f>
        <v>19999999.960000001</v>
      </c>
      <c r="L20" s="72">
        <f>ROUND(C20*malumot!$B$84/H20,2)*G20</f>
        <v>904109.70000000007</v>
      </c>
      <c r="M20" s="72">
        <f t="shared" si="0"/>
        <v>2570776.37</v>
      </c>
      <c r="N20" s="72"/>
      <c r="O20" s="87" t="str">
        <f t="shared" si="8"/>
        <v>Пт</v>
      </c>
      <c r="P20" s="89">
        <f t="shared" si="6"/>
        <v>0</v>
      </c>
      <c r="Q20" s="89">
        <f>DAY(malumot!$B$78)+P20</f>
        <v>15</v>
      </c>
      <c r="R20" s="84">
        <f>IF(A20&lt;=malumot!$B$81,DATE(YEAR($B$8),MONTH($B$8)+A19,DAY(malumot!$B$78)),0)</f>
        <v>46157</v>
      </c>
      <c r="S20" s="70"/>
      <c r="T20" s="70"/>
      <c r="U20" s="70"/>
      <c r="V20" s="70"/>
    </row>
    <row r="21" spans="1:22">
      <c r="A21" s="76">
        <v>14</v>
      </c>
      <c r="B21" s="77">
        <f>IF(A21&lt;=malumot!$B$81,DATE(YEAR(R21),MONTH(R21),DAY(IF(A21=malumot!$B$81,malumot!$B$67,IF(A21&lt;malumot!$B$81,(Q21),IF(A21&gt;malumot!$B$81,$H$56,0))))))</f>
        <v>46188</v>
      </c>
      <c r="C21" s="44">
        <f t="shared" si="1"/>
        <v>18333333.289999977</v>
      </c>
      <c r="D21" s="44">
        <f t="shared" si="2"/>
        <v>1666666.67</v>
      </c>
      <c r="E21" s="44">
        <f t="shared" si="3"/>
        <v>856392.67</v>
      </c>
      <c r="F21" s="44">
        <f t="shared" si="4"/>
        <v>2523059.34</v>
      </c>
      <c r="G21" s="70">
        <f t="shared" si="7"/>
        <v>31</v>
      </c>
      <c r="H21" s="70">
        <f t="shared" si="5"/>
        <v>365</v>
      </c>
      <c r="I21" s="78">
        <f t="shared" si="10"/>
        <v>1666666.67</v>
      </c>
      <c r="J21" s="78">
        <f>SUM($I$8:I20)</f>
        <v>21666666.710000001</v>
      </c>
      <c r="K21" s="78">
        <f t="shared" si="9"/>
        <v>18333333.289999999</v>
      </c>
      <c r="L21" s="72">
        <f>ROUND(C21*malumot!$B$84/H21,2)*G21</f>
        <v>856392.67</v>
      </c>
      <c r="M21" s="72">
        <f t="shared" si="0"/>
        <v>2523059.34</v>
      </c>
      <c r="N21" s="72"/>
      <c r="O21" s="87" t="str">
        <f t="shared" si="8"/>
        <v>Пн</v>
      </c>
      <c r="P21" s="89">
        <f t="shared" si="6"/>
        <v>0</v>
      </c>
      <c r="Q21" s="89">
        <f>DAY(malumot!$B$78)+P21</f>
        <v>15</v>
      </c>
      <c r="R21" s="84">
        <f>IF(A21&lt;=malumot!$B$81,DATE(YEAR($B$8),MONTH($B$8)+A20,DAY(malumot!$B$78)),0)</f>
        <v>46188</v>
      </c>
      <c r="S21" s="70"/>
      <c r="T21" s="70"/>
      <c r="U21" s="70"/>
      <c r="V21" s="70"/>
    </row>
    <row r="22" spans="1:22">
      <c r="A22" s="76">
        <v>15</v>
      </c>
      <c r="B22" s="77">
        <f>IF(A22&lt;=malumot!$B$81,DATE(YEAR(R22),MONTH(R22),DAY(IF(A22=malumot!$B$81,malumot!$B$67,IF(A22&lt;malumot!$B$81,(Q22),IF(A22&gt;malumot!$B$81,$H$56,0))))))</f>
        <v>46218</v>
      </c>
      <c r="C22" s="44">
        <f t="shared" si="1"/>
        <v>16666666.619999977</v>
      </c>
      <c r="D22" s="44">
        <f t="shared" si="2"/>
        <v>1666666.67</v>
      </c>
      <c r="E22" s="44">
        <f t="shared" si="3"/>
        <v>753424.8</v>
      </c>
      <c r="F22" s="44">
        <f t="shared" si="4"/>
        <v>2420091.4699999997</v>
      </c>
      <c r="G22" s="70">
        <f t="shared" si="7"/>
        <v>30</v>
      </c>
      <c r="H22" s="70">
        <f t="shared" si="5"/>
        <v>365</v>
      </c>
      <c r="I22" s="78">
        <f t="shared" si="10"/>
        <v>1666666.67</v>
      </c>
      <c r="J22" s="78">
        <f>SUM($I$8:I21)</f>
        <v>23333333.380000003</v>
      </c>
      <c r="K22" s="78">
        <f t="shared" si="9"/>
        <v>16666666.619999997</v>
      </c>
      <c r="L22" s="72">
        <f>ROUND(C22*malumot!$B$84/H22,2)*G22</f>
        <v>753424.8</v>
      </c>
      <c r="M22" s="72">
        <f t="shared" si="0"/>
        <v>2420091.4699999997</v>
      </c>
      <c r="N22" s="72"/>
      <c r="O22" s="87" t="str">
        <f t="shared" si="8"/>
        <v>Ср</v>
      </c>
      <c r="P22" s="89">
        <f t="shared" si="6"/>
        <v>0</v>
      </c>
      <c r="Q22" s="89">
        <f>DAY(malumot!$B$78)+P22</f>
        <v>15</v>
      </c>
      <c r="R22" s="84">
        <f>IF(A22&lt;=malumot!$B$81,DATE(YEAR($B$8),MONTH($B$8)+A21,DAY(malumot!$B$78)),0)</f>
        <v>46218</v>
      </c>
      <c r="S22" s="70"/>
      <c r="T22" s="70"/>
      <c r="U22" s="70"/>
      <c r="V22" s="70"/>
    </row>
    <row r="23" spans="1:22">
      <c r="A23" s="76">
        <v>16</v>
      </c>
      <c r="B23" s="77">
        <f>IF(A23&lt;=malumot!$B$81,DATE(YEAR(R23),MONTH(R23),DAY(IF(A23=malumot!$B$81,malumot!$B$67,IF(A23&lt;malumot!$B$81,(Q23),IF(A23&gt;malumot!$B$81,$H$56,0))))))</f>
        <v>46251</v>
      </c>
      <c r="C23" s="44">
        <f t="shared" si="1"/>
        <v>14999999.949999977</v>
      </c>
      <c r="D23" s="44">
        <f t="shared" si="2"/>
        <v>1666666.67</v>
      </c>
      <c r="E23" s="44">
        <f t="shared" si="3"/>
        <v>745890.42</v>
      </c>
      <c r="F23" s="44">
        <f t="shared" si="4"/>
        <v>2412557.09</v>
      </c>
      <c r="G23" s="70">
        <f t="shared" si="7"/>
        <v>33</v>
      </c>
      <c r="H23" s="70">
        <f t="shared" si="5"/>
        <v>365</v>
      </c>
      <c r="I23" s="78">
        <f t="shared" si="10"/>
        <v>1666666.67</v>
      </c>
      <c r="J23" s="78">
        <f>SUM($I$8:I22)</f>
        <v>25000000.050000004</v>
      </c>
      <c r="K23" s="78">
        <f t="shared" si="9"/>
        <v>14999999.949999996</v>
      </c>
      <c r="L23" s="72">
        <f>ROUND(C23*malumot!$B$84/H23,2)*G23</f>
        <v>745890.42</v>
      </c>
      <c r="M23" s="72">
        <f t="shared" si="0"/>
        <v>2412557.09</v>
      </c>
      <c r="N23" s="72"/>
      <c r="O23" s="87" t="str">
        <f t="shared" si="8"/>
        <v>Сб</v>
      </c>
      <c r="P23" s="89">
        <f t="shared" si="6"/>
        <v>2</v>
      </c>
      <c r="Q23" s="89">
        <f>DAY(malumot!$B$78)+P23</f>
        <v>17</v>
      </c>
      <c r="R23" s="84">
        <f>IF(A23&lt;=malumot!$B$81,DATE(YEAR($B$8),MONTH($B$8)+A22,DAY(malumot!$B$78)),0)</f>
        <v>46249</v>
      </c>
      <c r="S23" s="70"/>
      <c r="T23" s="70"/>
      <c r="U23" s="70"/>
      <c r="V23" s="70"/>
    </row>
    <row r="24" spans="1:22">
      <c r="A24" s="76">
        <v>17</v>
      </c>
      <c r="B24" s="77">
        <f>IF(A24&lt;=malumot!$B$81,DATE(YEAR(R24),MONTH(R24),DAY(IF(A24=malumot!$B$81,malumot!$B$67,IF(A24&lt;malumot!$B$81,(Q24),IF(A24&gt;malumot!$B$81,$H$56,0))))))</f>
        <v>46280</v>
      </c>
      <c r="C24" s="44">
        <f t="shared" si="1"/>
        <v>13333333.279999977</v>
      </c>
      <c r="D24" s="44">
        <f t="shared" si="2"/>
        <v>1666666.67</v>
      </c>
      <c r="E24" s="44">
        <f t="shared" si="3"/>
        <v>582648.28</v>
      </c>
      <c r="F24" s="44">
        <f t="shared" si="4"/>
        <v>2249314.9500000002</v>
      </c>
      <c r="G24" s="70">
        <f t="shared" si="7"/>
        <v>29</v>
      </c>
      <c r="H24" s="70">
        <f t="shared" si="5"/>
        <v>365</v>
      </c>
      <c r="I24" s="78">
        <f t="shared" si="10"/>
        <v>1666666.67</v>
      </c>
      <c r="J24" s="78">
        <f>SUM($I$8:I23)</f>
        <v>26666666.720000006</v>
      </c>
      <c r="K24" s="78">
        <f t="shared" si="9"/>
        <v>13333333.279999994</v>
      </c>
      <c r="L24" s="72">
        <f>ROUND(C24*malumot!$B$84/H24,2)*G24</f>
        <v>582648.28</v>
      </c>
      <c r="M24" s="72">
        <f t="shared" si="0"/>
        <v>2249314.9500000002</v>
      </c>
      <c r="N24" s="72"/>
      <c r="O24" s="87" t="str">
        <f t="shared" si="8"/>
        <v>Вт</v>
      </c>
      <c r="P24" s="89">
        <f t="shared" si="6"/>
        <v>0</v>
      </c>
      <c r="Q24" s="89">
        <f>DAY(malumot!$B$78)+P24</f>
        <v>15</v>
      </c>
      <c r="R24" s="84">
        <f>IF(A24&lt;=malumot!$B$81,DATE(YEAR($B$8),MONTH($B$8)+A23,DAY(malumot!$B$78)),0)</f>
        <v>46280</v>
      </c>
      <c r="S24" s="70"/>
      <c r="T24" s="70"/>
      <c r="U24" s="70"/>
      <c r="V24" s="70"/>
    </row>
    <row r="25" spans="1:22">
      <c r="A25" s="76">
        <v>18</v>
      </c>
      <c r="B25" s="77">
        <f>IF(A25&lt;=malumot!$B$81,DATE(YEAR(R25),MONTH(R25),DAY(IF(A25=malumot!$B$81,malumot!$B$67,IF(A25&lt;malumot!$B$81,(Q25),IF(A25&gt;malumot!$B$81,$H$56,0))))))</f>
        <v>46310</v>
      </c>
      <c r="C25" s="44">
        <f t="shared" si="1"/>
        <v>11666666.609999977</v>
      </c>
      <c r="D25" s="44">
        <f t="shared" si="2"/>
        <v>1666666.67</v>
      </c>
      <c r="E25" s="44">
        <f t="shared" si="3"/>
        <v>527397.30000000005</v>
      </c>
      <c r="F25" s="44">
        <f t="shared" si="4"/>
        <v>2194063.9699999997</v>
      </c>
      <c r="G25" s="70">
        <f t="shared" si="7"/>
        <v>30</v>
      </c>
      <c r="H25" s="70">
        <f t="shared" si="5"/>
        <v>365</v>
      </c>
      <c r="I25" s="78">
        <f t="shared" si="10"/>
        <v>1666666.67</v>
      </c>
      <c r="J25" s="78">
        <f>SUM($I$8:I24)</f>
        <v>28333333.390000008</v>
      </c>
      <c r="K25" s="78">
        <f t="shared" si="9"/>
        <v>11666666.609999992</v>
      </c>
      <c r="L25" s="72">
        <f>ROUND(C25*malumot!$B$84/H25,2)*G25</f>
        <v>527397.30000000005</v>
      </c>
      <c r="M25" s="72">
        <f t="shared" si="0"/>
        <v>2194063.9699999997</v>
      </c>
      <c r="N25" s="72"/>
      <c r="O25" s="87" t="str">
        <f t="shared" si="8"/>
        <v>Чт</v>
      </c>
      <c r="P25" s="89">
        <f t="shared" si="6"/>
        <v>0</v>
      </c>
      <c r="Q25" s="89">
        <f>DAY(malumot!$B$78)+P25</f>
        <v>15</v>
      </c>
      <c r="R25" s="84">
        <f>IF(A25&lt;=malumot!$B$81,DATE(YEAR($B$8),MONTH($B$8)+A24,DAY(malumot!$B$78)),0)</f>
        <v>46310</v>
      </c>
      <c r="S25" s="70"/>
      <c r="T25" s="70"/>
      <c r="U25" s="70"/>
      <c r="V25" s="70"/>
    </row>
    <row r="26" spans="1:22">
      <c r="A26" s="76">
        <v>19</v>
      </c>
      <c r="B26" s="77">
        <f>IF(A26&lt;=malumot!$B$81,DATE(YEAR(R26),MONTH(R26),DAY(IF(A26=malumot!$B$81,malumot!$B$67,IF(A26&lt;malumot!$B$81,(Q26),IF(A26&gt;malumot!$B$81,$H$56,0))))))</f>
        <v>46342</v>
      </c>
      <c r="C26" s="44">
        <f t="shared" si="1"/>
        <v>9999999.9399999771</v>
      </c>
      <c r="D26" s="44">
        <f t="shared" si="2"/>
        <v>1666666.67</v>
      </c>
      <c r="E26" s="44">
        <f t="shared" si="3"/>
        <v>482191.68</v>
      </c>
      <c r="F26" s="44">
        <f t="shared" si="4"/>
        <v>2148858.35</v>
      </c>
      <c r="G26" s="70">
        <f t="shared" si="7"/>
        <v>32</v>
      </c>
      <c r="H26" s="70">
        <f t="shared" si="5"/>
        <v>365</v>
      </c>
      <c r="I26" s="78">
        <f t="shared" si="10"/>
        <v>1666666.67</v>
      </c>
      <c r="J26" s="78">
        <f>SUM($I$8:I25)</f>
        <v>30000000.06000001</v>
      </c>
      <c r="K26" s="78">
        <f t="shared" si="9"/>
        <v>9999999.9399999902</v>
      </c>
      <c r="L26" s="72">
        <f>ROUND(C26*malumot!$B$84/H26,2)*G26</f>
        <v>482191.68</v>
      </c>
      <c r="M26" s="72">
        <f t="shared" si="0"/>
        <v>2148858.35</v>
      </c>
      <c r="N26" s="72"/>
      <c r="O26" s="87" t="str">
        <f t="shared" si="8"/>
        <v>Вс</v>
      </c>
      <c r="P26" s="89">
        <f t="shared" si="6"/>
        <v>1</v>
      </c>
      <c r="Q26" s="89">
        <f>DAY(malumot!$B$78)+P26</f>
        <v>16</v>
      </c>
      <c r="R26" s="84">
        <f>IF(A26&lt;=malumot!$B$81,DATE(YEAR($B$8),MONTH($B$8)+A25,DAY(malumot!$B$78)),0)</f>
        <v>46341</v>
      </c>
      <c r="S26" s="70"/>
      <c r="T26" s="70"/>
      <c r="U26" s="70"/>
      <c r="V26" s="70"/>
    </row>
    <row r="27" spans="1:22">
      <c r="A27" s="76">
        <v>20</v>
      </c>
      <c r="B27" s="77">
        <f>IF(A27&lt;=malumot!$B$81,DATE(YEAR(R27),MONTH(R27),DAY(IF(A27=malumot!$B$81,malumot!$B$67,IF(A27&lt;malumot!$B$81,(Q27),IF(A27&gt;malumot!$B$81,$H$56,0))))))</f>
        <v>46371</v>
      </c>
      <c r="C27" s="44">
        <f t="shared" si="1"/>
        <v>8333333.2699999772</v>
      </c>
      <c r="D27" s="44">
        <f t="shared" si="2"/>
        <v>1666666.67</v>
      </c>
      <c r="E27" s="44">
        <f t="shared" si="3"/>
        <v>364155.32</v>
      </c>
      <c r="F27" s="44">
        <f t="shared" si="4"/>
        <v>2030821.99</v>
      </c>
      <c r="G27" s="70">
        <f t="shared" si="7"/>
        <v>29</v>
      </c>
      <c r="H27" s="70">
        <f t="shared" si="5"/>
        <v>365</v>
      </c>
      <c r="I27" s="78">
        <f t="shared" si="10"/>
        <v>1666666.67</v>
      </c>
      <c r="J27" s="78">
        <f>SUM($I$8:I26)</f>
        <v>31666666.730000012</v>
      </c>
      <c r="K27" s="78">
        <f t="shared" si="9"/>
        <v>8333333.2699999884</v>
      </c>
      <c r="L27" s="72">
        <f>ROUND(C27*malumot!$B$84/H27,2)*G27</f>
        <v>364155.32</v>
      </c>
      <c r="M27" s="72">
        <f t="shared" si="0"/>
        <v>2030821.99</v>
      </c>
      <c r="N27" s="72"/>
      <c r="O27" s="87" t="str">
        <f t="shared" si="8"/>
        <v>Вт</v>
      </c>
      <c r="P27" s="89">
        <f t="shared" si="6"/>
        <v>0</v>
      </c>
      <c r="Q27" s="89">
        <f>DAY(malumot!$B$78)+P27</f>
        <v>15</v>
      </c>
      <c r="R27" s="84">
        <f>IF(A27&lt;=malumot!$B$81,DATE(YEAR($B$8),MONTH($B$8)+A26,DAY(malumot!$B$78)),0)</f>
        <v>46371</v>
      </c>
      <c r="S27" s="70"/>
      <c r="T27" s="70"/>
      <c r="U27" s="70"/>
      <c r="V27" s="70"/>
    </row>
    <row r="28" spans="1:22">
      <c r="A28" s="76">
        <v>21</v>
      </c>
      <c r="B28" s="77">
        <f>IF(A28&lt;=malumot!$B$81,DATE(YEAR(R28),MONTH(R28),DAY(IF(A28=malumot!$B$81,malumot!$B$67,IF(A28&lt;malumot!$B$81,(Q28),IF(A28&gt;malumot!$B$81,$H$56,0))))))</f>
        <v>46402</v>
      </c>
      <c r="C28" s="44">
        <f t="shared" si="1"/>
        <v>6666666.5999999773</v>
      </c>
      <c r="D28" s="44">
        <f t="shared" si="2"/>
        <v>1666666.67</v>
      </c>
      <c r="E28" s="44">
        <f t="shared" si="3"/>
        <v>311415.46000000002</v>
      </c>
      <c r="F28" s="44">
        <f t="shared" si="4"/>
        <v>1978082.13</v>
      </c>
      <c r="G28" s="70">
        <f t="shared" si="7"/>
        <v>31</v>
      </c>
      <c r="H28" s="70">
        <f t="shared" si="5"/>
        <v>365</v>
      </c>
      <c r="I28" s="78">
        <f t="shared" si="10"/>
        <v>1666666.67</v>
      </c>
      <c r="J28" s="78">
        <f>SUM($I$8:I27)</f>
        <v>33333333.400000013</v>
      </c>
      <c r="K28" s="78">
        <f t="shared" si="9"/>
        <v>6666666.5999999866</v>
      </c>
      <c r="L28" s="72">
        <f>ROUND(C28*malumot!$B$84/H28,2)*G28</f>
        <v>311415.46000000002</v>
      </c>
      <c r="M28" s="72">
        <f t="shared" si="0"/>
        <v>1978082.13</v>
      </c>
      <c r="N28" s="72"/>
      <c r="O28" s="87" t="str">
        <f t="shared" si="8"/>
        <v>Пт</v>
      </c>
      <c r="P28" s="89">
        <f t="shared" si="6"/>
        <v>0</v>
      </c>
      <c r="Q28" s="89">
        <f>DAY(malumot!$B$78)+P28</f>
        <v>15</v>
      </c>
      <c r="R28" s="84">
        <f>IF(A28&lt;=malumot!$B$81,DATE(YEAR($B$8),MONTH($B$8)+A27,DAY(malumot!$B$78)),0)</f>
        <v>46402</v>
      </c>
      <c r="S28" s="70"/>
      <c r="T28" s="70"/>
      <c r="U28" s="70"/>
      <c r="V28" s="70"/>
    </row>
    <row r="29" spans="1:22">
      <c r="A29" s="76">
        <v>22</v>
      </c>
      <c r="B29" s="77">
        <f>IF(A29&lt;=malumot!$B$81,DATE(YEAR(R29),MONTH(R29),DAY(IF(A29=malumot!$B$81,malumot!$B$67,IF(A29&lt;malumot!$B$81,(Q29),IF(A29&gt;malumot!$B$81,$H$56,0))))))</f>
        <v>46433</v>
      </c>
      <c r="C29" s="44">
        <f t="shared" si="1"/>
        <v>4999999.9299999774</v>
      </c>
      <c r="D29" s="44">
        <f t="shared" si="2"/>
        <v>1666666.67</v>
      </c>
      <c r="E29" s="44">
        <f t="shared" si="3"/>
        <v>233561.75</v>
      </c>
      <c r="F29" s="44">
        <f t="shared" si="4"/>
        <v>1900228.42</v>
      </c>
      <c r="G29" s="70">
        <f t="shared" si="7"/>
        <v>31</v>
      </c>
      <c r="H29" s="70">
        <f t="shared" si="5"/>
        <v>365</v>
      </c>
      <c r="I29" s="78">
        <f t="shared" si="10"/>
        <v>1666666.67</v>
      </c>
      <c r="J29" s="78">
        <f>SUM($I$8:I28)</f>
        <v>35000000.070000015</v>
      </c>
      <c r="K29" s="78">
        <f t="shared" si="9"/>
        <v>4999999.9299999848</v>
      </c>
      <c r="L29" s="72">
        <f>ROUND(C29*malumot!$B$84/H29,2)*G29</f>
        <v>233561.75</v>
      </c>
      <c r="M29" s="72">
        <f t="shared" si="0"/>
        <v>1900228.42</v>
      </c>
      <c r="N29" s="72"/>
      <c r="O29" s="87" t="str">
        <f t="shared" si="8"/>
        <v>Пн</v>
      </c>
      <c r="P29" s="89">
        <f t="shared" si="6"/>
        <v>0</v>
      </c>
      <c r="Q29" s="89">
        <f>DAY(malumot!$B$78)+P29</f>
        <v>15</v>
      </c>
      <c r="R29" s="84">
        <f>IF(A29&lt;=malumot!$B$81,DATE(YEAR($B$8),MONTH($B$8)+A28,DAY(malumot!$B$78)),0)</f>
        <v>46433</v>
      </c>
      <c r="S29" s="70"/>
      <c r="T29" s="70"/>
      <c r="U29" s="70"/>
      <c r="V29" s="70"/>
    </row>
    <row r="30" spans="1:22">
      <c r="A30" s="76">
        <v>23</v>
      </c>
      <c r="B30" s="77">
        <f>IF(A30&lt;=malumot!$B$81,DATE(YEAR(R30),MONTH(R30),DAY(IF(A30=malumot!$B$81,malumot!$B$67,IF(A30&lt;malumot!$B$81,(Q30),IF(A30&gt;malumot!$B$81,$H$56,0))))))</f>
        <v>46461</v>
      </c>
      <c r="C30" s="44">
        <f t="shared" si="1"/>
        <v>3333333.2599999774</v>
      </c>
      <c r="D30" s="44">
        <f t="shared" si="2"/>
        <v>1666666.67</v>
      </c>
      <c r="E30" s="44">
        <f t="shared" si="3"/>
        <v>140639.24</v>
      </c>
      <c r="F30" s="44">
        <f t="shared" si="4"/>
        <v>1807305.91</v>
      </c>
      <c r="G30" s="70">
        <f t="shared" si="7"/>
        <v>28</v>
      </c>
      <c r="H30" s="70">
        <f t="shared" si="5"/>
        <v>365</v>
      </c>
      <c r="I30" s="78">
        <f t="shared" si="10"/>
        <v>1666666.67</v>
      </c>
      <c r="J30" s="78">
        <f>SUM($I$8:I29)</f>
        <v>36666666.740000017</v>
      </c>
      <c r="K30" s="78">
        <f t="shared" si="9"/>
        <v>3333333.259999983</v>
      </c>
      <c r="L30" s="72">
        <f>ROUND(C30*malumot!$B$84/H30,2)*G30</f>
        <v>140639.24</v>
      </c>
      <c r="M30" s="72">
        <f t="shared" si="0"/>
        <v>1807305.91</v>
      </c>
      <c r="N30" s="72"/>
      <c r="O30" s="87" t="str">
        <f t="shared" si="8"/>
        <v>Пн</v>
      </c>
      <c r="P30" s="89">
        <f t="shared" si="6"/>
        <v>0</v>
      </c>
      <c r="Q30" s="89">
        <f>DAY(malumot!$B$78)+P30</f>
        <v>15</v>
      </c>
      <c r="R30" s="84">
        <f>IF(A30&lt;=malumot!$B$81,DATE(YEAR($B$8),MONTH($B$8)+A29,DAY(malumot!$B$78)),0)</f>
        <v>46461</v>
      </c>
      <c r="S30" s="70"/>
      <c r="T30" s="70"/>
      <c r="U30" s="70"/>
      <c r="V30" s="70"/>
    </row>
    <row r="31" spans="1:22">
      <c r="A31" s="76">
        <v>24</v>
      </c>
      <c r="B31" s="77">
        <f>IF(A31&lt;=malumot!$B$81,DATE(YEAR(R31),MONTH(R31),DAY(IF(A31=malumot!$B$81,malumot!$B$67,IF(A31&lt;malumot!$B$81,(Q31),IF(A31&gt;malumot!$B$81,$H$56,0))))))</f>
        <v>46487</v>
      </c>
      <c r="C31" s="44">
        <f t="shared" ref="C31" si="11">C30-D30</f>
        <v>1666666.5899999775</v>
      </c>
      <c r="D31" s="44">
        <f t="shared" ref="D31" si="12">IF(C31=0,L31,IF(C31&gt;1,I31))</f>
        <v>1666666.5899999812</v>
      </c>
      <c r="E31" s="44">
        <f t="shared" ref="E31" si="13">IF(C31=0,N30,IF(C31&gt;1,L31))</f>
        <v>65296.92</v>
      </c>
      <c r="F31" s="44">
        <f t="shared" ref="F31" si="14">IF(C31=0,N30,IF(C31&gt;1,M31))</f>
        <v>1731963.5099999812</v>
      </c>
      <c r="G31" s="70">
        <f t="shared" si="7"/>
        <v>26</v>
      </c>
      <c r="H31" s="70">
        <f t="shared" si="5"/>
        <v>365</v>
      </c>
      <c r="I31" s="78">
        <f t="shared" si="10"/>
        <v>1666666.5899999812</v>
      </c>
      <c r="J31" s="78">
        <f>SUM($I$8:I30)</f>
        <v>38333333.410000019</v>
      </c>
      <c r="K31" s="78">
        <f t="shared" si="9"/>
        <v>1666666.5899999812</v>
      </c>
      <c r="L31" s="72">
        <f>ROUND(C31*malumot!$B$84/H31,2)*G31</f>
        <v>65296.92</v>
      </c>
      <c r="M31" s="72">
        <f t="shared" si="0"/>
        <v>1731963.5099999812</v>
      </c>
      <c r="N31" s="72"/>
      <c r="O31" s="87" t="str">
        <f t="shared" si="8"/>
        <v>Чт</v>
      </c>
      <c r="P31" s="89">
        <f t="shared" si="6"/>
        <v>0</v>
      </c>
      <c r="Q31" s="89">
        <f>DAY(malumot!$B$78)+P31</f>
        <v>15</v>
      </c>
      <c r="R31" s="84">
        <f>IF(A31&lt;=malumot!$B$81,DATE(YEAR($B$8),MONTH($B$8)+A30,DAY(malumot!$B$78)),0)</f>
        <v>46492</v>
      </c>
      <c r="S31" s="70"/>
      <c r="T31" s="70"/>
      <c r="U31" s="70"/>
      <c r="V31" s="70"/>
    </row>
    <row r="32" spans="1:22">
      <c r="A32" s="76">
        <f>1+A31</f>
        <v>25</v>
      </c>
      <c r="B32" s="77" t="b">
        <f>IF(A32&lt;=malumot!$B$81,DATE(YEAR(R32),MONTH(R32),DAY(IF(A32=malumot!$B$81,malumot!$B$67,IF(A32&lt;malumot!$B$81,(Q32),IF(A32&gt;malumot!$B$81,$H$56,0))))))</f>
        <v>0</v>
      </c>
      <c r="C32" s="44">
        <f t="shared" ref="C32:C42" si="15">C31-D31</f>
        <v>-3.7252902984619141E-9</v>
      </c>
      <c r="D32" s="44" t="b">
        <f t="shared" ref="D32:D42" si="16">IF(C32=0,L32,IF(C32&gt;1,I32))</f>
        <v>0</v>
      </c>
      <c r="E32" s="44" t="b">
        <f t="shared" ref="E32:E42" si="17">IF(C32=0,N31,IF(C32&gt;1,L32))</f>
        <v>0</v>
      </c>
      <c r="F32" s="44" t="b">
        <f t="shared" ref="F32:F42" si="18">IF(C32=0,N31,IF(C32&gt;1,M32))</f>
        <v>0</v>
      </c>
      <c r="G32" s="70">
        <f t="shared" ref="G32:G42" si="19">B32-B31</f>
        <v>-46487</v>
      </c>
      <c r="H32" s="70">
        <f t="shared" ref="H32:H42" si="20">DATE(YEAR(B32),12,31)-DATE(YEAR(B32),1,1)+1</f>
        <v>366</v>
      </c>
      <c r="I32" s="78" t="b">
        <f t="shared" ref="I32:I42" si="21">IF($L$5=A32,K32,IF($L$5&gt;A32,I31))</f>
        <v>0</v>
      </c>
      <c r="J32" s="78">
        <f>SUM($I$8:I31)</f>
        <v>40000000</v>
      </c>
      <c r="K32" s="78">
        <f t="shared" ref="K32:K42" si="22">$J$12-J32</f>
        <v>0</v>
      </c>
      <c r="L32" s="72">
        <f>ROUND(C32*malumot!$B$84/H32,2)*G32</f>
        <v>0</v>
      </c>
      <c r="M32" s="72">
        <f t="shared" ref="M32:M42" si="23">D32+E32</f>
        <v>0</v>
      </c>
      <c r="N32" s="72"/>
      <c r="O32" s="87" t="str">
        <f t="shared" ref="O32:O42" si="24">TEXT(R32,"ддд")</f>
        <v>Сб</v>
      </c>
      <c r="P32" s="89">
        <f t="shared" ref="P32:P42" si="25">IF(O32=$U$8,2,IF(O32=$V$8,1,0))</f>
        <v>2</v>
      </c>
      <c r="Q32" s="89">
        <f>DAY(malumot!$B$78)+P32</f>
        <v>17</v>
      </c>
      <c r="R32" s="84">
        <f>IF(A32&lt;=malumot!$B$81,DATE(YEAR($B$8),MONTH($B$8)+A31,DAY(malumot!$B$78)),0)</f>
        <v>0</v>
      </c>
      <c r="S32" s="70"/>
      <c r="T32" s="70"/>
      <c r="U32" s="70"/>
      <c r="V32" s="70"/>
    </row>
    <row r="33" spans="1:22">
      <c r="A33" s="76">
        <f t="shared" ref="A33:A42" si="26">1+A32</f>
        <v>26</v>
      </c>
      <c r="B33" s="77" t="b">
        <f>IF(A33&lt;=malumot!$B$81,DATE(YEAR(R33),MONTH(R33),DAY(IF(A33=malumot!$B$81,malumot!$B$67,IF(A33&lt;malumot!$B$81,(Q33),IF(A33&gt;malumot!$B$81,$H$56,0))))))</f>
        <v>0</v>
      </c>
      <c r="C33" s="44">
        <f t="shared" si="15"/>
        <v>-3.7252902984619141E-9</v>
      </c>
      <c r="D33" s="44" t="b">
        <f t="shared" si="16"/>
        <v>0</v>
      </c>
      <c r="E33" s="44" t="b">
        <f t="shared" si="17"/>
        <v>0</v>
      </c>
      <c r="F33" s="44" t="b">
        <f t="shared" si="18"/>
        <v>0</v>
      </c>
      <c r="G33" s="70">
        <f t="shared" si="19"/>
        <v>0</v>
      </c>
      <c r="H33" s="70">
        <f t="shared" si="20"/>
        <v>366</v>
      </c>
      <c r="I33" s="78" t="b">
        <f t="shared" si="21"/>
        <v>0</v>
      </c>
      <c r="J33" s="78">
        <f>SUM($I$8:I32)</f>
        <v>40000000</v>
      </c>
      <c r="K33" s="78">
        <f t="shared" si="22"/>
        <v>0</v>
      </c>
      <c r="L33" s="72">
        <f>ROUND(C33*malumot!$B$84/H33,2)*G33</f>
        <v>0</v>
      </c>
      <c r="M33" s="72">
        <f t="shared" si="23"/>
        <v>0</v>
      </c>
      <c r="N33" s="72"/>
      <c r="O33" s="87" t="str">
        <f t="shared" si="24"/>
        <v>Сб</v>
      </c>
      <c r="P33" s="89">
        <f t="shared" si="25"/>
        <v>2</v>
      </c>
      <c r="Q33" s="89">
        <f>DAY(malumot!$B$78)+P33</f>
        <v>17</v>
      </c>
      <c r="R33" s="84">
        <f>IF(A33&lt;=malumot!$B$81,DATE(YEAR($B$8),MONTH($B$8)+A32,DAY(malumot!$B$78)),0)</f>
        <v>0</v>
      </c>
      <c r="S33" s="70"/>
      <c r="T33" s="70"/>
      <c r="U33" s="70"/>
      <c r="V33" s="70"/>
    </row>
    <row r="34" spans="1:22">
      <c r="A34" s="76">
        <f t="shared" si="26"/>
        <v>27</v>
      </c>
      <c r="B34" s="77" t="b">
        <f>IF(A34&lt;=malumot!$B$81,DATE(YEAR(R34),MONTH(R34),DAY(IF(A34=malumot!$B$81,malumot!$B$67,IF(A34&lt;malumot!$B$81,(Q34),IF(A34&gt;malumot!$B$81,$H$56,0))))))</f>
        <v>0</v>
      </c>
      <c r="C34" s="44">
        <f t="shared" si="15"/>
        <v>-3.7252902984619141E-9</v>
      </c>
      <c r="D34" s="44" t="b">
        <f t="shared" si="16"/>
        <v>0</v>
      </c>
      <c r="E34" s="44" t="b">
        <f t="shared" si="17"/>
        <v>0</v>
      </c>
      <c r="F34" s="44" t="b">
        <f t="shared" si="18"/>
        <v>0</v>
      </c>
      <c r="G34" s="70">
        <f t="shared" si="19"/>
        <v>0</v>
      </c>
      <c r="H34" s="70">
        <f t="shared" si="20"/>
        <v>366</v>
      </c>
      <c r="I34" s="78" t="b">
        <f t="shared" si="21"/>
        <v>0</v>
      </c>
      <c r="J34" s="78">
        <f>SUM($I$8:I33)</f>
        <v>40000000</v>
      </c>
      <c r="K34" s="78">
        <f t="shared" si="22"/>
        <v>0</v>
      </c>
      <c r="L34" s="72">
        <f>ROUND(C34*malumot!$B$84/H34,2)*G34</f>
        <v>0</v>
      </c>
      <c r="M34" s="72">
        <f t="shared" si="23"/>
        <v>0</v>
      </c>
      <c r="N34" s="72"/>
      <c r="O34" s="87" t="str">
        <f t="shared" si="24"/>
        <v>Сб</v>
      </c>
      <c r="P34" s="89">
        <f t="shared" si="25"/>
        <v>2</v>
      </c>
      <c r="Q34" s="89">
        <f>DAY(malumot!$B$78)+P34</f>
        <v>17</v>
      </c>
      <c r="R34" s="84">
        <f>IF(A34&lt;=malumot!$B$81,DATE(YEAR($B$8),MONTH($B$8)+A33,DAY(malumot!$B$78)),0)</f>
        <v>0</v>
      </c>
      <c r="S34" s="70"/>
      <c r="T34" s="70"/>
      <c r="U34" s="70"/>
      <c r="V34" s="70"/>
    </row>
    <row r="35" spans="1:22">
      <c r="A35" s="76">
        <f t="shared" si="26"/>
        <v>28</v>
      </c>
      <c r="B35" s="77" t="b">
        <f>IF(A35&lt;=malumot!$B$81,DATE(YEAR(R35),MONTH(R35),DAY(IF(A35=malumot!$B$81,malumot!$B$67,IF(A35&lt;malumot!$B$81,(Q35),IF(A35&gt;malumot!$B$81,$H$56,0))))))</f>
        <v>0</v>
      </c>
      <c r="C35" s="44">
        <f t="shared" si="15"/>
        <v>-3.7252902984619141E-9</v>
      </c>
      <c r="D35" s="44" t="b">
        <f t="shared" si="16"/>
        <v>0</v>
      </c>
      <c r="E35" s="44" t="b">
        <f t="shared" si="17"/>
        <v>0</v>
      </c>
      <c r="F35" s="44" t="b">
        <f t="shared" si="18"/>
        <v>0</v>
      </c>
      <c r="G35" s="70">
        <f t="shared" si="19"/>
        <v>0</v>
      </c>
      <c r="H35" s="70">
        <f t="shared" si="20"/>
        <v>366</v>
      </c>
      <c r="I35" s="78" t="b">
        <f t="shared" si="21"/>
        <v>0</v>
      </c>
      <c r="J35" s="78">
        <f>SUM($I$8:I34)</f>
        <v>40000000</v>
      </c>
      <c r="K35" s="78">
        <f t="shared" si="22"/>
        <v>0</v>
      </c>
      <c r="L35" s="72">
        <f>ROUND(C35*malumot!$B$84/H35,2)*G35</f>
        <v>0</v>
      </c>
      <c r="M35" s="72">
        <f t="shared" si="23"/>
        <v>0</v>
      </c>
      <c r="N35" s="72"/>
      <c r="O35" s="87" t="str">
        <f t="shared" si="24"/>
        <v>Сб</v>
      </c>
      <c r="P35" s="89">
        <f t="shared" si="25"/>
        <v>2</v>
      </c>
      <c r="Q35" s="89">
        <f>DAY(malumot!$B$78)+P35</f>
        <v>17</v>
      </c>
      <c r="R35" s="84">
        <f>IF(A35&lt;=malumot!$B$81,DATE(YEAR($B$8),MONTH($B$8)+A34,DAY(malumot!$B$78)),0)</f>
        <v>0</v>
      </c>
      <c r="S35" s="70"/>
      <c r="T35" s="70"/>
      <c r="U35" s="70"/>
      <c r="V35" s="70"/>
    </row>
    <row r="36" spans="1:22">
      <c r="A36" s="76">
        <f t="shared" si="26"/>
        <v>29</v>
      </c>
      <c r="B36" s="77" t="b">
        <f>IF(A36&lt;=malumot!$B$81,DATE(YEAR(R36),MONTH(R36),DAY(IF(A36=malumot!$B$81,malumot!$B$67,IF(A36&lt;malumot!$B$81,(Q36),IF(A36&gt;malumot!$B$81,$H$56,0))))))</f>
        <v>0</v>
      </c>
      <c r="C36" s="44">
        <f t="shared" si="15"/>
        <v>-3.7252902984619141E-9</v>
      </c>
      <c r="D36" s="44" t="b">
        <f t="shared" si="16"/>
        <v>0</v>
      </c>
      <c r="E36" s="44" t="b">
        <f t="shared" si="17"/>
        <v>0</v>
      </c>
      <c r="F36" s="44" t="b">
        <f t="shared" si="18"/>
        <v>0</v>
      </c>
      <c r="G36" s="70">
        <f t="shared" si="19"/>
        <v>0</v>
      </c>
      <c r="H36" s="70">
        <f t="shared" si="20"/>
        <v>366</v>
      </c>
      <c r="I36" s="78" t="b">
        <f t="shared" si="21"/>
        <v>0</v>
      </c>
      <c r="J36" s="78">
        <f>SUM($I$8:I35)</f>
        <v>40000000</v>
      </c>
      <c r="K36" s="78">
        <f t="shared" si="22"/>
        <v>0</v>
      </c>
      <c r="L36" s="72">
        <f>ROUND(C36*malumot!$B$84/H36,2)*G36</f>
        <v>0</v>
      </c>
      <c r="M36" s="72">
        <f t="shared" si="23"/>
        <v>0</v>
      </c>
      <c r="N36" s="72"/>
      <c r="O36" s="87" t="str">
        <f t="shared" si="24"/>
        <v>Сб</v>
      </c>
      <c r="P36" s="89">
        <f t="shared" si="25"/>
        <v>2</v>
      </c>
      <c r="Q36" s="89">
        <f>DAY(malumot!$B$78)+P36</f>
        <v>17</v>
      </c>
      <c r="R36" s="84">
        <f>IF(A36&lt;=malumot!$B$81,DATE(YEAR($B$8),MONTH($B$8)+A35,DAY(malumot!$B$78)),0)</f>
        <v>0</v>
      </c>
      <c r="S36" s="70"/>
      <c r="T36" s="70"/>
      <c r="U36" s="70"/>
      <c r="V36" s="70"/>
    </row>
    <row r="37" spans="1:22">
      <c r="A37" s="76">
        <f t="shared" si="26"/>
        <v>30</v>
      </c>
      <c r="B37" s="77" t="b">
        <f>IF(A37&lt;=malumot!$B$81,DATE(YEAR(R37),MONTH(R37),DAY(IF(A37=malumot!$B$81,malumot!$B$67,IF(A37&lt;malumot!$B$81,(Q37),IF(A37&gt;malumot!$B$81,$H$56,0))))))</f>
        <v>0</v>
      </c>
      <c r="C37" s="44">
        <f t="shared" si="15"/>
        <v>-3.7252902984619141E-9</v>
      </c>
      <c r="D37" s="44" t="b">
        <f t="shared" si="16"/>
        <v>0</v>
      </c>
      <c r="E37" s="44" t="b">
        <f t="shared" si="17"/>
        <v>0</v>
      </c>
      <c r="F37" s="44" t="b">
        <f t="shared" si="18"/>
        <v>0</v>
      </c>
      <c r="G37" s="70">
        <f t="shared" si="19"/>
        <v>0</v>
      </c>
      <c r="H37" s="70">
        <f t="shared" si="20"/>
        <v>366</v>
      </c>
      <c r="I37" s="78" t="b">
        <f t="shared" si="21"/>
        <v>0</v>
      </c>
      <c r="J37" s="78">
        <f>SUM($I$8:I36)</f>
        <v>40000000</v>
      </c>
      <c r="K37" s="78">
        <f t="shared" si="22"/>
        <v>0</v>
      </c>
      <c r="L37" s="72">
        <f>ROUND(C37*malumot!$B$84/H37,2)*G37</f>
        <v>0</v>
      </c>
      <c r="M37" s="72">
        <f t="shared" si="23"/>
        <v>0</v>
      </c>
      <c r="N37" s="72"/>
      <c r="O37" s="87" t="str">
        <f t="shared" si="24"/>
        <v>Сб</v>
      </c>
      <c r="P37" s="89">
        <f t="shared" si="25"/>
        <v>2</v>
      </c>
      <c r="Q37" s="89">
        <f>DAY(malumot!$B$78)+P37</f>
        <v>17</v>
      </c>
      <c r="R37" s="84">
        <f>IF(A37&lt;=malumot!$B$81,DATE(YEAR($B$8),MONTH($B$8)+A36,DAY(malumot!$B$78)),0)</f>
        <v>0</v>
      </c>
      <c r="S37" s="70"/>
      <c r="T37" s="70"/>
      <c r="U37" s="70"/>
      <c r="V37" s="70"/>
    </row>
    <row r="38" spans="1:22">
      <c r="A38" s="76">
        <f t="shared" si="26"/>
        <v>31</v>
      </c>
      <c r="B38" s="77" t="b">
        <f>IF(A38&lt;=malumot!$B$81,DATE(YEAR(R38),MONTH(R38),DAY(IF(A38=malumot!$B$81,malumot!$B$67,IF(A38&lt;malumot!$B$81,(Q38),IF(A38&gt;malumot!$B$81,$H$56,0))))))</f>
        <v>0</v>
      </c>
      <c r="C38" s="44">
        <f t="shared" si="15"/>
        <v>-3.7252902984619141E-9</v>
      </c>
      <c r="D38" s="44" t="b">
        <f t="shared" si="16"/>
        <v>0</v>
      </c>
      <c r="E38" s="44" t="b">
        <f t="shared" si="17"/>
        <v>0</v>
      </c>
      <c r="F38" s="44" t="b">
        <f t="shared" si="18"/>
        <v>0</v>
      </c>
      <c r="G38" s="70">
        <f t="shared" si="19"/>
        <v>0</v>
      </c>
      <c r="H38" s="70">
        <f t="shared" si="20"/>
        <v>366</v>
      </c>
      <c r="I38" s="78" t="b">
        <f t="shared" si="21"/>
        <v>0</v>
      </c>
      <c r="J38" s="78">
        <f>SUM($I$8:I37)</f>
        <v>40000000</v>
      </c>
      <c r="K38" s="78">
        <f t="shared" si="22"/>
        <v>0</v>
      </c>
      <c r="L38" s="72">
        <f>ROUND(C38*malumot!$B$84/H38,2)*G38</f>
        <v>0</v>
      </c>
      <c r="M38" s="72">
        <f t="shared" si="23"/>
        <v>0</v>
      </c>
      <c r="N38" s="72"/>
      <c r="O38" s="87" t="str">
        <f t="shared" si="24"/>
        <v>Сб</v>
      </c>
      <c r="P38" s="89">
        <f t="shared" si="25"/>
        <v>2</v>
      </c>
      <c r="Q38" s="89">
        <f>DAY(malumot!$B$78)+P38</f>
        <v>17</v>
      </c>
      <c r="R38" s="84">
        <f>IF(A38&lt;=malumot!$B$81,DATE(YEAR($B$8),MONTH($B$8)+A37,DAY(malumot!$B$78)),0)</f>
        <v>0</v>
      </c>
      <c r="S38" s="70"/>
      <c r="T38" s="70"/>
      <c r="U38" s="70"/>
      <c r="V38" s="70"/>
    </row>
    <row r="39" spans="1:22">
      <c r="A39" s="76">
        <f t="shared" si="26"/>
        <v>32</v>
      </c>
      <c r="B39" s="77" t="b">
        <f>IF(A39&lt;=malumot!$B$81,DATE(YEAR(R39),MONTH(R39),DAY(IF(A39=malumot!$B$81,malumot!$B$67,IF(A39&lt;malumot!$B$81,(Q39),IF(A39&gt;malumot!$B$81,$H$56,0))))))</f>
        <v>0</v>
      </c>
      <c r="C39" s="44">
        <f t="shared" si="15"/>
        <v>-3.7252902984619141E-9</v>
      </c>
      <c r="D39" s="44" t="b">
        <f t="shared" si="16"/>
        <v>0</v>
      </c>
      <c r="E39" s="44" t="b">
        <f t="shared" si="17"/>
        <v>0</v>
      </c>
      <c r="F39" s="44" t="b">
        <f t="shared" si="18"/>
        <v>0</v>
      </c>
      <c r="G39" s="70">
        <f t="shared" si="19"/>
        <v>0</v>
      </c>
      <c r="H39" s="70">
        <f t="shared" si="20"/>
        <v>366</v>
      </c>
      <c r="I39" s="78" t="b">
        <f t="shared" si="21"/>
        <v>0</v>
      </c>
      <c r="J39" s="78">
        <f>SUM($I$8:I38)</f>
        <v>40000000</v>
      </c>
      <c r="K39" s="78">
        <f t="shared" si="22"/>
        <v>0</v>
      </c>
      <c r="L39" s="72">
        <f>ROUND(C39*malumot!$B$84/H39,2)*G39</f>
        <v>0</v>
      </c>
      <c r="M39" s="72">
        <f t="shared" si="23"/>
        <v>0</v>
      </c>
      <c r="N39" s="72"/>
      <c r="O39" s="87" t="str">
        <f t="shared" si="24"/>
        <v>Сб</v>
      </c>
      <c r="P39" s="89">
        <f t="shared" si="25"/>
        <v>2</v>
      </c>
      <c r="Q39" s="89">
        <f>DAY(malumot!$B$78)+P39</f>
        <v>17</v>
      </c>
      <c r="R39" s="84">
        <f>IF(A39&lt;=malumot!$B$81,DATE(YEAR($B$8),MONTH($B$8)+A38,DAY(malumot!$B$78)),0)</f>
        <v>0</v>
      </c>
      <c r="S39" s="70"/>
      <c r="T39" s="70"/>
      <c r="U39" s="70"/>
      <c r="V39" s="70"/>
    </row>
    <row r="40" spans="1:22">
      <c r="A40" s="76">
        <f t="shared" si="26"/>
        <v>33</v>
      </c>
      <c r="B40" s="77" t="b">
        <f>IF(A40&lt;=malumot!$B$81,DATE(YEAR(R40),MONTH(R40),DAY(IF(A40=malumot!$B$81,malumot!$B$67,IF(A40&lt;malumot!$B$81,(Q40),IF(A40&gt;malumot!$B$81,$H$56,0))))))</f>
        <v>0</v>
      </c>
      <c r="C40" s="44">
        <f t="shared" si="15"/>
        <v>-3.7252902984619141E-9</v>
      </c>
      <c r="D40" s="44" t="b">
        <f t="shared" si="16"/>
        <v>0</v>
      </c>
      <c r="E40" s="44" t="b">
        <f t="shared" si="17"/>
        <v>0</v>
      </c>
      <c r="F40" s="44" t="b">
        <f t="shared" si="18"/>
        <v>0</v>
      </c>
      <c r="G40" s="70">
        <f t="shared" si="19"/>
        <v>0</v>
      </c>
      <c r="H40" s="70">
        <f t="shared" si="20"/>
        <v>366</v>
      </c>
      <c r="I40" s="78" t="b">
        <f t="shared" si="21"/>
        <v>0</v>
      </c>
      <c r="J40" s="78">
        <f>SUM($I$8:I39)</f>
        <v>40000000</v>
      </c>
      <c r="K40" s="78">
        <f t="shared" si="22"/>
        <v>0</v>
      </c>
      <c r="L40" s="72">
        <f>ROUND(C40*malumot!$B$84/H40,2)*G40</f>
        <v>0</v>
      </c>
      <c r="M40" s="72">
        <f t="shared" si="23"/>
        <v>0</v>
      </c>
      <c r="N40" s="72"/>
      <c r="O40" s="87" t="str">
        <f t="shared" si="24"/>
        <v>Сб</v>
      </c>
      <c r="P40" s="89">
        <f t="shared" si="25"/>
        <v>2</v>
      </c>
      <c r="Q40" s="89">
        <f>DAY(malumot!$B$78)+P40</f>
        <v>17</v>
      </c>
      <c r="R40" s="84">
        <f>IF(A40&lt;=malumot!$B$81,DATE(YEAR($B$8),MONTH($B$8)+A39,DAY(malumot!$B$78)),0)</f>
        <v>0</v>
      </c>
      <c r="S40" s="70"/>
      <c r="T40" s="70"/>
      <c r="U40" s="70"/>
      <c r="V40" s="70"/>
    </row>
    <row r="41" spans="1:22">
      <c r="A41" s="76">
        <f t="shared" si="26"/>
        <v>34</v>
      </c>
      <c r="B41" s="77" t="b">
        <f>IF(A41&lt;=malumot!$B$81,DATE(YEAR(R41),MONTH(R41),DAY(IF(A41=malumot!$B$81,malumot!$B$67,IF(A41&lt;malumot!$B$81,(Q41),IF(A41&gt;malumot!$B$81,$H$56,0))))))</f>
        <v>0</v>
      </c>
      <c r="C41" s="44">
        <f t="shared" si="15"/>
        <v>-3.7252902984619141E-9</v>
      </c>
      <c r="D41" s="44" t="b">
        <f t="shared" si="16"/>
        <v>0</v>
      </c>
      <c r="E41" s="44" t="b">
        <f t="shared" si="17"/>
        <v>0</v>
      </c>
      <c r="F41" s="44" t="b">
        <f t="shared" si="18"/>
        <v>0</v>
      </c>
      <c r="G41" s="70">
        <f t="shared" si="19"/>
        <v>0</v>
      </c>
      <c r="H41" s="70">
        <f t="shared" si="20"/>
        <v>366</v>
      </c>
      <c r="I41" s="78" t="b">
        <f t="shared" si="21"/>
        <v>0</v>
      </c>
      <c r="J41" s="78">
        <f>SUM($I$8:I40)</f>
        <v>40000000</v>
      </c>
      <c r="K41" s="78">
        <f t="shared" si="22"/>
        <v>0</v>
      </c>
      <c r="L41" s="72">
        <f>ROUND(C41*malumot!$B$84/H41,2)*G41</f>
        <v>0</v>
      </c>
      <c r="M41" s="72">
        <f t="shared" si="23"/>
        <v>0</v>
      </c>
      <c r="N41" s="72"/>
      <c r="O41" s="87" t="str">
        <f t="shared" si="24"/>
        <v>Сб</v>
      </c>
      <c r="P41" s="89">
        <f t="shared" si="25"/>
        <v>2</v>
      </c>
      <c r="Q41" s="89">
        <f>DAY(malumot!$B$78)+P41</f>
        <v>17</v>
      </c>
      <c r="R41" s="84">
        <f>IF(A41&lt;=malumot!$B$81,DATE(YEAR($B$8),MONTH($B$8)+A40,DAY(malumot!$B$78)),0)</f>
        <v>0</v>
      </c>
      <c r="S41" s="70"/>
      <c r="T41" s="70"/>
      <c r="U41" s="70"/>
      <c r="V41" s="70"/>
    </row>
    <row r="42" spans="1:22">
      <c r="A42" s="76">
        <f t="shared" si="26"/>
        <v>35</v>
      </c>
      <c r="B42" s="77" t="b">
        <f>IF(A42&lt;=malumot!$B$81,DATE(YEAR(R42),MONTH(R42),DAY(IF(A42=malumot!$B$81,malumot!$B$67,IF(A42&lt;malumot!$B$81,(Q42),IF(A42&gt;malumot!$B$81,$H$56,0))))))</f>
        <v>0</v>
      </c>
      <c r="C42" s="44">
        <f t="shared" si="15"/>
        <v>-3.7252902984619141E-9</v>
      </c>
      <c r="D42" s="44" t="b">
        <f t="shared" si="16"/>
        <v>0</v>
      </c>
      <c r="E42" s="44" t="b">
        <f t="shared" si="17"/>
        <v>0</v>
      </c>
      <c r="F42" s="44" t="b">
        <f t="shared" si="18"/>
        <v>0</v>
      </c>
      <c r="G42" s="70">
        <f t="shared" si="19"/>
        <v>0</v>
      </c>
      <c r="H42" s="70">
        <f t="shared" si="20"/>
        <v>366</v>
      </c>
      <c r="I42" s="78" t="b">
        <f t="shared" si="21"/>
        <v>0</v>
      </c>
      <c r="J42" s="78">
        <f>SUM($I$8:I41)</f>
        <v>40000000</v>
      </c>
      <c r="K42" s="78">
        <f t="shared" si="22"/>
        <v>0</v>
      </c>
      <c r="L42" s="72">
        <f>ROUND(C42*malumot!$B$84/H42,2)*G42</f>
        <v>0</v>
      </c>
      <c r="M42" s="72">
        <f t="shared" si="23"/>
        <v>0</v>
      </c>
      <c r="N42" s="72"/>
      <c r="O42" s="87" t="str">
        <f t="shared" si="24"/>
        <v>Сб</v>
      </c>
      <c r="P42" s="89">
        <f t="shared" si="25"/>
        <v>2</v>
      </c>
      <c r="Q42" s="89">
        <f>DAY(malumot!$B$78)+P42</f>
        <v>17</v>
      </c>
      <c r="R42" s="84">
        <f>IF(A42&lt;=malumot!$B$81,DATE(YEAR($B$8),MONTH($B$8)+A41,DAY(malumot!$B$78)),0)</f>
        <v>0</v>
      </c>
      <c r="S42" s="70"/>
      <c r="T42" s="70"/>
      <c r="U42" s="70"/>
      <c r="V42" s="70"/>
    </row>
    <row r="43" spans="1:22">
      <c r="A43" s="76">
        <f t="shared" ref="A43:A55" si="27">1+A42</f>
        <v>36</v>
      </c>
      <c r="B43" s="77" t="b">
        <f>IF(A43&lt;=malumot!$B$81,DATE(YEAR(R43),MONTH(R43),DAY(IF(A43=malumot!$B$81,malumot!$B$67,IF(A43&lt;malumot!$B$81,(Q43),IF(A43&gt;malumot!$B$81,$H$56,0))))))</f>
        <v>0</v>
      </c>
      <c r="C43" s="44">
        <f t="shared" ref="C43" si="28">C42-D42</f>
        <v>-3.7252902984619141E-9</v>
      </c>
      <c r="D43" s="44" t="b">
        <f t="shared" ref="D43" si="29">IF(C43=0,L43,IF(C43&gt;1,I43))</f>
        <v>0</v>
      </c>
      <c r="E43" s="44" t="b">
        <f t="shared" ref="E43" si="30">IF(C43=0,N42,IF(C43&gt;1,L43))</f>
        <v>0</v>
      </c>
      <c r="F43" s="44" t="b">
        <f t="shared" ref="F43" si="31">IF(C43=0,N42,IF(C43&gt;1,M43))</f>
        <v>0</v>
      </c>
      <c r="G43" s="70">
        <f t="shared" ref="G43" si="32">B43-B42</f>
        <v>0</v>
      </c>
      <c r="H43" s="70">
        <f t="shared" ref="H43" si="33">DATE(YEAR(B43),12,31)-DATE(YEAR(B43),1,1)+1</f>
        <v>366</v>
      </c>
      <c r="I43" s="78" t="b">
        <f t="shared" ref="I43" si="34">IF($L$5=A43,K43,IF($L$5&gt;A43,I42))</f>
        <v>0</v>
      </c>
      <c r="J43" s="78">
        <f>SUM($I$8:I42)</f>
        <v>40000000</v>
      </c>
      <c r="K43" s="78">
        <f t="shared" ref="K43" si="35">$J$12-J43</f>
        <v>0</v>
      </c>
      <c r="L43" s="72">
        <f>ROUND(C43*malumot!$B$84/H43,2)*G43</f>
        <v>0</v>
      </c>
      <c r="M43" s="72">
        <f t="shared" ref="M43" si="36">D43+E43</f>
        <v>0</v>
      </c>
      <c r="N43" s="72"/>
      <c r="O43" s="87" t="str">
        <f t="shared" ref="O43" si="37">TEXT(R43,"ддд")</f>
        <v>Сб</v>
      </c>
      <c r="P43" s="89">
        <f t="shared" ref="P43" si="38">IF(O43=$U$8,2,IF(O43=$V$8,1,0))</f>
        <v>2</v>
      </c>
      <c r="Q43" s="89">
        <f>DAY(malumot!$B$78)+P43</f>
        <v>17</v>
      </c>
      <c r="R43" s="84">
        <f>IF(A43&lt;=malumot!$B$81,DATE(YEAR($B$8),MONTH($B$8)+A42,DAY(malumot!$B$78)),0)</f>
        <v>0</v>
      </c>
      <c r="S43" s="70"/>
      <c r="T43" s="70"/>
      <c r="U43" s="70"/>
      <c r="V43" s="70"/>
    </row>
    <row r="44" spans="1:22">
      <c r="A44" s="76">
        <f t="shared" si="27"/>
        <v>37</v>
      </c>
      <c r="B44" s="77" t="b">
        <f>IF(A44&lt;=malumot!$B$81,DATE(YEAR(R44),MONTH(R44),DAY(IF(A44=malumot!$B$81,malumot!$B$67,IF(A44&lt;malumot!$B$81,(Q44),IF(A44&gt;malumot!$B$81,$H$56,0))))))</f>
        <v>0</v>
      </c>
      <c r="C44" s="44">
        <f t="shared" ref="C44:C55" si="39">C43-D43</f>
        <v>-3.7252902984619141E-9</v>
      </c>
      <c r="D44" s="44" t="b">
        <f t="shared" ref="D44:D55" si="40">IF(C44=0,L44,IF(C44&gt;1,I44))</f>
        <v>0</v>
      </c>
      <c r="E44" s="44" t="b">
        <f t="shared" ref="E44:E55" si="41">IF(C44=0,N43,IF(C44&gt;1,L44))</f>
        <v>0</v>
      </c>
      <c r="F44" s="44" t="b">
        <f t="shared" ref="F44:F55" si="42">IF(C44=0,N43,IF(C44&gt;1,M44))</f>
        <v>0</v>
      </c>
      <c r="G44" s="70">
        <f t="shared" ref="G44:G55" si="43">B44-B43</f>
        <v>0</v>
      </c>
      <c r="H44" s="70">
        <f t="shared" ref="H44:H55" si="44">DATE(YEAR(B44),12,31)-DATE(YEAR(B44),1,1)+1</f>
        <v>366</v>
      </c>
      <c r="I44" s="78" t="b">
        <f t="shared" ref="I44:I55" si="45">IF($L$5=A44,K44,IF($L$5&gt;A44,I43))</f>
        <v>0</v>
      </c>
      <c r="J44" s="78">
        <f>SUM($I$8:I43)</f>
        <v>40000000</v>
      </c>
      <c r="K44" s="78">
        <f t="shared" ref="K44:K55" si="46">$J$12-J44</f>
        <v>0</v>
      </c>
      <c r="L44" s="72">
        <f>ROUND(C44*malumot!$B$84/H44,2)*G44</f>
        <v>0</v>
      </c>
      <c r="M44" s="72">
        <f t="shared" ref="M44:M55" si="47">D44+E44</f>
        <v>0</v>
      </c>
      <c r="N44" s="72"/>
      <c r="O44" s="87" t="str">
        <f t="shared" ref="O44:O55" si="48">TEXT(R44,"ддд")</f>
        <v>Сб</v>
      </c>
      <c r="P44" s="89">
        <f t="shared" ref="P44:P55" si="49">IF(O44=$U$8,2,IF(O44=$V$8,1,0))</f>
        <v>2</v>
      </c>
      <c r="Q44" s="89">
        <f>DAY(malumot!$B$78)+P44</f>
        <v>17</v>
      </c>
      <c r="R44" s="84">
        <f>IF(A44&lt;=malumot!$B$81,DATE(YEAR($B$8),MONTH($B$8)+A43,DAY(malumot!$B$78)),0)</f>
        <v>0</v>
      </c>
      <c r="S44" s="70"/>
      <c r="T44" s="70"/>
      <c r="U44" s="70"/>
      <c r="V44" s="70"/>
    </row>
    <row r="45" spans="1:22">
      <c r="A45" s="76">
        <f t="shared" si="27"/>
        <v>38</v>
      </c>
      <c r="B45" s="77" t="b">
        <f>IF(A45&lt;=malumot!$B$81,DATE(YEAR(R45),MONTH(R45),DAY(IF(A45=malumot!$B$81,malumot!$B$67,IF(A45&lt;malumot!$B$81,(Q45),IF(A45&gt;malumot!$B$81,$H$56,0))))))</f>
        <v>0</v>
      </c>
      <c r="C45" s="44">
        <f t="shared" si="39"/>
        <v>-3.7252902984619141E-9</v>
      </c>
      <c r="D45" s="44" t="b">
        <f t="shared" si="40"/>
        <v>0</v>
      </c>
      <c r="E45" s="44" t="b">
        <f t="shared" si="41"/>
        <v>0</v>
      </c>
      <c r="F45" s="44" t="b">
        <f t="shared" si="42"/>
        <v>0</v>
      </c>
      <c r="G45" s="70">
        <f t="shared" si="43"/>
        <v>0</v>
      </c>
      <c r="H45" s="70">
        <f t="shared" si="44"/>
        <v>366</v>
      </c>
      <c r="I45" s="78" t="b">
        <f t="shared" si="45"/>
        <v>0</v>
      </c>
      <c r="J45" s="78">
        <f>SUM($I$8:I44)</f>
        <v>40000000</v>
      </c>
      <c r="K45" s="78">
        <f t="shared" si="46"/>
        <v>0</v>
      </c>
      <c r="L45" s="72">
        <f>ROUND(C45*malumot!$B$84/H45,2)*G45</f>
        <v>0</v>
      </c>
      <c r="M45" s="72">
        <f t="shared" si="47"/>
        <v>0</v>
      </c>
      <c r="N45" s="72"/>
      <c r="O45" s="87" t="str">
        <f t="shared" si="48"/>
        <v>Сб</v>
      </c>
      <c r="P45" s="89">
        <f t="shared" si="49"/>
        <v>2</v>
      </c>
      <c r="Q45" s="89">
        <f>DAY(malumot!$B$78)+P45</f>
        <v>17</v>
      </c>
      <c r="R45" s="84">
        <f>IF(A45&lt;=malumot!$B$81,DATE(YEAR($B$8),MONTH($B$8)+A44,DAY(malumot!$B$78)),0)</f>
        <v>0</v>
      </c>
      <c r="S45" s="70"/>
      <c r="T45" s="70"/>
      <c r="U45" s="70"/>
      <c r="V45" s="70"/>
    </row>
    <row r="46" spans="1:22">
      <c r="A46" s="76">
        <f t="shared" si="27"/>
        <v>39</v>
      </c>
      <c r="B46" s="77" t="b">
        <f>IF(A46&lt;=malumot!$B$81,DATE(YEAR(R46),MONTH(R46),DAY(IF(A46=malumot!$B$81,malumot!$B$67,IF(A46&lt;malumot!$B$81,(Q46),IF(A46&gt;malumot!$B$81,$H$56,0))))))</f>
        <v>0</v>
      </c>
      <c r="C46" s="44">
        <f t="shared" si="39"/>
        <v>-3.7252902984619141E-9</v>
      </c>
      <c r="D46" s="44" t="b">
        <f t="shared" si="40"/>
        <v>0</v>
      </c>
      <c r="E46" s="44" t="b">
        <f t="shared" si="41"/>
        <v>0</v>
      </c>
      <c r="F46" s="44" t="b">
        <f t="shared" si="42"/>
        <v>0</v>
      </c>
      <c r="G46" s="70">
        <f t="shared" si="43"/>
        <v>0</v>
      </c>
      <c r="H46" s="70">
        <f t="shared" si="44"/>
        <v>366</v>
      </c>
      <c r="I46" s="78" t="b">
        <f t="shared" si="45"/>
        <v>0</v>
      </c>
      <c r="J46" s="78">
        <f>SUM($I$8:I45)</f>
        <v>40000000</v>
      </c>
      <c r="K46" s="78">
        <f t="shared" si="46"/>
        <v>0</v>
      </c>
      <c r="L46" s="72">
        <f>ROUND(C46*malumot!$B$84/H46,2)*G46</f>
        <v>0</v>
      </c>
      <c r="M46" s="72">
        <f t="shared" si="47"/>
        <v>0</v>
      </c>
      <c r="N46" s="72"/>
      <c r="O46" s="87" t="str">
        <f t="shared" si="48"/>
        <v>Сб</v>
      </c>
      <c r="P46" s="89">
        <f t="shared" si="49"/>
        <v>2</v>
      </c>
      <c r="Q46" s="89">
        <f>DAY(malumot!$B$78)+P46</f>
        <v>17</v>
      </c>
      <c r="R46" s="84">
        <f>IF(A46&lt;=malumot!$B$81,DATE(YEAR($B$8),MONTH($B$8)+A45,DAY(malumot!$B$78)),0)</f>
        <v>0</v>
      </c>
      <c r="S46" s="70"/>
      <c r="T46" s="70"/>
      <c r="U46" s="70"/>
      <c r="V46" s="70"/>
    </row>
    <row r="47" spans="1:22">
      <c r="A47" s="76">
        <f t="shared" si="27"/>
        <v>40</v>
      </c>
      <c r="B47" s="77" t="b">
        <f>IF(A47&lt;=malumot!$B$81,DATE(YEAR(R47),MONTH(R47),DAY(IF(A47=malumot!$B$81,malumot!$B$67,IF(A47&lt;malumot!$B$81,(Q47),IF(A47&gt;malumot!$B$81,$H$56,0))))))</f>
        <v>0</v>
      </c>
      <c r="C47" s="44">
        <f t="shared" si="39"/>
        <v>-3.7252902984619141E-9</v>
      </c>
      <c r="D47" s="44" t="b">
        <f t="shared" si="40"/>
        <v>0</v>
      </c>
      <c r="E47" s="44" t="b">
        <f t="shared" si="41"/>
        <v>0</v>
      </c>
      <c r="F47" s="44" t="b">
        <f t="shared" si="42"/>
        <v>0</v>
      </c>
      <c r="G47" s="70">
        <f t="shared" si="43"/>
        <v>0</v>
      </c>
      <c r="H47" s="70">
        <f t="shared" si="44"/>
        <v>366</v>
      </c>
      <c r="I47" s="78" t="b">
        <f t="shared" si="45"/>
        <v>0</v>
      </c>
      <c r="J47" s="78">
        <f>SUM($I$8:I46)</f>
        <v>40000000</v>
      </c>
      <c r="K47" s="78">
        <f t="shared" si="46"/>
        <v>0</v>
      </c>
      <c r="L47" s="72">
        <f>ROUND(C47*malumot!$B$84/H47,2)*G47</f>
        <v>0</v>
      </c>
      <c r="M47" s="72">
        <f t="shared" si="47"/>
        <v>0</v>
      </c>
      <c r="N47" s="72"/>
      <c r="O47" s="87" t="str">
        <f t="shared" si="48"/>
        <v>Сб</v>
      </c>
      <c r="P47" s="89">
        <f t="shared" si="49"/>
        <v>2</v>
      </c>
      <c r="Q47" s="89">
        <f>DAY(malumot!$B$78)+P47</f>
        <v>17</v>
      </c>
      <c r="R47" s="84">
        <f>IF(A47&lt;=malumot!$B$81,DATE(YEAR($B$8),MONTH($B$8)+A46,DAY(malumot!$B$78)),0)</f>
        <v>0</v>
      </c>
      <c r="S47" s="70"/>
      <c r="T47" s="70"/>
      <c r="U47" s="70"/>
      <c r="V47" s="70"/>
    </row>
    <row r="48" spans="1:22">
      <c r="A48" s="76">
        <f t="shared" si="27"/>
        <v>41</v>
      </c>
      <c r="B48" s="77" t="b">
        <f>IF(A48&lt;=malumot!$B$81,DATE(YEAR(R48),MONTH(R48),DAY(IF(A48=malumot!$B$81,malumot!$B$67,IF(A48&lt;malumot!$B$81,(Q48),IF(A48&gt;malumot!$B$81,$H$56,0))))))</f>
        <v>0</v>
      </c>
      <c r="C48" s="44">
        <f t="shared" si="39"/>
        <v>-3.7252902984619141E-9</v>
      </c>
      <c r="D48" s="44" t="b">
        <f t="shared" si="40"/>
        <v>0</v>
      </c>
      <c r="E48" s="44" t="b">
        <f t="shared" si="41"/>
        <v>0</v>
      </c>
      <c r="F48" s="44" t="b">
        <f t="shared" si="42"/>
        <v>0</v>
      </c>
      <c r="G48" s="70">
        <f t="shared" si="43"/>
        <v>0</v>
      </c>
      <c r="H48" s="70">
        <f t="shared" si="44"/>
        <v>366</v>
      </c>
      <c r="I48" s="78" t="b">
        <f t="shared" si="45"/>
        <v>0</v>
      </c>
      <c r="J48" s="78">
        <f>SUM($I$8:I47)</f>
        <v>40000000</v>
      </c>
      <c r="K48" s="78">
        <f t="shared" si="46"/>
        <v>0</v>
      </c>
      <c r="L48" s="72">
        <f>ROUND(C48*malumot!$B$84/H48,2)*G48</f>
        <v>0</v>
      </c>
      <c r="M48" s="72">
        <f t="shared" si="47"/>
        <v>0</v>
      </c>
      <c r="N48" s="72"/>
      <c r="O48" s="87" t="str">
        <f t="shared" si="48"/>
        <v>Сб</v>
      </c>
      <c r="P48" s="89">
        <f t="shared" si="49"/>
        <v>2</v>
      </c>
      <c r="Q48" s="89">
        <f>DAY(malumot!$B$78)+P48</f>
        <v>17</v>
      </c>
      <c r="R48" s="84">
        <f>IF(A48&lt;=malumot!$B$81,DATE(YEAR($B$8),MONTH($B$8)+A47,DAY(malumot!$B$78)),0)</f>
        <v>0</v>
      </c>
      <c r="S48" s="70"/>
      <c r="T48" s="70"/>
      <c r="U48" s="70"/>
      <c r="V48" s="70"/>
    </row>
    <row r="49" spans="1:22">
      <c r="A49" s="76">
        <f t="shared" si="27"/>
        <v>42</v>
      </c>
      <c r="B49" s="77" t="b">
        <f>IF(A49&lt;=malumot!$B$81,DATE(YEAR(R49),MONTH(R49),DAY(IF(A49=malumot!$B$81,malumot!$B$67,IF(A49&lt;malumot!$B$81,(Q49),IF(A49&gt;malumot!$B$81,$H$56,0))))))</f>
        <v>0</v>
      </c>
      <c r="C49" s="44">
        <f t="shared" si="39"/>
        <v>-3.7252902984619141E-9</v>
      </c>
      <c r="D49" s="44" t="b">
        <f t="shared" si="40"/>
        <v>0</v>
      </c>
      <c r="E49" s="44" t="b">
        <f t="shared" si="41"/>
        <v>0</v>
      </c>
      <c r="F49" s="44" t="b">
        <f t="shared" si="42"/>
        <v>0</v>
      </c>
      <c r="G49" s="70">
        <f t="shared" si="43"/>
        <v>0</v>
      </c>
      <c r="H49" s="70">
        <f t="shared" si="44"/>
        <v>366</v>
      </c>
      <c r="I49" s="78" t="b">
        <f t="shared" si="45"/>
        <v>0</v>
      </c>
      <c r="J49" s="78">
        <f>SUM($I$8:I48)</f>
        <v>40000000</v>
      </c>
      <c r="K49" s="78">
        <f t="shared" si="46"/>
        <v>0</v>
      </c>
      <c r="L49" s="72">
        <f>ROUND(C49*malumot!$B$84/H49,2)*G49</f>
        <v>0</v>
      </c>
      <c r="M49" s="72">
        <f t="shared" si="47"/>
        <v>0</v>
      </c>
      <c r="N49" s="72"/>
      <c r="O49" s="87" t="str">
        <f t="shared" si="48"/>
        <v>Сб</v>
      </c>
      <c r="P49" s="89">
        <f t="shared" si="49"/>
        <v>2</v>
      </c>
      <c r="Q49" s="89">
        <f>DAY(malumot!$B$78)+P49</f>
        <v>17</v>
      </c>
      <c r="R49" s="84">
        <f>IF(A49&lt;=malumot!$B$81,DATE(YEAR($B$8),MONTH($B$8)+A48,DAY(malumot!$B$78)),0)</f>
        <v>0</v>
      </c>
      <c r="S49" s="70"/>
      <c r="T49" s="70"/>
      <c r="U49" s="70"/>
      <c r="V49" s="70"/>
    </row>
    <row r="50" spans="1:22">
      <c r="A50" s="76">
        <f t="shared" si="27"/>
        <v>43</v>
      </c>
      <c r="B50" s="77" t="b">
        <f>IF(A50&lt;=malumot!$B$81,DATE(YEAR(R50),MONTH(R50),DAY(IF(A50=malumot!$B$81,malumot!$B$67,IF(A50&lt;malumot!$B$81,(Q50),IF(A50&gt;malumot!$B$81,$H$56,0))))))</f>
        <v>0</v>
      </c>
      <c r="C50" s="44">
        <f t="shared" si="39"/>
        <v>-3.7252902984619141E-9</v>
      </c>
      <c r="D50" s="44" t="b">
        <f t="shared" si="40"/>
        <v>0</v>
      </c>
      <c r="E50" s="44" t="b">
        <f t="shared" si="41"/>
        <v>0</v>
      </c>
      <c r="F50" s="44" t="b">
        <f t="shared" si="42"/>
        <v>0</v>
      </c>
      <c r="G50" s="70">
        <f t="shared" si="43"/>
        <v>0</v>
      </c>
      <c r="H50" s="70">
        <f t="shared" si="44"/>
        <v>366</v>
      </c>
      <c r="I50" s="78" t="b">
        <f t="shared" si="45"/>
        <v>0</v>
      </c>
      <c r="J50" s="78">
        <f>SUM($I$8:I49)</f>
        <v>40000000</v>
      </c>
      <c r="K50" s="78">
        <f t="shared" si="46"/>
        <v>0</v>
      </c>
      <c r="L50" s="72">
        <f>ROUND(C50*malumot!$B$84/H50,2)*G50</f>
        <v>0</v>
      </c>
      <c r="M50" s="72">
        <f t="shared" si="47"/>
        <v>0</v>
      </c>
      <c r="N50" s="72"/>
      <c r="O50" s="87" t="str">
        <f t="shared" si="48"/>
        <v>Сб</v>
      </c>
      <c r="P50" s="89">
        <f t="shared" si="49"/>
        <v>2</v>
      </c>
      <c r="Q50" s="89">
        <f>DAY(malumot!$B$78)+P50</f>
        <v>17</v>
      </c>
      <c r="R50" s="84">
        <f>IF(A50&lt;=malumot!$B$81,DATE(YEAR($B$8),MONTH($B$8)+A49,DAY(malumot!$B$78)),0)</f>
        <v>0</v>
      </c>
      <c r="S50" s="70"/>
      <c r="T50" s="70"/>
      <c r="U50" s="70"/>
      <c r="V50" s="70"/>
    </row>
    <row r="51" spans="1:22">
      <c r="A51" s="76">
        <f t="shared" si="27"/>
        <v>44</v>
      </c>
      <c r="B51" s="77" t="b">
        <f>IF(A51&lt;=malumot!$B$81,DATE(YEAR(R51),MONTH(R51),DAY(IF(A51=malumot!$B$81,malumot!$B$67,IF(A51&lt;malumot!$B$81,(Q51),IF(A51&gt;malumot!$B$81,$H$56,0))))))</f>
        <v>0</v>
      </c>
      <c r="C51" s="44">
        <f t="shared" si="39"/>
        <v>-3.7252902984619141E-9</v>
      </c>
      <c r="D51" s="44" t="b">
        <f t="shared" si="40"/>
        <v>0</v>
      </c>
      <c r="E51" s="44" t="b">
        <f t="shared" si="41"/>
        <v>0</v>
      </c>
      <c r="F51" s="44" t="b">
        <f t="shared" si="42"/>
        <v>0</v>
      </c>
      <c r="G51" s="70">
        <f t="shared" si="43"/>
        <v>0</v>
      </c>
      <c r="H51" s="70">
        <f t="shared" si="44"/>
        <v>366</v>
      </c>
      <c r="I51" s="78" t="b">
        <f t="shared" si="45"/>
        <v>0</v>
      </c>
      <c r="J51" s="78">
        <f>SUM($I$8:I50)</f>
        <v>40000000</v>
      </c>
      <c r="K51" s="78">
        <f t="shared" si="46"/>
        <v>0</v>
      </c>
      <c r="L51" s="72">
        <f>ROUND(C51*malumot!$B$84/H51,2)*G51</f>
        <v>0</v>
      </c>
      <c r="M51" s="72">
        <f t="shared" si="47"/>
        <v>0</v>
      </c>
      <c r="N51" s="72"/>
      <c r="O51" s="87" t="str">
        <f t="shared" si="48"/>
        <v>Сб</v>
      </c>
      <c r="P51" s="89">
        <f t="shared" si="49"/>
        <v>2</v>
      </c>
      <c r="Q51" s="89">
        <f>DAY(malumot!$B$78)+P51</f>
        <v>17</v>
      </c>
      <c r="R51" s="84">
        <f>IF(A51&lt;=malumot!$B$81,DATE(YEAR($B$8),MONTH($B$8)+A50,DAY(malumot!$B$78)),0)</f>
        <v>0</v>
      </c>
      <c r="S51" s="70"/>
      <c r="T51" s="70"/>
      <c r="U51" s="70"/>
      <c r="V51" s="70"/>
    </row>
    <row r="52" spans="1:22">
      <c r="A52" s="76">
        <f t="shared" si="27"/>
        <v>45</v>
      </c>
      <c r="B52" s="77" t="b">
        <f>IF(A52&lt;=malumot!$B$81,DATE(YEAR(R52),MONTH(R52),DAY(IF(A52=malumot!$B$81,malumot!$B$67,IF(A52&lt;malumot!$B$81,(Q52),IF(A52&gt;malumot!$B$81,$H$56,0))))))</f>
        <v>0</v>
      </c>
      <c r="C52" s="44">
        <f t="shared" si="39"/>
        <v>-3.7252902984619141E-9</v>
      </c>
      <c r="D52" s="44" t="b">
        <f t="shared" si="40"/>
        <v>0</v>
      </c>
      <c r="E52" s="44" t="b">
        <f t="shared" si="41"/>
        <v>0</v>
      </c>
      <c r="F52" s="44" t="b">
        <f t="shared" si="42"/>
        <v>0</v>
      </c>
      <c r="G52" s="70">
        <f t="shared" si="43"/>
        <v>0</v>
      </c>
      <c r="H52" s="70">
        <f t="shared" si="44"/>
        <v>366</v>
      </c>
      <c r="I52" s="78" t="b">
        <f t="shared" si="45"/>
        <v>0</v>
      </c>
      <c r="J52" s="78">
        <f>SUM($I$8:I51)</f>
        <v>40000000</v>
      </c>
      <c r="K52" s="78">
        <f t="shared" si="46"/>
        <v>0</v>
      </c>
      <c r="L52" s="72">
        <f>ROUND(C52*malumot!$B$84/H52,2)*G52</f>
        <v>0</v>
      </c>
      <c r="M52" s="72">
        <f t="shared" si="47"/>
        <v>0</v>
      </c>
      <c r="N52" s="72"/>
      <c r="O52" s="87" t="str">
        <f t="shared" si="48"/>
        <v>Сб</v>
      </c>
      <c r="P52" s="89">
        <f t="shared" si="49"/>
        <v>2</v>
      </c>
      <c r="Q52" s="89">
        <f>DAY(malumot!$B$78)+P52</f>
        <v>17</v>
      </c>
      <c r="R52" s="84">
        <f>IF(A52&lt;=malumot!$B$81,DATE(YEAR($B$8),MONTH($B$8)+A51,DAY(malumot!$B$78)),0)</f>
        <v>0</v>
      </c>
      <c r="S52" s="70"/>
      <c r="T52" s="70"/>
      <c r="U52" s="70"/>
      <c r="V52" s="70"/>
    </row>
    <row r="53" spans="1:22">
      <c r="A53" s="76">
        <f t="shared" si="27"/>
        <v>46</v>
      </c>
      <c r="B53" s="77" t="b">
        <f>IF(A53&lt;=malumot!$B$81,DATE(YEAR(R53),MONTH(R53),DAY(IF(A53=malumot!$B$81,malumot!$B$67,IF(A53&lt;malumot!$B$81,(Q53),IF(A53&gt;malumot!$B$81,$H$56,0))))))</f>
        <v>0</v>
      </c>
      <c r="C53" s="44">
        <f t="shared" si="39"/>
        <v>-3.7252902984619141E-9</v>
      </c>
      <c r="D53" s="44" t="b">
        <f t="shared" si="40"/>
        <v>0</v>
      </c>
      <c r="E53" s="44" t="b">
        <f t="shared" si="41"/>
        <v>0</v>
      </c>
      <c r="F53" s="44" t="b">
        <f t="shared" si="42"/>
        <v>0</v>
      </c>
      <c r="G53" s="70">
        <f t="shared" si="43"/>
        <v>0</v>
      </c>
      <c r="H53" s="70">
        <f t="shared" si="44"/>
        <v>366</v>
      </c>
      <c r="I53" s="78" t="b">
        <f t="shared" si="45"/>
        <v>0</v>
      </c>
      <c r="J53" s="78">
        <f>SUM($I$8:I52)</f>
        <v>40000000</v>
      </c>
      <c r="K53" s="78">
        <f t="shared" si="46"/>
        <v>0</v>
      </c>
      <c r="L53" s="72">
        <f>ROUND(C53*malumot!$B$84/H53,2)*G53</f>
        <v>0</v>
      </c>
      <c r="M53" s="72">
        <f t="shared" si="47"/>
        <v>0</v>
      </c>
      <c r="N53" s="72"/>
      <c r="O53" s="87" t="str">
        <f t="shared" si="48"/>
        <v>Сб</v>
      </c>
      <c r="P53" s="89">
        <f t="shared" si="49"/>
        <v>2</v>
      </c>
      <c r="Q53" s="89">
        <f>DAY(malumot!$B$78)+P53</f>
        <v>17</v>
      </c>
      <c r="R53" s="84">
        <f>IF(A53&lt;=malumot!$B$81,DATE(YEAR($B$8),MONTH($B$8)+A52,DAY(malumot!$B$78)),0)</f>
        <v>0</v>
      </c>
      <c r="S53" s="70"/>
      <c r="T53" s="70"/>
      <c r="U53" s="70"/>
      <c r="V53" s="70"/>
    </row>
    <row r="54" spans="1:22">
      <c r="A54" s="76">
        <f t="shared" si="27"/>
        <v>47</v>
      </c>
      <c r="B54" s="77" t="b">
        <f>IF(A54&lt;=malumot!$B$81,DATE(YEAR(R54),MONTH(R54),DAY(IF(A54=malumot!$B$81,malumot!$B$67,IF(A54&lt;malumot!$B$81,(Q54),IF(A54&gt;malumot!$B$81,$H$56,0))))))</f>
        <v>0</v>
      </c>
      <c r="C54" s="44">
        <f t="shared" si="39"/>
        <v>-3.7252902984619141E-9</v>
      </c>
      <c r="D54" s="44" t="b">
        <f t="shared" si="40"/>
        <v>0</v>
      </c>
      <c r="E54" s="44" t="b">
        <f t="shared" si="41"/>
        <v>0</v>
      </c>
      <c r="F54" s="44" t="b">
        <f t="shared" si="42"/>
        <v>0</v>
      </c>
      <c r="G54" s="70">
        <f t="shared" si="43"/>
        <v>0</v>
      </c>
      <c r="H54" s="70">
        <f t="shared" si="44"/>
        <v>366</v>
      </c>
      <c r="I54" s="78" t="b">
        <f t="shared" si="45"/>
        <v>0</v>
      </c>
      <c r="J54" s="78">
        <f>SUM($I$8:I53)</f>
        <v>40000000</v>
      </c>
      <c r="K54" s="78">
        <f t="shared" si="46"/>
        <v>0</v>
      </c>
      <c r="L54" s="72">
        <f>ROUND(C54*malumot!$B$84/H54,2)*G54</f>
        <v>0</v>
      </c>
      <c r="M54" s="72">
        <f t="shared" si="47"/>
        <v>0</v>
      </c>
      <c r="N54" s="72"/>
      <c r="O54" s="87" t="str">
        <f t="shared" si="48"/>
        <v>Сб</v>
      </c>
      <c r="P54" s="89">
        <f t="shared" si="49"/>
        <v>2</v>
      </c>
      <c r="Q54" s="89">
        <f>DAY(malumot!$B$78)+P54</f>
        <v>17</v>
      </c>
      <c r="R54" s="84">
        <f>IF(A54&lt;=malumot!$B$81,DATE(YEAR($B$8),MONTH($B$8)+A53,DAY(malumot!$B$78)),0)</f>
        <v>0</v>
      </c>
      <c r="S54" s="70"/>
      <c r="T54" s="70"/>
      <c r="U54" s="70"/>
      <c r="V54" s="70"/>
    </row>
    <row r="55" spans="1:22">
      <c r="A55" s="76">
        <f t="shared" si="27"/>
        <v>48</v>
      </c>
      <c r="B55" s="77" t="b">
        <f>IF(A55&lt;=malumot!$B$81,DATE(YEAR(R55),MONTH(R55),DAY(IF(A55=malumot!$B$81,malumot!$B$67,IF(A55&lt;malumot!$B$81,(Q55),IF(A55&gt;malumot!$B$81,$H$56,0))))))</f>
        <v>0</v>
      </c>
      <c r="C55" s="44">
        <f t="shared" si="39"/>
        <v>-3.7252902984619141E-9</v>
      </c>
      <c r="D55" s="44" t="b">
        <f t="shared" si="40"/>
        <v>0</v>
      </c>
      <c r="E55" s="44" t="b">
        <f t="shared" si="41"/>
        <v>0</v>
      </c>
      <c r="F55" s="44" t="b">
        <f t="shared" si="42"/>
        <v>0</v>
      </c>
      <c r="G55" s="70">
        <f t="shared" si="43"/>
        <v>0</v>
      </c>
      <c r="H55" s="70">
        <f t="shared" si="44"/>
        <v>366</v>
      </c>
      <c r="I55" s="78" t="b">
        <f t="shared" si="45"/>
        <v>0</v>
      </c>
      <c r="J55" s="78">
        <f>SUM($I$8:I54)</f>
        <v>40000000</v>
      </c>
      <c r="K55" s="78">
        <f t="shared" si="46"/>
        <v>0</v>
      </c>
      <c r="L55" s="72">
        <f>ROUND(C55*malumot!$B$84/H55,2)*G55</f>
        <v>0</v>
      </c>
      <c r="M55" s="72">
        <f t="shared" si="47"/>
        <v>0</v>
      </c>
      <c r="N55" s="72"/>
      <c r="O55" s="87" t="str">
        <f t="shared" si="48"/>
        <v>Сб</v>
      </c>
      <c r="P55" s="89">
        <f t="shared" si="49"/>
        <v>2</v>
      </c>
      <c r="Q55" s="89">
        <f>DAY(malumot!$B$78)+P55</f>
        <v>17</v>
      </c>
      <c r="R55" s="84">
        <f>IF(A55&lt;=malumot!$B$81,DATE(YEAR($B$8),MONTH($B$8)+A54,DAY(malumot!$B$78)),0)</f>
        <v>0</v>
      </c>
      <c r="S55" s="70"/>
      <c r="T55" s="70"/>
      <c r="U55" s="70"/>
      <c r="V55" s="70"/>
    </row>
    <row r="56" spans="1:22">
      <c r="A56" s="79"/>
      <c r="B56" s="80" t="s">
        <v>6</v>
      </c>
      <c r="C56" s="81"/>
      <c r="D56" s="81">
        <f>SUM(D8:D55)</f>
        <v>40000000</v>
      </c>
      <c r="E56" s="81">
        <f t="shared" ref="E56:F56" si="50">SUM(E8:E55)</f>
        <v>23253196.400000006</v>
      </c>
      <c r="F56" s="81">
        <f t="shared" si="50"/>
        <v>63253196.399999991</v>
      </c>
    </row>
    <row r="57" spans="1:22" ht="9" customHeight="1">
      <c r="B57" s="82"/>
      <c r="C57" s="83"/>
      <c r="D57" s="83"/>
      <c r="E57" s="83"/>
      <c r="F57" s="83"/>
    </row>
    <row r="58" spans="1:22" ht="47.25" customHeight="1">
      <c r="A58" s="297" t="s">
        <v>17</v>
      </c>
      <c r="B58" s="297"/>
      <c r="C58" s="297"/>
      <c r="D58" s="297"/>
      <c r="E58" s="297"/>
      <c r="F58" s="297"/>
    </row>
    <row r="59" spans="1:22" ht="7.5" customHeight="1"/>
    <row r="60" spans="1:22">
      <c r="A60" s="298" t="e">
        <f>#REF!</f>
        <v>#REF!</v>
      </c>
      <c r="B60" s="298"/>
      <c r="C60" s="298"/>
      <c r="D60" s="298" t="e">
        <f>#REF!</f>
        <v>#REF!</v>
      </c>
      <c r="E60" s="298"/>
      <c r="F60" s="298"/>
    </row>
    <row r="61" spans="1:22" ht="11.25" customHeight="1">
      <c r="A61" s="299"/>
      <c r="B61" s="299"/>
      <c r="C61" s="299"/>
      <c r="D61" s="299"/>
      <c r="E61" s="299"/>
      <c r="F61" s="299"/>
    </row>
    <row r="62" spans="1:22" ht="30" customHeight="1">
      <c r="A62" s="296" t="e">
        <f>#REF!</f>
        <v>#REF!</v>
      </c>
      <c r="B62" s="296"/>
      <c r="C62" s="296"/>
      <c r="D62" s="296" t="e">
        <f>#REF!</f>
        <v>#REF!</v>
      </c>
      <c r="E62" s="296"/>
      <c r="F62" s="296"/>
    </row>
    <row r="63" spans="1:22" ht="32.25" customHeight="1">
      <c r="A63" s="292" t="e">
        <f>#REF!</f>
        <v>#REF!</v>
      </c>
      <c r="B63" s="292"/>
      <c r="C63" s="292"/>
      <c r="D63" s="292" t="e">
        <f>#REF!</f>
        <v>#REF!</v>
      </c>
      <c r="E63" s="292"/>
      <c r="F63" s="292"/>
    </row>
    <row r="64" spans="1:22">
      <c r="A64" s="292" t="e">
        <f>#REF!</f>
        <v>#REF!</v>
      </c>
      <c r="B64" s="292"/>
      <c r="C64" s="292"/>
      <c r="D64" s="292" t="str">
        <f>"паспорт серии "&amp;malumot!B16&amp;", "&amp;malumot!B20&amp;""</f>
        <v>паспорт серии AB 0252157, SAMARQAND VILOYATI SAMARQAND SHAHAR IIB tomonidan 29.06.2015 yilda berilgan</v>
      </c>
      <c r="E64" s="292"/>
      <c r="F64" s="292"/>
    </row>
    <row r="65" spans="1:6" ht="32.25" customHeight="1">
      <c r="A65" s="292" t="e">
        <f>#REF!</f>
        <v>#REF!</v>
      </c>
      <c r="B65" s="292"/>
      <c r="C65" s="292"/>
      <c r="D65" s="292"/>
      <c r="E65" s="292"/>
      <c r="F65" s="292"/>
    </row>
    <row r="66" spans="1:6">
      <c r="A66" s="292" t="e">
        <f>#REF!</f>
        <v>#REF!</v>
      </c>
      <c r="B66" s="292"/>
      <c r="C66" s="292"/>
      <c r="D66" s="292" t="e">
        <f>#REF!</f>
        <v>#REF!</v>
      </c>
      <c r="E66" s="292"/>
      <c r="F66" s="292"/>
    </row>
    <row r="67" spans="1:6">
      <c r="A67" s="292" t="e">
        <f>#REF!</f>
        <v>#REF!</v>
      </c>
      <c r="B67" s="292"/>
      <c r="C67" s="292"/>
      <c r="D67" s="292" t="e">
        <f>#REF!</f>
        <v>#REF!</v>
      </c>
      <c r="E67" s="292"/>
      <c r="F67" s="292"/>
    </row>
    <row r="68" spans="1:6">
      <c r="A68" s="292" t="e">
        <f>#REF!</f>
        <v>#REF!</v>
      </c>
      <c r="B68" s="292"/>
      <c r="C68" s="292"/>
      <c r="D68" s="292" t="e">
        <f>#REF!</f>
        <v>#REF!</v>
      </c>
      <c r="E68" s="292"/>
      <c r="F68" s="292"/>
    </row>
    <row r="69" spans="1:6" ht="8.25" customHeight="1">
      <c r="A69" s="292"/>
      <c r="B69" s="292"/>
      <c r="C69" s="292"/>
      <c r="D69" s="292"/>
      <c r="E69" s="292"/>
      <c r="F69" s="292"/>
    </row>
    <row r="70" spans="1:6">
      <c r="A70" s="296" t="e">
        <f>#REF!</f>
        <v>#REF!</v>
      </c>
      <c r="B70" s="296"/>
      <c r="C70" s="296"/>
      <c r="D70" s="296" t="e">
        <f>#REF!</f>
        <v>#REF!</v>
      </c>
      <c r="E70" s="296"/>
      <c r="F70" s="296"/>
    </row>
    <row r="71" spans="1:6" ht="7.5" customHeight="1">
      <c r="A71" s="296"/>
      <c r="B71" s="296"/>
      <c r="C71" s="296"/>
      <c r="D71" s="296"/>
      <c r="E71" s="296"/>
      <c r="F71" s="296"/>
    </row>
    <row r="72" spans="1:6">
      <c r="A72" s="296" t="e">
        <f>#REF!</f>
        <v>#REF!</v>
      </c>
      <c r="B72" s="296"/>
      <c r="C72" s="296"/>
      <c r="D72" s="296" t="e">
        <f>#REF!</f>
        <v>#REF!</v>
      </c>
      <c r="E72" s="296"/>
      <c r="F72" s="296"/>
    </row>
    <row r="73" spans="1:6" ht="8.25" customHeight="1">
      <c r="A73" s="292"/>
      <c r="B73" s="292"/>
      <c r="C73" s="292"/>
      <c r="D73" s="292"/>
      <c r="E73" s="292"/>
      <c r="F73" s="292"/>
    </row>
    <row r="74" spans="1:6" ht="30" customHeight="1">
      <c r="A74" s="293"/>
      <c r="B74" s="293"/>
      <c r="C74" s="293"/>
      <c r="D74" s="294" t="e">
        <f>#REF!</f>
        <v>#REF!</v>
      </c>
      <c r="E74" s="294"/>
      <c r="F74" s="294"/>
    </row>
    <row r="75" spans="1:6">
      <c r="A75" s="295"/>
      <c r="B75" s="295"/>
      <c r="C75" s="295"/>
      <c r="D75" s="295"/>
      <c r="E75" s="295"/>
      <c r="F75" s="295"/>
    </row>
    <row r="76" spans="1:6">
      <c r="A76" s="291"/>
      <c r="B76" s="291"/>
      <c r="C76" s="291"/>
      <c r="D76" s="291"/>
      <c r="E76" s="291"/>
      <c r="F76" s="291"/>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43">
    <cfRule type="cellIs" dxfId="15" priority="7" operator="lessThan">
      <formula>22105</formula>
    </cfRule>
  </conditionalFormatting>
  <conditionalFormatting sqref="C8:C43">
    <cfRule type="cellIs" dxfId="14" priority="6" operator="lessThan">
      <formula>1</formula>
    </cfRule>
  </conditionalFormatting>
  <conditionalFormatting sqref="C8:F43">
    <cfRule type="cellIs" dxfId="13" priority="4" operator="lessThan">
      <formula>0.1</formula>
    </cfRule>
  </conditionalFormatting>
  <conditionalFormatting sqref="B44:B55">
    <cfRule type="cellIs" dxfId="12" priority="3" operator="lessThan">
      <formula>22105</formula>
    </cfRule>
  </conditionalFormatting>
  <conditionalFormatting sqref="C44:C55">
    <cfRule type="cellIs" dxfId="11" priority="2" operator="lessThan">
      <formula>1</formula>
    </cfRule>
  </conditionalFormatting>
  <conditionalFormatting sqref="C44:F55">
    <cfRule type="cellIs" dxfId="10"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96"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2" customFormat="1" ht="36.75" customHeight="1">
      <c r="A1" s="101" t="s">
        <v>14</v>
      </c>
      <c r="B1" s="102" t="s">
        <v>3</v>
      </c>
      <c r="D1" s="101"/>
      <c r="E1" s="101" t="s">
        <v>37</v>
      </c>
      <c r="F1" s="101" t="s">
        <v>38</v>
      </c>
      <c r="G1" s="101"/>
      <c r="H1" s="101"/>
      <c r="I1" s="101"/>
      <c r="J1" s="101"/>
      <c r="K1" s="101"/>
      <c r="L1" s="101" t="s">
        <v>39</v>
      </c>
      <c r="M1" s="101" t="s">
        <v>41</v>
      </c>
      <c r="N1" s="101" t="s">
        <v>40</v>
      </c>
    </row>
    <row r="2" spans="1:23" ht="15" customHeight="1">
      <c r="A2" s="95">
        <v>1</v>
      </c>
      <c r="B2" t="s">
        <v>251</v>
      </c>
      <c r="C2" t="s">
        <v>64</v>
      </c>
      <c r="D2" s="97" t="s">
        <v>251</v>
      </c>
      <c r="E2" s="97" t="s">
        <v>43</v>
      </c>
      <c r="F2" s="98">
        <v>44207</v>
      </c>
      <c r="G2" s="88">
        <f>MONTH(F2)</f>
        <v>1</v>
      </c>
      <c r="H2" s="98" t="str">
        <f>IF(G2=$A$26,$A$28,IF(G2=$B$26,$B$28,IF(G2=$C$26,$C$28,IF(G2=$D$26,$D$28,IF(G2=$E$26,$E$28,IF(G2=$F$26,$F$28,IF(G2=$K$26,$K$28,IF(G2=$L$26,$L$28,IF(G2=$M$26,$M$28,IF(G2=$N$26,$N$28,IF(G2=$O$26,$O$28,IF(G2=$P$26,$P$28,0))))))))))))</f>
        <v>yanvar</v>
      </c>
      <c r="I2" s="88">
        <f>DAY(F2)</f>
        <v>11</v>
      </c>
      <c r="J2" s="100">
        <f>YEAR(F2)</f>
        <v>2021</v>
      </c>
      <c r="K2" s="98" t="str">
        <f>""&amp;I2&amp;" "&amp;H2&amp;" "&amp;J2&amp;" г."</f>
        <v>11 yanvar 2021 г.</v>
      </c>
      <c r="L2" s="97">
        <v>5</v>
      </c>
      <c r="M2" s="99">
        <v>15000000</v>
      </c>
      <c r="N2" s="97" t="s">
        <v>127</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4"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95">
        <v>2</v>
      </c>
      <c r="D3" s="97" t="s">
        <v>251</v>
      </c>
      <c r="E3" s="97" t="s">
        <v>42</v>
      </c>
      <c r="F3" s="98">
        <v>43775</v>
      </c>
      <c r="G3" s="88">
        <f>MONTH(F3)</f>
        <v>11</v>
      </c>
      <c r="H3" s="98" t="str">
        <f>IF(G3=$A$26,$A$28,IF(G3=$B$26,$B$28,IF(G3=$C$26,$C$28,IF(G3=$D$26,$D$28,IF(G3=$E$26,$E$28,IF(G3=$F$26,$F$28,IF(G3=$K$26,$K$28,IF(G3=$L$26,$L$28,IF(G3=$M$26,$M$28,IF(G3=$N$26,$N$28,IF(G3=$O$26,$O$28,IF(G3=$P$26,$P$28,0))))))))))))</f>
        <v>noyabr</v>
      </c>
      <c r="I3" s="88">
        <f>DAY(F3)</f>
        <v>6</v>
      </c>
      <c r="J3" s="100">
        <f>YEAR(F3)</f>
        <v>2019</v>
      </c>
      <c r="K3" s="98" t="str">
        <f>""&amp;I3&amp;" "&amp;H3&amp;" "&amp;J3&amp;" г."</f>
        <v>6 noyabr 2019 г.</v>
      </c>
      <c r="L3" s="97">
        <v>386</v>
      </c>
      <c r="M3" s="99">
        <v>15000000</v>
      </c>
      <c r="N3" s="97" t="s">
        <v>127</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95">
        <v>3</v>
      </c>
      <c r="D4" s="97" t="s">
        <v>251</v>
      </c>
      <c r="E4" s="97" t="s">
        <v>42</v>
      </c>
      <c r="F4" s="98">
        <v>44217</v>
      </c>
      <c r="G4" s="88">
        <f>MONTH(F4)</f>
        <v>1</v>
      </c>
      <c r="H4" s="98" t="str">
        <f>IF(G4=$A$26,$A$28,IF(G4=$B$26,$B$28,IF(G4=$C$26,$C$28,IF(G4=$D$26,$D$28,IF(G4=$E$26,$E$28,IF(G4=$F$26,$F$28,IF(G4=$K$26,$K$28,IF(G4=$L$26,$L$28,IF(G4=$M$26,$M$28,IF(G4=$N$26,$N$28,IF(G4=$O$26,$O$28,IF(G4=$P$26,$P$28,0))))))))))))</f>
        <v>yanvar</v>
      </c>
      <c r="I4" s="88">
        <f>DAY(F4)</f>
        <v>21</v>
      </c>
      <c r="J4" s="100">
        <f>YEAR(F4)</f>
        <v>2021</v>
      </c>
      <c r="K4" s="98" t="str">
        <f>""&amp;I4&amp;" "&amp;H4&amp;" "&amp;J4&amp;" г."</f>
        <v>21 yanvar 2021 г.</v>
      </c>
      <c r="L4" s="97">
        <v>33</v>
      </c>
      <c r="M4" s="99">
        <v>15000000</v>
      </c>
      <c r="N4" s="97" t="s">
        <v>127</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95">
        <v>4</v>
      </c>
      <c r="D5" s="97" t="s">
        <v>251</v>
      </c>
      <c r="E5" s="97"/>
      <c r="F5" s="98"/>
      <c r="G5" s="88">
        <f t="shared" ref="G5:G21" si="2">MONTH(F5)</f>
        <v>1</v>
      </c>
      <c r="H5" s="98" t="str">
        <f t="shared" ref="H5:H21" si="3">IF(G5=$A$26,$A$28,IF(G5=$B$26,$B$28,IF(G5=$C$26,$C$28,IF(G5=$D$26,$D$28,IF(G5=$E$26,$E$28,IF(G5=$F$26,$F$28,IF(G5=$K$26,$K$28,IF(G5=$L$26,$L$28,IF(G5=$M$26,$M$28,IF(G5=$N$26,$N$28,IF(G5=$O$26,$O$28,IF(G5=$P$26,$P$28,0))))))))))))</f>
        <v>yanvar</v>
      </c>
      <c r="I5" s="88">
        <f t="shared" ref="I5:I21" si="4">DAY(F5)</f>
        <v>0</v>
      </c>
      <c r="J5" s="100">
        <f t="shared" ref="J5:J21" si="5">YEAR(F5)</f>
        <v>1900</v>
      </c>
      <c r="K5" s="98" t="str">
        <f t="shared" ref="K5:K21" si="6">""&amp;I5&amp;" "&amp;H5&amp;" "&amp;J5&amp;" г."</f>
        <v>0 yanvar 1900 г.</v>
      </c>
      <c r="L5" s="97"/>
      <c r="M5" s="99"/>
      <c r="N5" s="97"/>
      <c r="P5">
        <f t="shared" si="1"/>
        <v>0</v>
      </c>
    </row>
    <row r="6" spans="1:23" ht="15" customHeight="1">
      <c r="A6" s="95">
        <v>5</v>
      </c>
      <c r="D6" s="97" t="s">
        <v>251</v>
      </c>
      <c r="E6" s="97"/>
      <c r="F6" s="98"/>
      <c r="G6" s="88">
        <f t="shared" si="2"/>
        <v>1</v>
      </c>
      <c r="H6" s="98" t="str">
        <f t="shared" si="3"/>
        <v>yanvar</v>
      </c>
      <c r="I6" s="88">
        <f t="shared" si="4"/>
        <v>0</v>
      </c>
      <c r="J6" s="100">
        <f t="shared" si="5"/>
        <v>1900</v>
      </c>
      <c r="K6" s="98" t="str">
        <f t="shared" si="6"/>
        <v>0 yanvar 1900 г.</v>
      </c>
      <c r="L6" s="97"/>
      <c r="M6" s="99"/>
      <c r="N6" s="97"/>
      <c r="P6">
        <f t="shared" si="1"/>
        <v>0</v>
      </c>
    </row>
    <row r="7" spans="1:23" ht="15" customHeight="1">
      <c r="A7" s="95">
        <v>6</v>
      </c>
      <c r="D7" s="97" t="s">
        <v>251</v>
      </c>
      <c r="E7" s="97"/>
      <c r="F7" s="98"/>
      <c r="G7" s="88">
        <f t="shared" si="2"/>
        <v>1</v>
      </c>
      <c r="H7" s="98" t="str">
        <f t="shared" si="3"/>
        <v>yanvar</v>
      </c>
      <c r="I7" s="88">
        <f t="shared" si="4"/>
        <v>0</v>
      </c>
      <c r="J7" s="100">
        <f t="shared" si="5"/>
        <v>1900</v>
      </c>
      <c r="K7" s="98" t="str">
        <f t="shared" si="6"/>
        <v>0 yanvar 1900 г.</v>
      </c>
      <c r="L7" s="97"/>
      <c r="M7" s="99"/>
      <c r="N7" s="97"/>
      <c r="P7">
        <f t="shared" si="1"/>
        <v>0</v>
      </c>
    </row>
    <row r="8" spans="1:23" ht="15" customHeight="1">
      <c r="A8" s="95">
        <v>7</v>
      </c>
      <c r="D8" s="97" t="s">
        <v>251</v>
      </c>
      <c r="E8" s="97"/>
      <c r="F8" s="98"/>
      <c r="G8" s="88">
        <f t="shared" si="2"/>
        <v>1</v>
      </c>
      <c r="H8" s="98" t="str">
        <f t="shared" si="3"/>
        <v>yanvar</v>
      </c>
      <c r="I8" s="88">
        <f t="shared" si="4"/>
        <v>0</v>
      </c>
      <c r="J8" s="100">
        <f t="shared" si="5"/>
        <v>1900</v>
      </c>
      <c r="K8" s="98" t="str">
        <f t="shared" si="6"/>
        <v>0 yanvar 1900 г.</v>
      </c>
      <c r="L8" s="97"/>
      <c r="M8" s="99"/>
      <c r="N8" s="97"/>
      <c r="P8">
        <f t="shared" si="1"/>
        <v>0</v>
      </c>
    </row>
    <row r="9" spans="1:23" ht="15" customHeight="1">
      <c r="A9" s="95">
        <v>8</v>
      </c>
      <c r="D9" s="97" t="s">
        <v>251</v>
      </c>
      <c r="E9" s="97"/>
      <c r="F9" s="98"/>
      <c r="G9" s="88">
        <f t="shared" si="2"/>
        <v>1</v>
      </c>
      <c r="H9" s="98" t="str">
        <f t="shared" si="3"/>
        <v>yanvar</v>
      </c>
      <c r="I9" s="88">
        <f t="shared" si="4"/>
        <v>0</v>
      </c>
      <c r="J9" s="100">
        <f t="shared" si="5"/>
        <v>1900</v>
      </c>
      <c r="K9" s="98" t="str">
        <f t="shared" si="6"/>
        <v>0 yanvar 1900 г.</v>
      </c>
      <c r="L9" s="97"/>
      <c r="M9" s="99"/>
      <c r="N9" s="97"/>
      <c r="P9">
        <f t="shared" si="1"/>
        <v>0</v>
      </c>
    </row>
    <row r="10" spans="1:23" ht="15" customHeight="1">
      <c r="A10" s="95">
        <v>9</v>
      </c>
      <c r="D10" s="97" t="s">
        <v>251</v>
      </c>
      <c r="E10" s="97"/>
      <c r="F10" s="98"/>
      <c r="G10" s="88">
        <f t="shared" si="2"/>
        <v>1</v>
      </c>
      <c r="H10" s="98" t="str">
        <f t="shared" si="3"/>
        <v>yanvar</v>
      </c>
      <c r="I10" s="88">
        <f t="shared" si="4"/>
        <v>0</v>
      </c>
      <c r="J10" s="100">
        <f t="shared" si="5"/>
        <v>1900</v>
      </c>
      <c r="K10" s="98" t="str">
        <f t="shared" si="6"/>
        <v>0 yanvar 1900 г.</v>
      </c>
      <c r="L10" s="97"/>
      <c r="M10" s="99"/>
      <c r="N10" s="97"/>
      <c r="P10">
        <f t="shared" si="1"/>
        <v>0</v>
      </c>
    </row>
    <row r="11" spans="1:23" ht="15" customHeight="1">
      <c r="A11" s="95">
        <v>10</v>
      </c>
      <c r="D11" s="97" t="s">
        <v>251</v>
      </c>
      <c r="E11" s="97"/>
      <c r="F11" s="98"/>
      <c r="G11" s="88">
        <f t="shared" si="2"/>
        <v>1</v>
      </c>
      <c r="H11" s="98" t="str">
        <f t="shared" si="3"/>
        <v>yanvar</v>
      </c>
      <c r="I11" s="88">
        <f t="shared" si="4"/>
        <v>0</v>
      </c>
      <c r="J11" s="100">
        <f t="shared" si="5"/>
        <v>1900</v>
      </c>
      <c r="K11" s="98" t="str">
        <f t="shared" si="6"/>
        <v>0 yanvar 1900 г.</v>
      </c>
      <c r="L11" s="97"/>
      <c r="M11" s="99"/>
      <c r="N11" s="97"/>
      <c r="P11">
        <f t="shared" si="1"/>
        <v>0</v>
      </c>
    </row>
    <row r="12" spans="1:23" ht="15" customHeight="1">
      <c r="A12" s="95">
        <v>11</v>
      </c>
      <c r="D12" s="97" t="s">
        <v>251</v>
      </c>
      <c r="E12" s="97"/>
      <c r="F12" s="98"/>
      <c r="G12" s="88">
        <f t="shared" si="2"/>
        <v>1</v>
      </c>
      <c r="H12" s="98" t="str">
        <f t="shared" si="3"/>
        <v>yanvar</v>
      </c>
      <c r="I12" s="88">
        <f t="shared" si="4"/>
        <v>0</v>
      </c>
      <c r="J12" s="100">
        <f t="shared" si="5"/>
        <v>1900</v>
      </c>
      <c r="K12" s="98" t="str">
        <f t="shared" si="6"/>
        <v>0 yanvar 1900 г.</v>
      </c>
      <c r="L12" s="97"/>
      <c r="M12" s="99"/>
      <c r="N12" s="97"/>
      <c r="P12">
        <f t="shared" si="1"/>
        <v>0</v>
      </c>
    </row>
    <row r="13" spans="1:23" ht="15" customHeight="1">
      <c r="A13" s="95">
        <v>12</v>
      </c>
      <c r="D13" s="97" t="s">
        <v>251</v>
      </c>
      <c r="E13" s="97"/>
      <c r="F13" s="98"/>
      <c r="G13" s="88">
        <f t="shared" si="2"/>
        <v>1</v>
      </c>
      <c r="H13" s="98" t="str">
        <f t="shared" si="3"/>
        <v>yanvar</v>
      </c>
      <c r="I13" s="88">
        <f t="shared" si="4"/>
        <v>0</v>
      </c>
      <c r="J13" s="100">
        <f t="shared" si="5"/>
        <v>1900</v>
      </c>
      <c r="K13" s="98" t="str">
        <f t="shared" si="6"/>
        <v>0 yanvar 1900 г.</v>
      </c>
      <c r="L13" s="97"/>
      <c r="M13" s="99"/>
      <c r="N13" s="97"/>
      <c r="P13">
        <f t="shared" si="1"/>
        <v>0</v>
      </c>
    </row>
    <row r="14" spans="1:23" ht="15" customHeight="1">
      <c r="A14" s="95">
        <v>13</v>
      </c>
      <c r="D14" s="97" t="s">
        <v>251</v>
      </c>
      <c r="E14" s="97"/>
      <c r="F14" s="98"/>
      <c r="G14" s="88">
        <f t="shared" si="2"/>
        <v>1</v>
      </c>
      <c r="H14" s="98" t="str">
        <f t="shared" si="3"/>
        <v>yanvar</v>
      </c>
      <c r="I14" s="88">
        <f t="shared" si="4"/>
        <v>0</v>
      </c>
      <c r="J14" s="100">
        <f t="shared" si="5"/>
        <v>1900</v>
      </c>
      <c r="K14" s="98" t="str">
        <f t="shared" si="6"/>
        <v>0 yanvar 1900 г.</v>
      </c>
      <c r="L14" s="97"/>
      <c r="M14" s="99"/>
      <c r="N14" s="97"/>
      <c r="P14">
        <f t="shared" si="1"/>
        <v>0</v>
      </c>
    </row>
    <row r="15" spans="1:23" ht="15" customHeight="1">
      <c r="A15" s="95">
        <v>14</v>
      </c>
      <c r="D15" s="97" t="s">
        <v>251</v>
      </c>
      <c r="E15" s="97"/>
      <c r="F15" s="98"/>
      <c r="G15" s="88">
        <f t="shared" si="2"/>
        <v>1</v>
      </c>
      <c r="H15" s="98" t="str">
        <f t="shared" si="3"/>
        <v>yanvar</v>
      </c>
      <c r="I15" s="88">
        <f t="shared" si="4"/>
        <v>0</v>
      </c>
      <c r="J15" s="100">
        <f t="shared" si="5"/>
        <v>1900</v>
      </c>
      <c r="K15" s="98" t="str">
        <f t="shared" si="6"/>
        <v>0 yanvar 1900 г.</v>
      </c>
      <c r="L15" s="97"/>
      <c r="M15" s="99"/>
      <c r="N15" s="97"/>
      <c r="P15">
        <f t="shared" si="1"/>
        <v>0</v>
      </c>
    </row>
    <row r="16" spans="1:23" ht="15" customHeight="1">
      <c r="A16" s="95">
        <v>15</v>
      </c>
      <c r="D16" s="97" t="s">
        <v>251</v>
      </c>
      <c r="E16" s="97"/>
      <c r="F16" s="98"/>
      <c r="G16" s="88">
        <f t="shared" si="2"/>
        <v>1</v>
      </c>
      <c r="H16" s="98" t="str">
        <f t="shared" si="3"/>
        <v>yanvar</v>
      </c>
      <c r="I16" s="88">
        <f t="shared" si="4"/>
        <v>0</v>
      </c>
      <c r="J16" s="100">
        <f t="shared" si="5"/>
        <v>1900</v>
      </c>
      <c r="K16" s="98" t="str">
        <f t="shared" si="6"/>
        <v>0 yanvar 1900 г.</v>
      </c>
      <c r="L16" s="97"/>
      <c r="M16" s="99"/>
      <c r="N16" s="97"/>
      <c r="P16">
        <f t="shared" si="1"/>
        <v>0</v>
      </c>
    </row>
    <row r="17" spans="1:17" ht="15" customHeight="1">
      <c r="A17" s="95">
        <v>16</v>
      </c>
      <c r="D17" s="97" t="s">
        <v>251</v>
      </c>
      <c r="E17" s="97"/>
      <c r="F17" s="98"/>
      <c r="G17" s="88">
        <f t="shared" si="2"/>
        <v>1</v>
      </c>
      <c r="H17" s="98" t="str">
        <f t="shared" si="3"/>
        <v>yanvar</v>
      </c>
      <c r="I17" s="88">
        <f t="shared" si="4"/>
        <v>0</v>
      </c>
      <c r="J17" s="100">
        <f t="shared" si="5"/>
        <v>1900</v>
      </c>
      <c r="K17" s="98" t="str">
        <f t="shared" si="6"/>
        <v>0 yanvar 1900 г.</v>
      </c>
      <c r="L17" s="97"/>
      <c r="M17" s="99"/>
      <c r="N17" s="97"/>
      <c r="P17">
        <f t="shared" si="1"/>
        <v>0</v>
      </c>
    </row>
    <row r="18" spans="1:17" ht="15" customHeight="1">
      <c r="A18" s="95">
        <v>17</v>
      </c>
      <c r="D18" s="97" t="s">
        <v>251</v>
      </c>
      <c r="E18" s="97"/>
      <c r="F18" s="98"/>
      <c r="G18" s="88">
        <f t="shared" si="2"/>
        <v>1</v>
      </c>
      <c r="H18" s="98" t="str">
        <f t="shared" si="3"/>
        <v>yanvar</v>
      </c>
      <c r="I18" s="88">
        <f t="shared" si="4"/>
        <v>0</v>
      </c>
      <c r="J18" s="100">
        <f t="shared" si="5"/>
        <v>1900</v>
      </c>
      <c r="K18" s="98" t="str">
        <f t="shared" si="6"/>
        <v>0 yanvar 1900 г.</v>
      </c>
      <c r="L18" s="97"/>
      <c r="M18" s="99"/>
      <c r="N18" s="97"/>
      <c r="P18">
        <f t="shared" si="1"/>
        <v>0</v>
      </c>
    </row>
    <row r="19" spans="1:17" ht="15" customHeight="1">
      <c r="A19" s="95">
        <v>18</v>
      </c>
      <c r="D19" s="97" t="s">
        <v>251</v>
      </c>
      <c r="E19" s="97"/>
      <c r="F19" s="98"/>
      <c r="G19" s="88">
        <f t="shared" si="2"/>
        <v>1</v>
      </c>
      <c r="H19" s="98" t="str">
        <f t="shared" si="3"/>
        <v>yanvar</v>
      </c>
      <c r="I19" s="88">
        <f t="shared" si="4"/>
        <v>0</v>
      </c>
      <c r="J19" s="100">
        <f t="shared" si="5"/>
        <v>1900</v>
      </c>
      <c r="K19" s="98" t="str">
        <f t="shared" si="6"/>
        <v>0 yanvar 1900 г.</v>
      </c>
      <c r="L19" s="97"/>
      <c r="M19" s="99"/>
      <c r="N19" s="97"/>
      <c r="P19">
        <f t="shared" si="1"/>
        <v>0</v>
      </c>
    </row>
    <row r="20" spans="1:17" ht="15" customHeight="1">
      <c r="A20" s="95">
        <v>19</v>
      </c>
      <c r="D20" s="97" t="s">
        <v>251</v>
      </c>
      <c r="E20" s="97"/>
      <c r="F20" s="98"/>
      <c r="G20" s="88">
        <f t="shared" si="2"/>
        <v>1</v>
      </c>
      <c r="H20" s="98" t="str">
        <f t="shared" si="3"/>
        <v>yanvar</v>
      </c>
      <c r="I20" s="88">
        <f t="shared" si="4"/>
        <v>0</v>
      </c>
      <c r="J20" s="100">
        <f t="shared" si="5"/>
        <v>1900</v>
      </c>
      <c r="K20" s="98" t="str">
        <f t="shared" si="6"/>
        <v>0 yanvar 1900 г.</v>
      </c>
      <c r="L20" s="97"/>
      <c r="M20" s="99"/>
      <c r="N20" s="97"/>
      <c r="P20">
        <f t="shared" si="1"/>
        <v>0</v>
      </c>
    </row>
    <row r="21" spans="1:17" ht="15" customHeight="1">
      <c r="A21" s="95">
        <v>20</v>
      </c>
      <c r="D21" s="97" t="s">
        <v>251</v>
      </c>
      <c r="E21" s="97"/>
      <c r="F21" s="98"/>
      <c r="G21" s="88">
        <f t="shared" si="2"/>
        <v>1</v>
      </c>
      <c r="H21" s="98" t="str">
        <f t="shared" si="3"/>
        <v>yanvar</v>
      </c>
      <c r="I21" s="88">
        <f t="shared" si="4"/>
        <v>0</v>
      </c>
      <c r="J21" s="100">
        <f t="shared" si="5"/>
        <v>1900</v>
      </c>
      <c r="K21" s="98" t="str">
        <f t="shared" si="6"/>
        <v>0 yanvar 1900 г.</v>
      </c>
      <c r="L21" s="97"/>
      <c r="M21" s="99"/>
      <c r="N21" s="97"/>
      <c r="P21">
        <f t="shared" si="1"/>
        <v>0</v>
      </c>
    </row>
    <row r="22" spans="1:17">
      <c r="M22" s="103">
        <f>SUM(M2:M21)+malumot!B144</f>
        <v>101000000</v>
      </c>
      <c r="Q22" t="s">
        <v>250</v>
      </c>
    </row>
    <row r="23" spans="1:17">
      <c r="A23" s="84"/>
      <c r="B23" s="85"/>
      <c r="C23" s="85"/>
      <c r="D23" s="85"/>
      <c r="E23" s="85"/>
      <c r="F23" s="85"/>
      <c r="G23" s="85"/>
      <c r="H23" s="85"/>
      <c r="I23" s="85"/>
      <c r="J23" s="85"/>
      <c r="K23" s="85"/>
      <c r="L23" s="85"/>
      <c r="M23" s="85"/>
      <c r="N23" s="85"/>
      <c r="O23" s="85"/>
    </row>
    <row r="24" spans="1:17">
      <c r="A24" s="85"/>
      <c r="B24" s="85"/>
      <c r="C24" s="85"/>
      <c r="D24" s="85"/>
      <c r="E24" s="85"/>
      <c r="F24" s="85"/>
      <c r="G24" s="85"/>
      <c r="H24" s="85"/>
      <c r="I24" s="85"/>
      <c r="J24" s="85"/>
      <c r="K24" s="85"/>
      <c r="L24" s="85"/>
      <c r="M24" s="85"/>
      <c r="N24" s="85"/>
      <c r="O24" s="85"/>
    </row>
    <row r="25" spans="1:17">
      <c r="A25" s="85">
        <f>MONTH(F2)</f>
        <v>1</v>
      </c>
      <c r="B25" s="85" t="str">
        <f>IF(A25=A26,A28,IF(A25=B26,B28,IF(A25=C26,C28,IF(A25=D26,D28,IF(A25=E26,E28,IF(A25=F26,F28,IF(A25=K26,K28,IF(A25=L26,L28,IF(A25=M26,M28,IF(A25=N26,N28,IF(A25=O26,O28,IF(A25=#REF!,#REF!,))))))))))))</f>
        <v>yanvar</v>
      </c>
      <c r="C25" s="85">
        <f>DAY(F2)</f>
        <v>11</v>
      </c>
      <c r="D25" s="85">
        <f>YEAR(F2)</f>
        <v>2021</v>
      </c>
      <c r="E25" s="85"/>
      <c r="F25" s="85"/>
      <c r="G25" s="85"/>
      <c r="H25" s="85"/>
      <c r="I25" s="85"/>
      <c r="J25" s="85"/>
      <c r="K25" s="85"/>
      <c r="L25" s="85"/>
      <c r="M25" s="85"/>
      <c r="N25" s="85"/>
      <c r="O25" s="85"/>
    </row>
    <row r="26" spans="1:17">
      <c r="A26" s="85">
        <v>1</v>
      </c>
      <c r="B26" s="85">
        <v>2</v>
      </c>
      <c r="C26" s="85">
        <v>3</v>
      </c>
      <c r="D26" s="85">
        <v>4</v>
      </c>
      <c r="E26" s="85">
        <v>5</v>
      </c>
      <c r="F26" s="85">
        <v>6</v>
      </c>
      <c r="G26" s="85"/>
      <c r="H26" s="85"/>
      <c r="I26" s="85"/>
      <c r="J26" s="85"/>
      <c r="K26" s="85">
        <v>7</v>
      </c>
      <c r="L26" s="85">
        <v>8</v>
      </c>
      <c r="M26" s="85">
        <v>9</v>
      </c>
      <c r="N26" s="85">
        <v>10</v>
      </c>
      <c r="O26" s="85">
        <v>11</v>
      </c>
      <c r="P26" s="85">
        <v>12</v>
      </c>
    </row>
    <row r="27" spans="1:17">
      <c r="A27" s="85"/>
      <c r="B27" s="85"/>
      <c r="C27" s="85"/>
      <c r="D27" s="85"/>
      <c r="E27" s="85"/>
      <c r="F27" s="85"/>
      <c r="G27" s="85"/>
      <c r="H27" s="85"/>
      <c r="I27" s="85"/>
      <c r="J27" s="85"/>
      <c r="K27" s="85"/>
      <c r="L27" s="85"/>
      <c r="M27" s="85"/>
      <c r="N27" s="85"/>
      <c r="O27" s="85"/>
    </row>
    <row r="28" spans="1:17">
      <c r="A28" s="85" t="s">
        <v>116</v>
      </c>
      <c r="B28" s="85" t="s">
        <v>117</v>
      </c>
      <c r="C28" s="85" t="s">
        <v>106</v>
      </c>
      <c r="D28" s="85" t="s">
        <v>107</v>
      </c>
      <c r="E28" s="85" t="s">
        <v>108</v>
      </c>
      <c r="F28" s="85" t="s">
        <v>109</v>
      </c>
      <c r="G28" s="85"/>
      <c r="H28" s="85"/>
      <c r="I28" s="85"/>
      <c r="J28" s="85"/>
      <c r="K28" s="85" t="s">
        <v>22</v>
      </c>
      <c r="L28" s="85" t="s">
        <v>111</v>
      </c>
      <c r="M28" s="85" t="s">
        <v>249</v>
      </c>
      <c r="N28" s="85" t="s">
        <v>248</v>
      </c>
      <c r="O28" s="85" t="s">
        <v>114</v>
      </c>
      <c r="P28" s="85" t="s">
        <v>115</v>
      </c>
    </row>
    <row r="29" spans="1:17">
      <c r="A29" s="85" t="s">
        <v>116</v>
      </c>
      <c r="B29" s="85" t="s">
        <v>117</v>
      </c>
      <c r="C29" s="85" t="s">
        <v>106</v>
      </c>
      <c r="D29" s="85" t="s">
        <v>107</v>
      </c>
      <c r="E29" s="85" t="s">
        <v>108</v>
      </c>
      <c r="F29" s="85" t="s">
        <v>109</v>
      </c>
      <c r="G29" s="85"/>
      <c r="H29" s="85"/>
      <c r="I29" s="85"/>
      <c r="J29" s="85"/>
      <c r="K29" s="85" t="s">
        <v>25</v>
      </c>
      <c r="L29" s="85" t="s">
        <v>111</v>
      </c>
      <c r="M29" s="85" t="s">
        <v>249</v>
      </c>
      <c r="N29" s="85" t="s">
        <v>248</v>
      </c>
      <c r="O29" s="85" t="s">
        <v>114</v>
      </c>
      <c r="P29" s="85" t="s">
        <v>115</v>
      </c>
    </row>
    <row r="30" spans="1:17">
      <c r="A30" s="85"/>
      <c r="B30" s="85"/>
      <c r="C30" s="85"/>
      <c r="D30" s="85"/>
      <c r="E30" s="85"/>
      <c r="F30" s="85"/>
      <c r="G30" s="85"/>
      <c r="H30" s="85"/>
      <c r="I30" s="85"/>
      <c r="J30" s="85"/>
      <c r="K30" s="85"/>
      <c r="L30" s="86"/>
      <c r="M30" s="86"/>
      <c r="N30" s="86"/>
      <c r="O30" s="86"/>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cols>
    <col min="1" max="1" width="9.140625" style="10"/>
    <col min="2" max="2" width="10.140625" style="10" bestFit="1" customWidth="1"/>
    <col min="3" max="3" width="16.5703125" style="10" customWidth="1"/>
    <col min="4" max="4" width="17.140625" style="10" customWidth="1"/>
    <col min="5" max="5" width="17.85546875" style="10" customWidth="1"/>
    <col min="6" max="6" width="20.85546875" style="10" customWidth="1"/>
    <col min="7" max="7" width="10.140625" style="10" customWidth="1" outlineLevel="1"/>
    <col min="8" max="16384" width="9.140625" style="10"/>
  </cols>
  <sheetData>
    <row r="1" spans="1:8">
      <c r="A1" s="31"/>
      <c r="B1" s="31"/>
      <c r="C1" s="31"/>
      <c r="D1" s="31"/>
      <c r="E1" s="312" t="s">
        <v>15</v>
      </c>
      <c r="F1" s="312"/>
    </row>
    <row r="2" spans="1:8">
      <c r="A2" s="31"/>
      <c r="B2" s="31"/>
      <c r="C2" s="31"/>
      <c r="D2" s="31"/>
      <c r="E2" s="31"/>
      <c r="F2" s="32" t="str">
        <f>"к договору микрозайма "&amp;malumot!B74&amp;""</f>
        <v>к договору микрозайма 10 aprel 2025 y.dan №745-SM</v>
      </c>
    </row>
    <row r="3" spans="1:8" ht="6.75" customHeight="1">
      <c r="A3" s="31"/>
      <c r="B3" s="31"/>
      <c r="C3" s="31"/>
      <c r="D3" s="31"/>
      <c r="E3" s="31"/>
      <c r="F3" s="31"/>
    </row>
    <row r="4" spans="1:8">
      <c r="A4" s="313" t="s">
        <v>16</v>
      </c>
      <c r="B4" s="313"/>
      <c r="C4" s="313"/>
      <c r="D4" s="313"/>
      <c r="E4" s="313"/>
      <c r="F4" s="313"/>
    </row>
    <row r="5" spans="1:8" ht="7.5" customHeight="1"/>
    <row r="6" spans="1:8">
      <c r="A6" s="314" t="s">
        <v>14</v>
      </c>
      <c r="B6" s="315" t="s">
        <v>8</v>
      </c>
      <c r="C6" s="315" t="s">
        <v>9</v>
      </c>
      <c r="D6" s="316" t="s">
        <v>10</v>
      </c>
      <c r="E6" s="316"/>
      <c r="F6" s="316"/>
    </row>
    <row r="7" spans="1:8" s="11" customFormat="1">
      <c r="A7" s="314"/>
      <c r="B7" s="315"/>
      <c r="C7" s="315"/>
      <c r="D7" s="12" t="s">
        <v>11</v>
      </c>
      <c r="E7" s="12" t="s">
        <v>12</v>
      </c>
      <c r="F7" s="12" t="s">
        <v>13</v>
      </c>
    </row>
    <row r="8" spans="1:8">
      <c r="A8" s="13">
        <v>1</v>
      </c>
      <c r="B8" s="27">
        <f>'График дифференц'!B8</f>
        <v>45792</v>
      </c>
      <c r="C8" s="28">
        <f>malumot!B75</f>
        <v>40000000</v>
      </c>
      <c r="D8" s="28">
        <f>IF(A8&lt;malumot!$B$81,'График аннуитет.'!F8-'График аннуитет.'!E8,'График аннуитет.'!C8)</f>
        <v>1666666.67</v>
      </c>
      <c r="E8" s="28">
        <f>ROUND(C8*malumot!$B$84/H8,2)*'График аннуитет.'!G8</f>
        <v>2109588.9500000002</v>
      </c>
      <c r="F8" s="28">
        <f>malumot!B90</f>
        <v>3776255.62</v>
      </c>
      <c r="G8" s="10">
        <f>B8-malumot!B67</f>
        <v>35</v>
      </c>
      <c r="H8" s="10">
        <f>DATE(YEAR(B8),12,31)-DATE(YEAR(B8),1,1)+1</f>
        <v>365</v>
      </c>
    </row>
    <row r="9" spans="1:8">
      <c r="A9" s="13">
        <v>2</v>
      </c>
      <c r="B9" s="27">
        <f>'График дифференц'!B9</f>
        <v>45824</v>
      </c>
      <c r="C9" s="28">
        <f t="shared" ref="C9:C30" si="0">C8-D8</f>
        <v>38333333.329999998</v>
      </c>
      <c r="D9" s="28">
        <f>IF(A9&lt;malumot!$B$81,'График аннуитет.'!F9-'График аннуитет.'!E9,'График аннуитет.'!C9)</f>
        <v>1927853.7000000002</v>
      </c>
      <c r="E9" s="28">
        <f>ROUND(C9*malumot!$B$84/H9,2)*'График аннуитет.'!G9</f>
        <v>1848401.9199999999</v>
      </c>
      <c r="F9" s="28">
        <f>IF(A9&lt;malumot!$B$81,'График аннуитет.'!F8,'График аннуитет.'!D9+'График аннуитет.'!E9)</f>
        <v>3776255.62</v>
      </c>
      <c r="G9" s="10">
        <f>B9-B8</f>
        <v>32</v>
      </c>
      <c r="H9" s="10">
        <f t="shared" ref="H9:H31" si="1">DATE(YEAR(B9),12,31)-DATE(YEAR(B9),1,1)+1</f>
        <v>365</v>
      </c>
    </row>
    <row r="10" spans="1:8">
      <c r="A10" s="13">
        <v>3</v>
      </c>
      <c r="B10" s="27">
        <f>'График дифференц'!B10</f>
        <v>45853</v>
      </c>
      <c r="C10" s="28">
        <f t="shared" si="0"/>
        <v>36405479.629999995</v>
      </c>
      <c r="D10" s="28">
        <f>IF(A10&lt;malumot!$B$81,'График аннуитет.'!F10-'График аннуитет.'!E10,'График аннуитет.'!C10)</f>
        <v>2185386.09</v>
      </c>
      <c r="E10" s="28">
        <f>ROUND(C10*malumot!$B$84/H10,2)*'График аннуитет.'!G10</f>
        <v>1590869.53</v>
      </c>
      <c r="F10" s="28">
        <f>IF(A10&lt;malumot!$B$81,'График аннуитет.'!F9,'График аннуитет.'!D10+'График аннуитет.'!E10)</f>
        <v>3776255.62</v>
      </c>
      <c r="G10" s="10">
        <f t="shared" ref="G10:G24" si="2">B10-B9</f>
        <v>29</v>
      </c>
      <c r="H10" s="10">
        <f t="shared" si="1"/>
        <v>365</v>
      </c>
    </row>
    <row r="11" spans="1:8">
      <c r="A11" s="13">
        <v>4</v>
      </c>
      <c r="B11" s="27">
        <f>'График дифференц'!B11</f>
        <v>45884</v>
      </c>
      <c r="C11" s="28">
        <f t="shared" si="0"/>
        <v>34220093.539999992</v>
      </c>
      <c r="D11" s="28">
        <f>IF(A11&lt;malumot!$B$81,'График аннуитет.'!F11-'График аннуитет.'!E11,'График аннуитет.'!C11)</f>
        <v>2177755.5</v>
      </c>
      <c r="E11" s="28">
        <f>ROUND(C11*malumot!$B$84/H11,2)*'График аннуитет.'!G11</f>
        <v>1598500.1199999999</v>
      </c>
      <c r="F11" s="28">
        <f>IF(A11&lt;malumot!$B$81,'График аннуитет.'!F10,'График аннуитет.'!D11+'График аннуитет.'!E11)</f>
        <v>3776255.62</v>
      </c>
      <c r="G11" s="10">
        <f t="shared" si="2"/>
        <v>31</v>
      </c>
      <c r="H11" s="10">
        <f t="shared" si="1"/>
        <v>365</v>
      </c>
    </row>
    <row r="12" spans="1:8">
      <c r="A12" s="13">
        <v>5</v>
      </c>
      <c r="B12" s="27">
        <f>'График дифференц'!B12</f>
        <v>45915</v>
      </c>
      <c r="C12" s="28">
        <f t="shared" si="0"/>
        <v>32042338.039999992</v>
      </c>
      <c r="D12" s="28">
        <f>IF(A12&lt;malumot!$B$81,'График аннуитет.'!F12-'График аннуитет.'!E12,'График аннуитет.'!C12)</f>
        <v>2279483.2400000002</v>
      </c>
      <c r="E12" s="28">
        <f>ROUND(C12*malumot!$B$84/H12,2)*'График аннуитет.'!G12</f>
        <v>1496772.3800000001</v>
      </c>
      <c r="F12" s="28">
        <f>IF(A12&lt;malumot!$B$81,'График аннуитет.'!F11,'График аннуитет.'!D12+'График аннуитет.'!E12)</f>
        <v>3776255.62</v>
      </c>
      <c r="G12" s="10">
        <f t="shared" si="2"/>
        <v>31</v>
      </c>
      <c r="H12" s="10">
        <f t="shared" si="1"/>
        <v>365</v>
      </c>
    </row>
    <row r="13" spans="1:8">
      <c r="A13" s="13">
        <v>6</v>
      </c>
      <c r="B13" s="27">
        <f>'График дифференц'!B13</f>
        <v>45945</v>
      </c>
      <c r="C13" s="28">
        <f t="shared" si="0"/>
        <v>29762854.79999999</v>
      </c>
      <c r="D13" s="28">
        <f>IF(A13&lt;malumot!$B$81,'График аннуитет.'!F13-'График аннуитет.'!E13,'График аннуитет.'!C13)</f>
        <v>2430811.42</v>
      </c>
      <c r="E13" s="28">
        <f>ROUND(C13*malumot!$B$84/H13,2)*'График аннуитет.'!G13</f>
        <v>1345444.2</v>
      </c>
      <c r="F13" s="28">
        <f>IF(A13&lt;malumot!$B$81,'График аннуитет.'!F12,'График аннуитет.'!D13+'График аннуитет.'!E13)</f>
        <v>3776255.62</v>
      </c>
      <c r="G13" s="10">
        <f t="shared" si="2"/>
        <v>30</v>
      </c>
      <c r="H13" s="10">
        <f t="shared" si="1"/>
        <v>365</v>
      </c>
    </row>
    <row r="14" spans="1:8">
      <c r="A14" s="13">
        <v>7</v>
      </c>
      <c r="B14" s="27">
        <f>'График дифференц'!B14</f>
        <v>45978</v>
      </c>
      <c r="C14" s="28">
        <f t="shared" si="0"/>
        <v>27332043.379999988</v>
      </c>
      <c r="D14" s="28">
        <f>IF(A14&lt;malumot!$B$81,'График аннуитет.'!F14-'График аннуитет.'!E14,'График аннуитет.'!C14)</f>
        <v>2417141.71</v>
      </c>
      <c r="E14" s="28">
        <f>ROUND(C14*malumot!$B$84/H14,2)*'График аннуитет.'!G14</f>
        <v>1359113.91</v>
      </c>
      <c r="F14" s="28">
        <f>IF(A14&lt;malumot!$B$81,'График аннуитет.'!F13,'График аннуитет.'!D14+'График аннуитет.'!E14)</f>
        <v>3776255.62</v>
      </c>
      <c r="G14" s="10">
        <f t="shared" si="2"/>
        <v>33</v>
      </c>
      <c r="H14" s="10">
        <f t="shared" si="1"/>
        <v>365</v>
      </c>
    </row>
    <row r="15" spans="1:8">
      <c r="A15" s="13">
        <v>8</v>
      </c>
      <c r="B15" s="27">
        <f>'График дифференц'!B15</f>
        <v>46006</v>
      </c>
      <c r="C15" s="28">
        <f t="shared" si="0"/>
        <v>24914901.669999987</v>
      </c>
      <c r="D15" s="28">
        <f>IF(A15&lt;malumot!$B$81,'График аннуитет.'!F15-'График аннуитет.'!E15,'График аннуитет.'!C15)</f>
        <v>2725051.62</v>
      </c>
      <c r="E15" s="28">
        <f>ROUND(C15*malumot!$B$84/H15,2)*'График аннуитет.'!G15</f>
        <v>1051204</v>
      </c>
      <c r="F15" s="28">
        <f>IF(A15&lt;malumot!$B$81,'График аннуитет.'!F14,'График аннуитет.'!D15+'График аннуитет.'!E15)</f>
        <v>3776255.62</v>
      </c>
      <c r="G15" s="10">
        <f t="shared" si="2"/>
        <v>28</v>
      </c>
      <c r="H15" s="10">
        <f t="shared" si="1"/>
        <v>365</v>
      </c>
    </row>
    <row r="16" spans="1:8">
      <c r="A16" s="13">
        <v>9</v>
      </c>
      <c r="B16" s="27">
        <f>'График дифференц'!B16</f>
        <v>46037</v>
      </c>
      <c r="C16" s="28">
        <f t="shared" si="0"/>
        <v>22189850.049999986</v>
      </c>
      <c r="D16" s="28">
        <f>IF(A16&lt;malumot!$B$81,'График аннуитет.'!F16-'График аннуитет.'!E16,'График аннуитет.'!C16)</f>
        <v>2739716.06</v>
      </c>
      <c r="E16" s="28">
        <f>ROUND(C16*malumot!$B$84/H16,2)*'График аннуитет.'!G16</f>
        <v>1036539.56</v>
      </c>
      <c r="F16" s="28">
        <f>IF(A16&lt;malumot!$B$81,'График аннуитет.'!F15,'График аннуитет.'!D16+'График аннуитет.'!E16)</f>
        <v>3776255.62</v>
      </c>
      <c r="G16" s="10">
        <f t="shared" si="2"/>
        <v>31</v>
      </c>
      <c r="H16" s="10">
        <f t="shared" si="1"/>
        <v>365</v>
      </c>
    </row>
    <row r="17" spans="1:8">
      <c r="A17" s="13">
        <v>10</v>
      </c>
      <c r="B17" s="27">
        <f>'График дифференц'!B17</f>
        <v>46069</v>
      </c>
      <c r="C17" s="28">
        <f t="shared" si="0"/>
        <v>19450133.989999987</v>
      </c>
      <c r="D17" s="28">
        <f>IF(A17&lt;malumot!$B$81,'График аннуитет.'!F17-'График аннуитет.'!E17,'График аннуитет.'!C17)</f>
        <v>2838386.18</v>
      </c>
      <c r="E17" s="28">
        <f>ROUND(C17*malumot!$B$84/H17,2)*'График аннуитет.'!G17</f>
        <v>937869.44</v>
      </c>
      <c r="F17" s="28">
        <f>IF(A17&lt;malumot!$B$81,'График аннуитет.'!F16,'График аннуитет.'!D17+'График аннуитет.'!E17)</f>
        <v>3776255.62</v>
      </c>
      <c r="G17" s="10">
        <f t="shared" si="2"/>
        <v>32</v>
      </c>
      <c r="H17" s="10">
        <f t="shared" si="1"/>
        <v>365</v>
      </c>
    </row>
    <row r="18" spans="1:8">
      <c r="A18" s="13">
        <v>11</v>
      </c>
      <c r="B18" s="27">
        <f>'График дифференц'!B18</f>
        <v>46097</v>
      </c>
      <c r="C18" s="28">
        <f t="shared" si="0"/>
        <v>16611747.809999987</v>
      </c>
      <c r="D18" s="28">
        <f>IF(A18&lt;malumot!$B$81,'График аннуитет.'!F18-'График аннуитет.'!E18,'График аннуитет.'!C18)</f>
        <v>3075376.42</v>
      </c>
      <c r="E18" s="28">
        <f>ROUND(C18*malumot!$B$84/H18,2)*'График аннуитет.'!G18</f>
        <v>700879.20000000007</v>
      </c>
      <c r="F18" s="28">
        <f>IF(A18&lt;malumot!$B$81,'График аннуитет.'!F17,'График аннуитет.'!D18+'График аннуитет.'!E18)</f>
        <v>3776255.62</v>
      </c>
      <c r="G18" s="10">
        <f t="shared" si="2"/>
        <v>28</v>
      </c>
      <c r="H18" s="10">
        <f t="shared" si="1"/>
        <v>365</v>
      </c>
    </row>
    <row r="19" spans="1:8">
      <c r="A19" s="13">
        <v>12</v>
      </c>
      <c r="B19" s="27">
        <f>'График дифференц'!B19</f>
        <v>46127</v>
      </c>
      <c r="C19" s="28">
        <f t="shared" si="0"/>
        <v>13536371.389999988</v>
      </c>
      <c r="D19" s="28">
        <f>IF(A19&lt;malumot!$B$81,'График аннуитет.'!F19-'График аннуитет.'!E19,'График аннуитет.'!C19)</f>
        <v>3164337.52</v>
      </c>
      <c r="E19" s="28">
        <f>ROUND(C19*malumot!$B$84/H19,2)*'График аннуитет.'!G19</f>
        <v>611918.1</v>
      </c>
      <c r="F19" s="28">
        <f>IF(A19&lt;malumot!$B$81,'График аннуитет.'!F18,'График аннуитет.'!D19+'График аннуитет.'!E19)</f>
        <v>3776255.62</v>
      </c>
      <c r="G19" s="10">
        <f>B19-B18</f>
        <v>30</v>
      </c>
      <c r="H19" s="10">
        <f t="shared" si="1"/>
        <v>365</v>
      </c>
    </row>
    <row r="20" spans="1:8">
      <c r="A20" s="13">
        <v>13</v>
      </c>
      <c r="B20" s="27">
        <f>'График дифференц'!B20</f>
        <v>46157</v>
      </c>
      <c r="C20" s="28">
        <f t="shared" si="0"/>
        <v>10372033.869999988</v>
      </c>
      <c r="D20" s="28">
        <f>IF(A20&lt;malumot!$B$81,'График аннуитет.'!F20-'График аннуитет.'!E20,'График аннуитет.'!C20)</f>
        <v>3307382.92</v>
      </c>
      <c r="E20" s="28">
        <f>ROUND(C20*malumot!$B$84/H20,2)*'График аннуитет.'!G20</f>
        <v>468872.7</v>
      </c>
      <c r="F20" s="28">
        <f>IF(A20&lt;malumot!$B$81,'График аннуитет.'!F19,'График аннуитет.'!D20+'График аннуитет.'!E20)</f>
        <v>3776255.62</v>
      </c>
      <c r="G20" s="10">
        <f t="shared" si="2"/>
        <v>30</v>
      </c>
      <c r="H20" s="10">
        <f t="shared" si="1"/>
        <v>365</v>
      </c>
    </row>
    <row r="21" spans="1:8">
      <c r="A21" s="13">
        <v>14</v>
      </c>
      <c r="B21" s="27">
        <f>'График дифференц'!B21</f>
        <v>46188</v>
      </c>
      <c r="C21" s="28">
        <f t="shared" si="0"/>
        <v>7064650.9499999881</v>
      </c>
      <c r="D21" s="28">
        <f>IF(A21&lt;malumot!$B$81,'График аннуитет.'!F21-'График аннуитет.'!E21,'График аннуитет.'!C21)</f>
        <v>3446249.46</v>
      </c>
      <c r="E21" s="28">
        <f>ROUND(C21*malumot!$B$84/H21,2)*'График аннуитет.'!G21</f>
        <v>330006.16000000003</v>
      </c>
      <c r="F21" s="28">
        <f>IF(A21&lt;malumot!$B$81,'График аннуитет.'!F20,'График аннуитет.'!D21+'График аннуитет.'!E21)</f>
        <v>3776255.62</v>
      </c>
      <c r="G21" s="10">
        <f t="shared" si="2"/>
        <v>31</v>
      </c>
      <c r="H21" s="10">
        <f t="shared" si="1"/>
        <v>365</v>
      </c>
    </row>
    <row r="22" spans="1:8">
      <c r="A22" s="13">
        <v>15</v>
      </c>
      <c r="B22" s="27">
        <f>'График дифференц'!B22</f>
        <v>46218</v>
      </c>
      <c r="C22" s="28">
        <f t="shared" si="0"/>
        <v>3618401.4899999881</v>
      </c>
      <c r="D22" s="28">
        <f>IF(A22&lt;malumot!$B$81,'График аннуитет.'!F22-'График аннуитет.'!E22,'График аннуитет.'!C22)</f>
        <v>3612683.92</v>
      </c>
      <c r="E22" s="28">
        <f>ROUND(C22*malumot!$B$84/H22,2)*'График аннуитет.'!G22</f>
        <v>163571.70000000001</v>
      </c>
      <c r="F22" s="28">
        <f>IF(A22&lt;malumot!$B$81,'График аннуитет.'!F21,'График аннуитет.'!D22+'График аннуитет.'!E22)</f>
        <v>3776255.62</v>
      </c>
      <c r="G22" s="10">
        <f t="shared" si="2"/>
        <v>30</v>
      </c>
      <c r="H22" s="10">
        <f t="shared" si="1"/>
        <v>365</v>
      </c>
    </row>
    <row r="23" spans="1:8">
      <c r="A23" s="13">
        <v>16</v>
      </c>
      <c r="B23" s="27">
        <f>'График дифференц'!B23</f>
        <v>46251</v>
      </c>
      <c r="C23" s="28">
        <f t="shared" si="0"/>
        <v>5717.5699999881908</v>
      </c>
      <c r="D23" s="28">
        <f>IF(A23&lt;malumot!$B$81,'График аннуитет.'!F23-'График аннуитет.'!E23,'График аннуитет.'!C23)</f>
        <v>3775971.16</v>
      </c>
      <c r="E23" s="28">
        <f>ROUND(C23*malumot!$B$84/H23,2)*'График аннуитет.'!G23</f>
        <v>284.45999999999998</v>
      </c>
      <c r="F23" s="28">
        <f>IF(A23&lt;malumot!$B$81,'График аннуитет.'!F22,'График аннуитет.'!D23+'График аннуитет.'!E23)</f>
        <v>3776255.62</v>
      </c>
      <c r="G23" s="10">
        <f t="shared" si="2"/>
        <v>33</v>
      </c>
      <c r="H23" s="10">
        <f t="shared" si="1"/>
        <v>365</v>
      </c>
    </row>
    <row r="24" spans="1:8">
      <c r="A24" s="13">
        <v>17</v>
      </c>
      <c r="B24" s="27">
        <f>'График дифференц'!B24</f>
        <v>46280</v>
      </c>
      <c r="C24" s="28">
        <f t="shared" si="0"/>
        <v>-3770253.590000012</v>
      </c>
      <c r="D24" s="28">
        <f>IF(A24&lt;malumot!$B$81,'График аннуитет.'!F24-'График аннуитет.'!E24,'График аннуитет.'!C24)</f>
        <v>3941010.42</v>
      </c>
      <c r="E24" s="28">
        <f>ROUND(C24*malumot!$B$84/H24,2)*'График аннуитет.'!G24</f>
        <v>-164754.79999999999</v>
      </c>
      <c r="F24" s="28">
        <f>IF(A24&lt;malumot!$B$81,'График аннуитет.'!F23,'График аннуитет.'!D24+'График аннуитет.'!E24)</f>
        <v>3776255.62</v>
      </c>
      <c r="G24" s="10">
        <f t="shared" si="2"/>
        <v>29</v>
      </c>
      <c r="H24" s="10">
        <f t="shared" si="1"/>
        <v>365</v>
      </c>
    </row>
    <row r="25" spans="1:8">
      <c r="A25" s="13">
        <v>18</v>
      </c>
      <c r="B25" s="27">
        <f>'График дифференц'!B25</f>
        <v>46310</v>
      </c>
      <c r="C25" s="28">
        <f t="shared" si="0"/>
        <v>-7711264.0100000119</v>
      </c>
      <c r="D25" s="28">
        <f>IF(A25&lt;malumot!$B$81,'График аннуитет.'!F25-'График аннуитет.'!E25,'График аннуитет.'!C25)</f>
        <v>4124846.92</v>
      </c>
      <c r="E25" s="28">
        <f>ROUND(C25*malumot!$B$84/H25,2)*'График аннуитет.'!G25</f>
        <v>-348591.3</v>
      </c>
      <c r="F25" s="28">
        <f>IF(A25&lt;malumot!$B$81,'График аннуитет.'!F24,'График аннуитет.'!D25+'График аннуитет.'!E25)</f>
        <v>3776255.62</v>
      </c>
      <c r="G25" s="10">
        <f>B25-B24</f>
        <v>30</v>
      </c>
      <c r="H25" s="10">
        <f t="shared" si="1"/>
        <v>365</v>
      </c>
    </row>
    <row r="26" spans="1:8">
      <c r="A26" s="13">
        <v>19</v>
      </c>
      <c r="B26" s="27">
        <f>'График дифференц'!B26</f>
        <v>46342</v>
      </c>
      <c r="C26" s="28">
        <f t="shared" si="0"/>
        <v>-11836110.930000011</v>
      </c>
      <c r="D26" s="28">
        <f>IF(A26&lt;malumot!$B$81,'График аннуитет.'!F26-'График аннуитет.'!E26,'График аннуитет.'!C26)</f>
        <v>4346983.3</v>
      </c>
      <c r="E26" s="28">
        <f>ROUND(C26*malumot!$B$84/H26,2)*'График аннуитет.'!G26</f>
        <v>-570727.68000000005</v>
      </c>
      <c r="F26" s="28">
        <f>IF(A26&lt;malumot!$B$81,'График аннуитет.'!F25,'График аннуитет.'!D26+'График аннуитет.'!E26)</f>
        <v>3776255.62</v>
      </c>
      <c r="G26" s="10">
        <f t="shared" ref="G26:G30" si="3">B26-B25</f>
        <v>32</v>
      </c>
      <c r="H26" s="10">
        <f t="shared" si="1"/>
        <v>365</v>
      </c>
    </row>
    <row r="27" spans="1:8">
      <c r="A27" s="13">
        <v>20</v>
      </c>
      <c r="B27" s="27">
        <f>'График дифференц'!B27</f>
        <v>46371</v>
      </c>
      <c r="C27" s="28">
        <f t="shared" si="0"/>
        <v>-16183094.230000012</v>
      </c>
      <c r="D27" s="28">
        <f>IF(A27&lt;malumot!$B$81,'График аннуитет.'!F27-'График аннуитет.'!E27,'График аннуитет.'!C27)</f>
        <v>4483434.54</v>
      </c>
      <c r="E27" s="28">
        <f>ROUND(C27*malumot!$B$84/H27,2)*'График аннуитет.'!G27</f>
        <v>-707178.92</v>
      </c>
      <c r="F27" s="28">
        <f>IF(A27&lt;malumot!$B$81,'График аннуитет.'!F26,'График аннуитет.'!D27+'График аннуитет.'!E27)</f>
        <v>3776255.62</v>
      </c>
      <c r="G27" s="10">
        <f t="shared" si="3"/>
        <v>29</v>
      </c>
      <c r="H27" s="10">
        <f t="shared" si="1"/>
        <v>365</v>
      </c>
    </row>
    <row r="28" spans="1:8">
      <c r="A28" s="13">
        <v>21</v>
      </c>
      <c r="B28" s="27">
        <f>'График дифференц'!B28</f>
        <v>46402</v>
      </c>
      <c r="C28" s="28">
        <f t="shared" si="0"/>
        <v>-20666528.770000011</v>
      </c>
      <c r="D28" s="28">
        <f>IF(A28&lt;malumot!$B$81,'График аннуитет.'!F28-'График аннуитет.'!E28,'График аннуитет.'!C28)</f>
        <v>4741637.16</v>
      </c>
      <c r="E28" s="28">
        <f>ROUND(C28*malumot!$B$84/H28,2)*'График аннуитет.'!G28</f>
        <v>-965381.54</v>
      </c>
      <c r="F28" s="28">
        <f>IF(A28&lt;malumot!$B$81,'График аннуитет.'!F27,'График аннуитет.'!D28+'График аннуитет.'!E28)</f>
        <v>3776255.62</v>
      </c>
      <c r="G28" s="10">
        <f t="shared" si="3"/>
        <v>31</v>
      </c>
      <c r="H28" s="10">
        <f t="shared" si="1"/>
        <v>365</v>
      </c>
    </row>
    <row r="29" spans="1:8">
      <c r="A29" s="13">
        <v>22</v>
      </c>
      <c r="B29" s="27">
        <f>'График дифференц'!B29</f>
        <v>46433</v>
      </c>
      <c r="C29" s="28">
        <f t="shared" si="0"/>
        <v>-25408165.930000011</v>
      </c>
      <c r="D29" s="28">
        <f>IF(A29&lt;malumot!$B$81,'График аннуитет.'!F29-'График аннуитет.'!E29,'График аннуитет.'!C29)</f>
        <v>4963130.3</v>
      </c>
      <c r="E29" s="28">
        <f>ROUND(C29*malumot!$B$84/H29,2)*'График аннуитет.'!G29</f>
        <v>-1186874.68</v>
      </c>
      <c r="F29" s="28">
        <f>IF(A29&lt;malumot!$B$81,'График аннуитет.'!F28,'График аннуитет.'!D29+'График аннуитет.'!E29)</f>
        <v>3776255.62</v>
      </c>
      <c r="G29" s="10">
        <f t="shared" si="3"/>
        <v>31</v>
      </c>
      <c r="H29" s="10">
        <f t="shared" si="1"/>
        <v>365</v>
      </c>
    </row>
    <row r="30" spans="1:8">
      <c r="A30" s="13">
        <v>23</v>
      </c>
      <c r="B30" s="27">
        <f>'График дифференц'!B30</f>
        <v>46461</v>
      </c>
      <c r="C30" s="28">
        <f t="shared" si="0"/>
        <v>-30371296.230000012</v>
      </c>
      <c r="D30" s="28">
        <f>IF(A30&lt;malumot!$B$81,'График аннуитет.'!F30-'График аннуитет.'!E30,'График аннуитет.'!C30)</f>
        <v>5057674.78</v>
      </c>
      <c r="E30" s="28">
        <f>ROUND(C30*malumot!$B$84/H30,2)*'График аннуитет.'!G30</f>
        <v>-1281419.1600000001</v>
      </c>
      <c r="F30" s="28">
        <f>IF(A30&lt;malumot!$B$81,'График аннуитет.'!F29,'График аннуитет.'!D30+'График аннуитет.'!E30)</f>
        <v>3776255.62</v>
      </c>
      <c r="G30" s="10">
        <f t="shared" si="3"/>
        <v>28</v>
      </c>
      <c r="H30" s="10">
        <f t="shared" si="1"/>
        <v>365</v>
      </c>
    </row>
    <row r="31" spans="1:8">
      <c r="A31" s="13">
        <v>24</v>
      </c>
      <c r="B31" s="27">
        <f>'График дифференц'!B31</f>
        <v>46487</v>
      </c>
      <c r="C31" s="28">
        <f t="shared" ref="C31" si="4">C30-D30</f>
        <v>-35428971.010000013</v>
      </c>
      <c r="D31" s="28">
        <f>IF(A31&lt;malumot!$B$81,'График аннуитет.'!F31-'График аннуитет.'!E31,'График аннуитет.'!C31)</f>
        <v>-35428971.010000013</v>
      </c>
      <c r="E31" s="28">
        <f>ROUND(C31*malumot!$B$84/H31,2)*'График аннуитет.'!G31</f>
        <v>-1388039.12</v>
      </c>
      <c r="F31" s="28">
        <f>IF(A31&lt;malumot!$B$81,'График аннуитет.'!F30,'График аннуитет.'!D31+'График аннуитет.'!E31)</f>
        <v>-36817010.13000001</v>
      </c>
      <c r="G31" s="10">
        <f>B31-B30</f>
        <v>26</v>
      </c>
      <c r="H31" s="10">
        <f t="shared" si="1"/>
        <v>365</v>
      </c>
    </row>
    <row r="32" spans="1:8">
      <c r="A32" s="13">
        <f>1+A31</f>
        <v>25</v>
      </c>
      <c r="B32" s="27" t="b">
        <f>'График дифференц'!B32</f>
        <v>0</v>
      </c>
      <c r="C32" s="28">
        <f t="shared" ref="C32:C43" si="5">C31-D31</f>
        <v>0</v>
      </c>
      <c r="D32" s="28">
        <f>IF(A32&lt;malumot!$B$81,'График аннуитет.'!F32-'График аннуитет.'!E32,'График аннуитет.'!C32)</f>
        <v>0</v>
      </c>
      <c r="E32" s="28">
        <f>ROUND(C32*malumot!$B$84/H32,2)*'График аннуитет.'!G32</f>
        <v>0</v>
      </c>
      <c r="F32" s="28">
        <f>IF(A32&lt;malumot!$B$81,'График аннуитет.'!F31,'График аннуитет.'!D32+'График аннуитет.'!E32)</f>
        <v>0</v>
      </c>
      <c r="G32" s="10">
        <f t="shared" ref="G32:G43" si="6">B32-B31</f>
        <v>-46487</v>
      </c>
      <c r="H32" s="10">
        <f t="shared" ref="H32:H43" si="7">DATE(YEAR(B32),12,31)-DATE(YEAR(B32),1,1)+1</f>
        <v>366</v>
      </c>
    </row>
    <row r="33" spans="1:8">
      <c r="A33" s="13">
        <f t="shared" ref="A33:A55" si="8">1+A32</f>
        <v>26</v>
      </c>
      <c r="B33" s="27" t="b">
        <f>'График дифференц'!B33</f>
        <v>0</v>
      </c>
      <c r="C33" s="28">
        <f t="shared" si="5"/>
        <v>0</v>
      </c>
      <c r="D33" s="28">
        <f>IF(A33&lt;malumot!$B$81,'График аннуитет.'!F33-'График аннуитет.'!E33,'График аннуитет.'!C33)</f>
        <v>0</v>
      </c>
      <c r="E33" s="28">
        <f>ROUND(C33*malumot!$B$84/H33,2)*'График аннуитет.'!G33</f>
        <v>0</v>
      </c>
      <c r="F33" s="28">
        <f>IF(A33&lt;malumot!$B$81,'График аннуитет.'!F32,'График аннуитет.'!D33+'График аннуитет.'!E33)</f>
        <v>0</v>
      </c>
      <c r="G33" s="10">
        <f t="shared" si="6"/>
        <v>0</v>
      </c>
      <c r="H33" s="10">
        <f t="shared" si="7"/>
        <v>366</v>
      </c>
    </row>
    <row r="34" spans="1:8">
      <c r="A34" s="13">
        <f t="shared" si="8"/>
        <v>27</v>
      </c>
      <c r="B34" s="27" t="b">
        <f>'График дифференц'!B34</f>
        <v>0</v>
      </c>
      <c r="C34" s="28">
        <f t="shared" si="5"/>
        <v>0</v>
      </c>
      <c r="D34" s="28">
        <f>IF(A34&lt;malumot!$B$81,'График аннуитет.'!F34-'График аннуитет.'!E34,'График аннуитет.'!C34)</f>
        <v>0</v>
      </c>
      <c r="E34" s="28">
        <f>ROUND(C34*malumot!$B$84/H34,2)*'График аннуитет.'!G34</f>
        <v>0</v>
      </c>
      <c r="F34" s="28">
        <f>IF(A34&lt;malumot!$B$81,'График аннуитет.'!F33,'График аннуитет.'!D34+'График аннуитет.'!E34)</f>
        <v>0</v>
      </c>
      <c r="G34" s="10">
        <f t="shared" si="6"/>
        <v>0</v>
      </c>
      <c r="H34" s="10">
        <f t="shared" si="7"/>
        <v>366</v>
      </c>
    </row>
    <row r="35" spans="1:8">
      <c r="A35" s="13">
        <f t="shared" si="8"/>
        <v>28</v>
      </c>
      <c r="B35" s="27" t="b">
        <f>'График дифференц'!B35</f>
        <v>0</v>
      </c>
      <c r="C35" s="28">
        <f t="shared" si="5"/>
        <v>0</v>
      </c>
      <c r="D35" s="28">
        <f>IF(A35&lt;malumot!$B$81,'График аннуитет.'!F35-'График аннуитет.'!E35,'График аннуитет.'!C35)</f>
        <v>0</v>
      </c>
      <c r="E35" s="28">
        <f>ROUND(C35*malumot!$B$84/H35,2)*'График аннуитет.'!G35</f>
        <v>0</v>
      </c>
      <c r="F35" s="28">
        <f>IF(A35&lt;malumot!$B$81,'График аннуитет.'!F34,'График аннуитет.'!D35+'График аннуитет.'!E35)</f>
        <v>0</v>
      </c>
      <c r="G35" s="10">
        <f t="shared" si="6"/>
        <v>0</v>
      </c>
      <c r="H35" s="10">
        <f t="shared" si="7"/>
        <v>366</v>
      </c>
    </row>
    <row r="36" spans="1:8">
      <c r="A36" s="13">
        <f t="shared" si="8"/>
        <v>29</v>
      </c>
      <c r="B36" s="27" t="b">
        <f>'График дифференц'!B36</f>
        <v>0</v>
      </c>
      <c r="C36" s="28">
        <f t="shared" si="5"/>
        <v>0</v>
      </c>
      <c r="D36" s="28">
        <f>IF(A36&lt;malumot!$B$81,'График аннуитет.'!F36-'График аннуитет.'!E36,'График аннуитет.'!C36)</f>
        <v>0</v>
      </c>
      <c r="E36" s="28">
        <f>ROUND(C36*malumot!$B$84/H36,2)*'График аннуитет.'!G36</f>
        <v>0</v>
      </c>
      <c r="F36" s="28">
        <f>IF(A36&lt;malumot!$B$81,'График аннуитет.'!F35,'График аннуитет.'!D36+'График аннуитет.'!E36)</f>
        <v>0</v>
      </c>
      <c r="G36" s="10">
        <f t="shared" si="6"/>
        <v>0</v>
      </c>
      <c r="H36" s="10">
        <f t="shared" si="7"/>
        <v>366</v>
      </c>
    </row>
    <row r="37" spans="1:8">
      <c r="A37" s="13">
        <f t="shared" si="8"/>
        <v>30</v>
      </c>
      <c r="B37" s="27" t="b">
        <f>'График дифференц'!B37</f>
        <v>0</v>
      </c>
      <c r="C37" s="28">
        <f t="shared" si="5"/>
        <v>0</v>
      </c>
      <c r="D37" s="28">
        <f>IF(A37&lt;malumot!$B$81,'График аннуитет.'!F37-'График аннуитет.'!E37,'График аннуитет.'!C37)</f>
        <v>0</v>
      </c>
      <c r="E37" s="28">
        <f>ROUND(C37*malumot!$B$84/H37,2)*'График аннуитет.'!G37</f>
        <v>0</v>
      </c>
      <c r="F37" s="28">
        <f>IF(A37&lt;malumot!$B$81,'График аннуитет.'!F36,'График аннуитет.'!D37+'График аннуитет.'!E37)</f>
        <v>0</v>
      </c>
      <c r="G37" s="10">
        <f t="shared" si="6"/>
        <v>0</v>
      </c>
      <c r="H37" s="10">
        <f t="shared" si="7"/>
        <v>366</v>
      </c>
    </row>
    <row r="38" spans="1:8">
      <c r="A38" s="13">
        <f t="shared" si="8"/>
        <v>31</v>
      </c>
      <c r="B38" s="27" t="b">
        <f>'График дифференц'!B38</f>
        <v>0</v>
      </c>
      <c r="C38" s="28">
        <f t="shared" si="5"/>
        <v>0</v>
      </c>
      <c r="D38" s="28">
        <f>IF(A38&lt;malumot!$B$81,'График аннуитет.'!F38-'График аннуитет.'!E38,'График аннуитет.'!C38)</f>
        <v>0</v>
      </c>
      <c r="E38" s="28">
        <f>ROUND(C38*malumot!$B$84/H38,2)*'График аннуитет.'!G38</f>
        <v>0</v>
      </c>
      <c r="F38" s="28">
        <f>IF(A38&lt;malumot!$B$81,'График аннуитет.'!F37,'График аннуитет.'!D38+'График аннуитет.'!E38)</f>
        <v>0</v>
      </c>
      <c r="G38" s="10">
        <f t="shared" si="6"/>
        <v>0</v>
      </c>
      <c r="H38" s="10">
        <f t="shared" si="7"/>
        <v>366</v>
      </c>
    </row>
    <row r="39" spans="1:8">
      <c r="A39" s="13">
        <f t="shared" si="8"/>
        <v>32</v>
      </c>
      <c r="B39" s="27" t="b">
        <f>'График дифференц'!B39</f>
        <v>0</v>
      </c>
      <c r="C39" s="28">
        <f t="shared" si="5"/>
        <v>0</v>
      </c>
      <c r="D39" s="28">
        <f>IF(A39&lt;malumot!$B$81,'График аннуитет.'!F39-'График аннуитет.'!E39,'График аннуитет.'!C39)</f>
        <v>0</v>
      </c>
      <c r="E39" s="28">
        <f>ROUND(C39*malumot!$B$84/H39,2)*'График аннуитет.'!G39</f>
        <v>0</v>
      </c>
      <c r="F39" s="28">
        <f>IF(A39&lt;malumot!$B$81,'График аннуитет.'!F38,'График аннуитет.'!D39+'График аннуитет.'!E39)</f>
        <v>0</v>
      </c>
      <c r="G39" s="10">
        <f t="shared" si="6"/>
        <v>0</v>
      </c>
      <c r="H39" s="10">
        <f t="shared" si="7"/>
        <v>366</v>
      </c>
    </row>
    <row r="40" spans="1:8">
      <c r="A40" s="13">
        <f t="shared" si="8"/>
        <v>33</v>
      </c>
      <c r="B40" s="27" t="b">
        <f>'График дифференц'!B40</f>
        <v>0</v>
      </c>
      <c r="C40" s="28">
        <f t="shared" si="5"/>
        <v>0</v>
      </c>
      <c r="D40" s="28">
        <f>IF(A40&lt;malumot!$B$81,'График аннуитет.'!F40-'График аннуитет.'!E40,'График аннуитет.'!C40)</f>
        <v>0</v>
      </c>
      <c r="E40" s="28">
        <f>ROUND(C40*malumot!$B$84/H40,2)*'График аннуитет.'!G40</f>
        <v>0</v>
      </c>
      <c r="F40" s="28">
        <f>IF(A40&lt;malumot!$B$81,'График аннуитет.'!F39,'График аннуитет.'!D40+'График аннуитет.'!E40)</f>
        <v>0</v>
      </c>
      <c r="G40" s="10">
        <f t="shared" si="6"/>
        <v>0</v>
      </c>
      <c r="H40" s="10">
        <f t="shared" si="7"/>
        <v>366</v>
      </c>
    </row>
    <row r="41" spans="1:8">
      <c r="A41" s="13">
        <f t="shared" si="8"/>
        <v>34</v>
      </c>
      <c r="B41" s="27" t="b">
        <f>'График дифференц'!B41</f>
        <v>0</v>
      </c>
      <c r="C41" s="28">
        <f t="shared" si="5"/>
        <v>0</v>
      </c>
      <c r="D41" s="28">
        <f>IF(A41&lt;malumot!$B$81,'График аннуитет.'!F41-'График аннуитет.'!E41,'График аннуитет.'!C41)</f>
        <v>0</v>
      </c>
      <c r="E41" s="28">
        <f>ROUND(C41*malumot!$B$84/H41,2)*'График аннуитет.'!G41</f>
        <v>0</v>
      </c>
      <c r="F41" s="28">
        <f>IF(A41&lt;malumot!$B$81,'График аннуитет.'!F40,'График аннуитет.'!D41+'График аннуитет.'!E41)</f>
        <v>0</v>
      </c>
      <c r="G41" s="10">
        <f t="shared" si="6"/>
        <v>0</v>
      </c>
      <c r="H41" s="10">
        <f t="shared" si="7"/>
        <v>366</v>
      </c>
    </row>
    <row r="42" spans="1:8">
      <c r="A42" s="13">
        <f t="shared" si="8"/>
        <v>35</v>
      </c>
      <c r="B42" s="27" t="b">
        <f>'График дифференц'!B42</f>
        <v>0</v>
      </c>
      <c r="C42" s="28">
        <f t="shared" si="5"/>
        <v>0</v>
      </c>
      <c r="D42" s="28">
        <f>IF(A42&lt;malumot!$B$81,'График аннуитет.'!F42-'График аннуитет.'!E42,'График аннуитет.'!C42)</f>
        <v>0</v>
      </c>
      <c r="E42" s="28">
        <f>ROUND(C42*malumot!$B$84/H42,2)*'График аннуитет.'!G42</f>
        <v>0</v>
      </c>
      <c r="F42" s="28">
        <f>IF(A42&lt;malumot!$B$81,'График аннуитет.'!F41,'График аннуитет.'!D42+'График аннуитет.'!E42)</f>
        <v>0</v>
      </c>
      <c r="G42" s="10">
        <f t="shared" si="6"/>
        <v>0</v>
      </c>
      <c r="H42" s="10">
        <f t="shared" si="7"/>
        <v>366</v>
      </c>
    </row>
    <row r="43" spans="1:8">
      <c r="A43" s="13">
        <f t="shared" si="8"/>
        <v>36</v>
      </c>
      <c r="B43" s="27" t="b">
        <f>'График дифференц'!B43</f>
        <v>0</v>
      </c>
      <c r="C43" s="28">
        <f t="shared" si="5"/>
        <v>0</v>
      </c>
      <c r="D43" s="28">
        <f>IF(A43&lt;malumot!$B$81,'График аннуитет.'!F43-'График аннуитет.'!E43,'График аннуитет.'!C43)</f>
        <v>0</v>
      </c>
      <c r="E43" s="28">
        <f>ROUND(C43*malumot!$B$84/H43,2)*'График аннуитет.'!G43</f>
        <v>0</v>
      </c>
      <c r="F43" s="28">
        <f>IF(A43&lt;malumot!$B$81,'График аннуитет.'!F42,'График аннуитет.'!D43+'График аннуитет.'!E43)</f>
        <v>0</v>
      </c>
      <c r="G43" s="10">
        <f t="shared" si="6"/>
        <v>0</v>
      </c>
      <c r="H43" s="10">
        <f t="shared" si="7"/>
        <v>366</v>
      </c>
    </row>
    <row r="44" spans="1:8">
      <c r="A44" s="13">
        <f t="shared" si="8"/>
        <v>37</v>
      </c>
      <c r="B44" s="27" t="b">
        <f>'График дифференц'!B44</f>
        <v>0</v>
      </c>
      <c r="C44" s="28">
        <f t="shared" ref="C44:C55" si="9">C43-D43</f>
        <v>0</v>
      </c>
      <c r="D44" s="28">
        <f>IF(A44&lt;malumot!$B$81,'График аннуитет.'!F44-'График аннуитет.'!E44,'График аннуитет.'!C44)</f>
        <v>0</v>
      </c>
      <c r="E44" s="28">
        <f>ROUND(C44*malumot!$B$84/H44,2)*'График аннуитет.'!G44</f>
        <v>0</v>
      </c>
      <c r="F44" s="28">
        <f>IF(A44&lt;malumot!$B$81,'График аннуитет.'!F43,'График аннуитет.'!D44+'График аннуитет.'!E44)</f>
        <v>0</v>
      </c>
      <c r="G44" s="10">
        <f t="shared" ref="G44:G55" si="10">B44-B43</f>
        <v>0</v>
      </c>
      <c r="H44" s="10">
        <f t="shared" ref="H44:H55" si="11">DATE(YEAR(B44),12,31)-DATE(YEAR(B44),1,1)+1</f>
        <v>366</v>
      </c>
    </row>
    <row r="45" spans="1:8">
      <c r="A45" s="13">
        <f t="shared" si="8"/>
        <v>38</v>
      </c>
      <c r="B45" s="27" t="b">
        <f>'График дифференц'!B45</f>
        <v>0</v>
      </c>
      <c r="C45" s="28">
        <f t="shared" si="9"/>
        <v>0</v>
      </c>
      <c r="D45" s="28">
        <f>IF(A45&lt;malumot!$B$81,'График аннуитет.'!F45-'График аннуитет.'!E45,'График аннуитет.'!C45)</f>
        <v>0</v>
      </c>
      <c r="E45" s="28">
        <f>ROUND(C45*malumot!$B$84/H45,2)*'График аннуитет.'!G45</f>
        <v>0</v>
      </c>
      <c r="F45" s="28">
        <f>IF(A45&lt;malumot!$B$81,'График аннуитет.'!F44,'График аннуитет.'!D45+'График аннуитет.'!E45)</f>
        <v>0</v>
      </c>
      <c r="G45" s="10">
        <f t="shared" si="10"/>
        <v>0</v>
      </c>
      <c r="H45" s="10">
        <f t="shared" si="11"/>
        <v>366</v>
      </c>
    </row>
    <row r="46" spans="1:8">
      <c r="A46" s="13">
        <f t="shared" si="8"/>
        <v>39</v>
      </c>
      <c r="B46" s="27" t="b">
        <f>'График дифференц'!B46</f>
        <v>0</v>
      </c>
      <c r="C46" s="28">
        <f t="shared" si="9"/>
        <v>0</v>
      </c>
      <c r="D46" s="28">
        <f>IF(A46&lt;malumot!$B$81,'График аннуитет.'!F46-'График аннуитет.'!E46,'График аннуитет.'!C46)</f>
        <v>0</v>
      </c>
      <c r="E46" s="28">
        <f>ROUND(C46*malumot!$B$84/H46,2)*'График аннуитет.'!G46</f>
        <v>0</v>
      </c>
      <c r="F46" s="28">
        <f>IF(A46&lt;malumot!$B$81,'График аннуитет.'!F45,'График аннуитет.'!D46+'График аннуитет.'!E46)</f>
        <v>0</v>
      </c>
      <c r="G46" s="10">
        <f t="shared" si="10"/>
        <v>0</v>
      </c>
      <c r="H46" s="10">
        <f t="shared" si="11"/>
        <v>366</v>
      </c>
    </row>
    <row r="47" spans="1:8">
      <c r="A47" s="13">
        <f t="shared" si="8"/>
        <v>40</v>
      </c>
      <c r="B47" s="27" t="b">
        <f>'График дифференц'!B47</f>
        <v>0</v>
      </c>
      <c r="C47" s="28">
        <f t="shared" si="9"/>
        <v>0</v>
      </c>
      <c r="D47" s="28">
        <f>IF(A47&lt;malumot!$B$81,'График аннуитет.'!F47-'График аннуитет.'!E47,'График аннуитет.'!C47)</f>
        <v>0</v>
      </c>
      <c r="E47" s="28">
        <f>ROUND(C47*malumot!$B$84/H47,2)*'График аннуитет.'!G47</f>
        <v>0</v>
      </c>
      <c r="F47" s="28">
        <f>IF(A47&lt;malumot!$B$81,'График аннуитет.'!F46,'График аннуитет.'!D47+'График аннуитет.'!E47)</f>
        <v>0</v>
      </c>
      <c r="G47" s="10">
        <f t="shared" si="10"/>
        <v>0</v>
      </c>
      <c r="H47" s="10">
        <f t="shared" si="11"/>
        <v>366</v>
      </c>
    </row>
    <row r="48" spans="1:8">
      <c r="A48" s="13">
        <f t="shared" si="8"/>
        <v>41</v>
      </c>
      <c r="B48" s="27" t="b">
        <f>'График дифференц'!B48</f>
        <v>0</v>
      </c>
      <c r="C48" s="28">
        <f t="shared" si="9"/>
        <v>0</v>
      </c>
      <c r="D48" s="28">
        <f>IF(A48&lt;malumot!$B$81,'График аннуитет.'!F48-'График аннуитет.'!E48,'График аннуитет.'!C48)</f>
        <v>0</v>
      </c>
      <c r="E48" s="28">
        <f>ROUND(C48*malumot!$B$84/H48,2)*'График аннуитет.'!G48</f>
        <v>0</v>
      </c>
      <c r="F48" s="28">
        <f>IF(A48&lt;malumot!$B$81,'График аннуитет.'!F47,'График аннуитет.'!D48+'График аннуитет.'!E48)</f>
        <v>0</v>
      </c>
      <c r="G48" s="10">
        <f t="shared" si="10"/>
        <v>0</v>
      </c>
      <c r="H48" s="10">
        <f t="shared" si="11"/>
        <v>366</v>
      </c>
    </row>
    <row r="49" spans="1:8">
      <c r="A49" s="13">
        <f t="shared" si="8"/>
        <v>42</v>
      </c>
      <c r="B49" s="27" t="b">
        <f>'График дифференц'!B49</f>
        <v>0</v>
      </c>
      <c r="C49" s="28">
        <f t="shared" si="9"/>
        <v>0</v>
      </c>
      <c r="D49" s="28">
        <f>IF(A49&lt;malumot!$B$81,'График аннуитет.'!F49-'График аннуитет.'!E49,'График аннуитет.'!C49)</f>
        <v>0</v>
      </c>
      <c r="E49" s="28">
        <f>ROUND(C49*malumot!$B$84/H49,2)*'График аннуитет.'!G49</f>
        <v>0</v>
      </c>
      <c r="F49" s="28">
        <f>IF(A49&lt;malumot!$B$81,'График аннуитет.'!F48,'График аннуитет.'!D49+'График аннуитет.'!E49)</f>
        <v>0</v>
      </c>
      <c r="G49" s="10">
        <f t="shared" si="10"/>
        <v>0</v>
      </c>
      <c r="H49" s="10">
        <f t="shared" si="11"/>
        <v>366</v>
      </c>
    </row>
    <row r="50" spans="1:8">
      <c r="A50" s="13">
        <f t="shared" si="8"/>
        <v>43</v>
      </c>
      <c r="B50" s="27" t="b">
        <f>'График дифференц'!B50</f>
        <v>0</v>
      </c>
      <c r="C50" s="28">
        <f t="shared" si="9"/>
        <v>0</v>
      </c>
      <c r="D50" s="28">
        <f>IF(A50&lt;malumot!$B$81,'График аннуитет.'!F50-'График аннуитет.'!E50,'График аннуитет.'!C50)</f>
        <v>0</v>
      </c>
      <c r="E50" s="28">
        <f>ROUND(C50*malumot!$B$84/H50,2)*'График аннуитет.'!G50</f>
        <v>0</v>
      </c>
      <c r="F50" s="28">
        <f>IF(A50&lt;malumot!$B$81,'График аннуитет.'!F49,'График аннуитет.'!D50+'График аннуитет.'!E50)</f>
        <v>0</v>
      </c>
      <c r="G50" s="10">
        <f t="shared" si="10"/>
        <v>0</v>
      </c>
      <c r="H50" s="10">
        <f t="shared" si="11"/>
        <v>366</v>
      </c>
    </row>
    <row r="51" spans="1:8">
      <c r="A51" s="13">
        <f t="shared" si="8"/>
        <v>44</v>
      </c>
      <c r="B51" s="27" t="b">
        <f>'График дифференц'!B51</f>
        <v>0</v>
      </c>
      <c r="C51" s="28">
        <f t="shared" si="9"/>
        <v>0</v>
      </c>
      <c r="D51" s="28">
        <f>IF(A51&lt;malumot!$B$81,'График аннуитет.'!F51-'График аннуитет.'!E51,'График аннуитет.'!C51)</f>
        <v>0</v>
      </c>
      <c r="E51" s="28">
        <f>ROUND(C51*malumot!$B$84/H51,2)*'График аннуитет.'!G51</f>
        <v>0</v>
      </c>
      <c r="F51" s="28">
        <f>IF(A51&lt;malumot!$B$81,'График аннуитет.'!F50,'График аннуитет.'!D51+'График аннуитет.'!E51)</f>
        <v>0</v>
      </c>
      <c r="G51" s="10">
        <f t="shared" si="10"/>
        <v>0</v>
      </c>
      <c r="H51" s="10">
        <f t="shared" si="11"/>
        <v>366</v>
      </c>
    </row>
    <row r="52" spans="1:8">
      <c r="A52" s="13">
        <f t="shared" si="8"/>
        <v>45</v>
      </c>
      <c r="B52" s="27" t="b">
        <f>'График дифференц'!B52</f>
        <v>0</v>
      </c>
      <c r="C52" s="28">
        <f t="shared" si="9"/>
        <v>0</v>
      </c>
      <c r="D52" s="28">
        <f>IF(A52&lt;malumot!$B$81,'График аннуитет.'!F52-'График аннуитет.'!E52,'График аннуитет.'!C52)</f>
        <v>0</v>
      </c>
      <c r="E52" s="28">
        <f>ROUND(C52*malumot!$B$84/H52,2)*'График аннуитет.'!G52</f>
        <v>0</v>
      </c>
      <c r="F52" s="28">
        <f>IF(A52&lt;malumot!$B$81,'График аннуитет.'!F51,'График аннуитет.'!D52+'График аннуитет.'!E52)</f>
        <v>0</v>
      </c>
      <c r="G52" s="10">
        <f t="shared" si="10"/>
        <v>0</v>
      </c>
      <c r="H52" s="10">
        <f t="shared" si="11"/>
        <v>366</v>
      </c>
    </row>
    <row r="53" spans="1:8">
      <c r="A53" s="13">
        <f t="shared" si="8"/>
        <v>46</v>
      </c>
      <c r="B53" s="27" t="b">
        <f>'График дифференц'!B53</f>
        <v>0</v>
      </c>
      <c r="C53" s="28">
        <f t="shared" si="9"/>
        <v>0</v>
      </c>
      <c r="D53" s="28">
        <f>IF(A53&lt;malumot!$B$81,'График аннуитет.'!F53-'График аннуитет.'!E53,'График аннуитет.'!C53)</f>
        <v>0</v>
      </c>
      <c r="E53" s="28">
        <f>ROUND(C53*malumot!$B$84/H53,2)*'График аннуитет.'!G53</f>
        <v>0</v>
      </c>
      <c r="F53" s="28">
        <f>IF(A53&lt;malumot!$B$81,'График аннуитет.'!F52,'График аннуитет.'!D53+'График аннуитет.'!E53)</f>
        <v>0</v>
      </c>
      <c r="G53" s="10">
        <f t="shared" si="10"/>
        <v>0</v>
      </c>
      <c r="H53" s="10">
        <f t="shared" si="11"/>
        <v>366</v>
      </c>
    </row>
    <row r="54" spans="1:8">
      <c r="A54" s="13">
        <f t="shared" si="8"/>
        <v>47</v>
      </c>
      <c r="B54" s="27" t="b">
        <f>'График дифференц'!B54</f>
        <v>0</v>
      </c>
      <c r="C54" s="28">
        <f t="shared" si="9"/>
        <v>0</v>
      </c>
      <c r="D54" s="28">
        <f>IF(A54&lt;malumot!$B$81,'График аннуитет.'!F54-'График аннуитет.'!E54,'График аннуитет.'!C54)</f>
        <v>0</v>
      </c>
      <c r="E54" s="28">
        <f>ROUND(C54*malumot!$B$84/H54,2)*'График аннуитет.'!G54</f>
        <v>0</v>
      </c>
      <c r="F54" s="28">
        <f>IF(A54&lt;malumot!$B$81,'График аннуитет.'!F53,'График аннуитет.'!D54+'График аннуитет.'!E54)</f>
        <v>0</v>
      </c>
      <c r="G54" s="10">
        <f t="shared" si="10"/>
        <v>0</v>
      </c>
      <c r="H54" s="10">
        <f t="shared" si="11"/>
        <v>366</v>
      </c>
    </row>
    <row r="55" spans="1:8">
      <c r="A55" s="13">
        <f t="shared" si="8"/>
        <v>48</v>
      </c>
      <c r="B55" s="27" t="b">
        <f>'График дифференц'!B55</f>
        <v>0</v>
      </c>
      <c r="C55" s="28">
        <f t="shared" si="9"/>
        <v>0</v>
      </c>
      <c r="D55" s="28">
        <f>IF(A55&lt;malumot!$B$81,'График аннуитет.'!F55-'График аннуитет.'!E55,'График аннуитет.'!C55)</f>
        <v>0</v>
      </c>
      <c r="E55" s="28">
        <f>ROUND(C55*malumot!$B$84/H55,2)*'График аннуитет.'!G55</f>
        <v>0</v>
      </c>
      <c r="F55" s="28">
        <f>IF(A55&lt;malumot!$B$81,'График аннуитет.'!F54,'График аннуитет.'!D55+'График аннуитет.'!E55)</f>
        <v>0</v>
      </c>
      <c r="G55" s="10">
        <f t="shared" si="10"/>
        <v>0</v>
      </c>
      <c r="H55" s="10">
        <f t="shared" si="11"/>
        <v>366</v>
      </c>
    </row>
    <row r="56" spans="1:8">
      <c r="A56" s="40"/>
      <c r="B56" s="41" t="s">
        <v>6</v>
      </c>
      <c r="C56" s="42"/>
      <c r="D56" s="42">
        <f>SUM(D8:D55)</f>
        <v>39999999.999999993</v>
      </c>
      <c r="E56" s="42">
        <f t="shared" ref="E56:F56" si="12">SUM(E8:E55)</f>
        <v>10036869.129999995</v>
      </c>
      <c r="F56" s="42">
        <f t="shared" si="12"/>
        <v>50036869.129999995</v>
      </c>
    </row>
    <row r="57" spans="1:8" ht="9" customHeight="1">
      <c r="B57" s="29"/>
      <c r="C57" s="30"/>
      <c r="D57" s="30"/>
      <c r="E57" s="30"/>
      <c r="F57" s="30"/>
    </row>
    <row r="58" spans="1:8" ht="47.25" customHeight="1">
      <c r="A58" s="283" t="s">
        <v>17</v>
      </c>
      <c r="B58" s="283"/>
      <c r="C58" s="283"/>
      <c r="D58" s="283"/>
      <c r="E58" s="283"/>
      <c r="F58" s="283"/>
    </row>
    <row r="59" spans="1:8" ht="7.5" customHeight="1"/>
    <row r="60" spans="1:8">
      <c r="A60" s="310" t="e">
        <f>#REF!</f>
        <v>#REF!</v>
      </c>
      <c r="B60" s="310"/>
      <c r="C60" s="310"/>
      <c r="D60" s="310" t="e">
        <f>#REF!</f>
        <v>#REF!</v>
      </c>
      <c r="E60" s="310"/>
      <c r="F60" s="310"/>
    </row>
    <row r="61" spans="1:8" ht="11.25" customHeight="1">
      <c r="A61" s="311"/>
      <c r="B61" s="311"/>
      <c r="C61" s="311"/>
      <c r="D61" s="311"/>
      <c r="E61" s="311"/>
      <c r="F61" s="311"/>
    </row>
    <row r="62" spans="1:8" ht="30" customHeight="1">
      <c r="A62" s="285" t="e">
        <f>#REF!</f>
        <v>#REF!</v>
      </c>
      <c r="B62" s="285"/>
      <c r="C62" s="285"/>
      <c r="D62" s="285" t="e">
        <f>#REF!</f>
        <v>#REF!</v>
      </c>
      <c r="E62" s="285"/>
      <c r="F62" s="285"/>
    </row>
    <row r="63" spans="1:8" ht="32.25" customHeight="1">
      <c r="A63" s="306" t="e">
        <f>#REF!</f>
        <v>#REF!</v>
      </c>
      <c r="B63" s="306"/>
      <c r="C63" s="306"/>
      <c r="D63" s="306" t="e">
        <f>#REF!</f>
        <v>#REF!</v>
      </c>
      <c r="E63" s="306"/>
      <c r="F63" s="306"/>
    </row>
    <row r="64" spans="1:8">
      <c r="A64" s="306" t="e">
        <f>#REF!</f>
        <v>#REF!</v>
      </c>
      <c r="B64" s="306"/>
      <c r="C64" s="306"/>
      <c r="D64" s="306" t="str">
        <f>"паспорт серии "&amp;malumot!B16&amp;", "&amp;malumot!B20&amp;""</f>
        <v>паспорт серии AB 0252157, SAMARQAND VILOYATI SAMARQAND SHAHAR IIB tomonidan 29.06.2015 yilda berilgan</v>
      </c>
      <c r="E64" s="306"/>
      <c r="F64" s="306"/>
    </row>
    <row r="65" spans="1:6" ht="32.25" customHeight="1">
      <c r="A65" s="306" t="e">
        <f>#REF!</f>
        <v>#REF!</v>
      </c>
      <c r="B65" s="306"/>
      <c r="C65" s="306"/>
      <c r="D65" s="306"/>
      <c r="E65" s="306"/>
      <c r="F65" s="306"/>
    </row>
    <row r="66" spans="1:6">
      <c r="A66" s="306" t="e">
        <f>#REF!</f>
        <v>#REF!</v>
      </c>
      <c r="B66" s="306"/>
      <c r="C66" s="306"/>
      <c r="D66" s="306" t="e">
        <f>#REF!</f>
        <v>#REF!</v>
      </c>
      <c r="E66" s="306"/>
      <c r="F66" s="306"/>
    </row>
    <row r="67" spans="1:6">
      <c r="A67" s="306" t="e">
        <f>#REF!</f>
        <v>#REF!</v>
      </c>
      <c r="B67" s="306"/>
      <c r="C67" s="306"/>
      <c r="D67" s="306" t="e">
        <f>#REF!</f>
        <v>#REF!</v>
      </c>
      <c r="E67" s="306"/>
      <c r="F67" s="306"/>
    </row>
    <row r="68" spans="1:6">
      <c r="A68" s="306" t="e">
        <f>#REF!</f>
        <v>#REF!</v>
      </c>
      <c r="B68" s="306"/>
      <c r="C68" s="306"/>
      <c r="D68" s="306" t="e">
        <f>#REF!</f>
        <v>#REF!</v>
      </c>
      <c r="E68" s="306"/>
      <c r="F68" s="306"/>
    </row>
    <row r="69" spans="1:6" ht="8.25" customHeight="1">
      <c r="A69" s="306"/>
      <c r="B69" s="306"/>
      <c r="C69" s="306"/>
      <c r="D69" s="306"/>
      <c r="E69" s="306"/>
      <c r="F69" s="306"/>
    </row>
    <row r="70" spans="1:6">
      <c r="A70" s="285" t="e">
        <f>#REF!</f>
        <v>#REF!</v>
      </c>
      <c r="B70" s="285"/>
      <c r="C70" s="285"/>
      <c r="D70" s="285" t="e">
        <f>#REF!</f>
        <v>#REF!</v>
      </c>
      <c r="E70" s="285"/>
      <c r="F70" s="285"/>
    </row>
    <row r="71" spans="1:6" ht="7.5" customHeight="1">
      <c r="A71" s="285"/>
      <c r="B71" s="285"/>
      <c r="C71" s="285"/>
      <c r="D71" s="285"/>
      <c r="E71" s="285"/>
      <c r="F71" s="285"/>
    </row>
    <row r="72" spans="1:6">
      <c r="A72" s="285" t="e">
        <f>#REF!</f>
        <v>#REF!</v>
      </c>
      <c r="B72" s="285"/>
      <c r="C72" s="285"/>
      <c r="D72" s="285" t="e">
        <f>#REF!</f>
        <v>#REF!</v>
      </c>
      <c r="E72" s="285"/>
      <c r="F72" s="285"/>
    </row>
    <row r="73" spans="1:6" ht="8.25" customHeight="1">
      <c r="A73" s="306"/>
      <c r="B73" s="306"/>
      <c r="C73" s="306"/>
      <c r="D73" s="306"/>
      <c r="E73" s="306"/>
      <c r="F73" s="306"/>
    </row>
    <row r="74" spans="1:6" ht="30" customHeight="1">
      <c r="A74" s="307"/>
      <c r="B74" s="307"/>
      <c r="C74" s="307"/>
      <c r="D74" s="308"/>
      <c r="E74" s="308"/>
      <c r="F74" s="308"/>
    </row>
    <row r="75" spans="1:6">
      <c r="A75" s="309"/>
      <c r="B75" s="309"/>
      <c r="C75" s="309"/>
      <c r="D75" s="309"/>
      <c r="E75" s="309"/>
      <c r="F75" s="309"/>
    </row>
    <row r="76" spans="1:6">
      <c r="A76" s="305"/>
      <c r="B76" s="305"/>
      <c r="C76" s="305"/>
      <c r="D76" s="305"/>
      <c r="E76" s="305"/>
      <c r="F76" s="305"/>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43">
    <cfRule type="cellIs" dxfId="9" priority="7" operator="lessThan">
      <formula>22105</formula>
    </cfRule>
  </conditionalFormatting>
  <conditionalFormatting sqref="C8:C43">
    <cfRule type="cellIs" dxfId="8" priority="6" operator="lessThan">
      <formula>1</formula>
    </cfRule>
  </conditionalFormatting>
  <conditionalFormatting sqref="C8:F43">
    <cfRule type="cellIs" dxfId="7" priority="4" operator="lessThan">
      <formula>0.1</formula>
    </cfRule>
  </conditionalFormatting>
  <conditionalFormatting sqref="B44:B55">
    <cfRule type="cellIs" dxfId="6" priority="3" operator="lessThan">
      <formula>22105</formula>
    </cfRule>
  </conditionalFormatting>
  <conditionalFormatting sqref="C44:C55">
    <cfRule type="cellIs" dxfId="5" priority="2" operator="lessThan">
      <formula>1</formula>
    </cfRule>
  </conditionalFormatting>
  <conditionalFormatting sqref="C44:F55">
    <cfRule type="cellIs" dxfId="4"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zoomScaleSheetLayoutView="100" workbookViewId="0">
      <selection activeCell="A21" sqref="A21:E21"/>
    </sheetView>
  </sheetViews>
  <sheetFormatPr defaultColWidth="9.140625" defaultRowHeight="15" outlineLevelRow="1"/>
  <cols>
    <col min="1" max="1" width="19.5703125" style="10" customWidth="1"/>
    <col min="2" max="2" width="21.42578125" style="10" customWidth="1"/>
    <col min="3" max="3" width="17" style="10" customWidth="1"/>
    <col min="4" max="4" width="18.5703125" style="10" customWidth="1"/>
    <col min="5" max="5" width="17" style="10" customWidth="1"/>
    <col min="6" max="16384" width="9.140625" style="10"/>
  </cols>
  <sheetData>
    <row r="1" spans="1:5" ht="36" customHeight="1">
      <c r="A1" s="285" t="str">
        <f>""&amp;malumot!B155&amp;"
mikromoliya tashkilotining Xulosasi"</f>
        <v>«CLEVER MIKROMOLIYA TASHKILOTI» MChJ
mikromoliya tashkilotining Xulosasi</v>
      </c>
      <c r="B1" s="285"/>
      <c r="C1" s="285"/>
      <c r="D1" s="285"/>
      <c r="E1" s="285"/>
    </row>
    <row r="2" spans="1:5" hidden="1">
      <c r="A2" s="283"/>
      <c r="B2" s="283"/>
      <c r="C2" s="283"/>
      <c r="D2" s="283"/>
      <c r="E2" s="283"/>
    </row>
    <row r="3" spans="1:5">
      <c r="A3" s="285" t="s">
        <v>199</v>
      </c>
      <c r="B3" s="285"/>
      <c r="C3" s="285"/>
      <c r="D3" s="285"/>
      <c r="E3" s="285"/>
    </row>
    <row r="4" spans="1:5" ht="19.5" customHeight="1">
      <c r="A4" s="283" t="str">
        <f>"Mijozning to'liq ismi sharifi: "&amp;malumot!B5&amp;""</f>
        <v>Mijozning to'liq ismi sharifi: DJURAKULOVA SANAM ASHUROVNA</v>
      </c>
      <c r="B4" s="283"/>
      <c r="C4" s="283"/>
      <c r="D4" s="283"/>
      <c r="E4" s="283"/>
    </row>
    <row r="5" spans="1:5">
      <c r="A5" s="283" t="str">
        <f>"Tug'ilgan sanasi: "&amp;malumot!B15&amp;""</f>
        <v>Tug'ilgan sanasi: 18.07.1970 y</v>
      </c>
      <c r="B5" s="283"/>
      <c r="C5" s="283"/>
      <c r="D5" s="283"/>
      <c r="E5" s="283"/>
    </row>
    <row r="6" spans="1:5" ht="31.5" customHeight="1">
      <c r="A6" s="283" t="str">
        <f>"Pasport seriyasi "&amp;malumot!B16&amp;" "&amp;malumot!B20&amp;", amal qilish muddati - "&amp;malumot!B21&amp;""</f>
        <v>Pasport seriyasi AB 0252157 SAMARQAND VILOYATI SAMARQAND SHAHAR IIB tomonidan 29.06.2015 yilda berilgan, amal qilish muddati - 28.06.2025 y.</v>
      </c>
      <c r="B6" s="283"/>
      <c r="C6" s="283"/>
      <c r="D6" s="283"/>
      <c r="E6" s="283"/>
    </row>
    <row r="7" spans="1:5" ht="48" customHeight="1">
      <c r="A7" s="283" t="str">
        <f>"Ro‘yxatdan o‘tgan manzili: "&amp;malumot!B28&amp;", mo'ljal: "&amp;malumot!B26&amp;""</f>
        <v>Ro‘yxatdan o‘tgan manzili: SAMARQAND VILOYATI SAMARQAND SHAHAR BOG'ISARIY MAHALLASI SPITAMENSHOX KO'CHASI 252 UY, mo'ljal: SUPER XOTDOG. PED INSTITUTDAN O'TGANDA KOICAGA YETMASDAN</v>
      </c>
      <c r="B7" s="283"/>
      <c r="C7" s="283"/>
      <c r="D7" s="283"/>
      <c r="E7" s="283"/>
    </row>
    <row r="8" spans="1:5" ht="26.25" customHeight="1">
      <c r="A8" s="283" t="str">
        <f>"Ish joyi: "&amp;malumot!B52&amp;" lavozimi "&amp;malumot!B49&amp;"da "&amp;malumot!B44&amp;""</f>
        <v>Ish joyi:  lavozimi Yakka tartibdagi tadbirkorda Yakka tartibdagi tadbirkor</v>
      </c>
      <c r="B8" s="283"/>
      <c r="C8" s="283"/>
      <c r="D8" s="283"/>
      <c r="E8" s="283"/>
    </row>
    <row r="9" spans="1:5">
      <c r="A9" s="283"/>
      <c r="B9" s="283"/>
      <c r="C9" s="283"/>
      <c r="D9" s="283"/>
      <c r="E9" s="283"/>
    </row>
    <row r="10" spans="1:5">
      <c r="A10" s="285" t="str">
        <f>"Mijoz tomonidan so’ralgan "&amp;malumot!B65&amp;" shartlari:"</f>
        <v>Mijoz tomonidan so’ralgan mikroqarz shartlari:</v>
      </c>
      <c r="B10" s="285"/>
      <c r="C10" s="285"/>
      <c r="D10" s="285"/>
      <c r="E10" s="285"/>
    </row>
    <row r="11" spans="1:5">
      <c r="A11" s="283" t="str">
        <f>kredit_ariza!A13:D13</f>
        <v>Mikroqarz summasi: 40 000 000,00 (qirq million so'm) so'm.</v>
      </c>
      <c r="B11" s="283"/>
      <c r="C11" s="283"/>
      <c r="D11" s="283"/>
      <c r="E11" s="283"/>
    </row>
    <row r="12" spans="1:5">
      <c r="A12" s="283" t="str">
        <f>kredit_ariza!A14:D14</f>
        <v>Mikroqarz muddati: 24 (Yigirma to'rt  ) oy.</v>
      </c>
      <c r="B12" s="283"/>
      <c r="C12" s="283"/>
      <c r="D12" s="283"/>
      <c r="E12" s="283"/>
    </row>
    <row r="13" spans="1:5">
      <c r="A13" s="283" t="str">
        <f>kredit_ariza!A15:D15</f>
        <v>Mikroqarzdan foydalanganlik uchun foiz stavkasi: yillik  55% (Ellik besh  ) foiz</v>
      </c>
      <c r="B13" s="283"/>
      <c r="C13" s="283"/>
      <c r="D13" s="283"/>
      <c r="E13" s="283"/>
    </row>
    <row r="14" spans="1:5">
      <c r="A14" s="283" t="str">
        <f>kredit_ariza!A16:D16</f>
        <v>Mikroqarz bo'yicha asosiy qarz va foizlarni to'lash:</v>
      </c>
      <c r="B14" s="283"/>
      <c r="C14" s="283"/>
      <c r="D14" s="283"/>
      <c r="E14" s="283"/>
    </row>
    <row r="15" spans="1:5" ht="18.75" customHeight="1">
      <c r="A15" s="283" t="str">
        <f>kredit_ariza!A19:D19</f>
        <v xml:space="preserve"> - mikroqarz shartnomasi bo'yicha har oy differensial to'lovlari amalga oshiriladi</v>
      </c>
      <c r="B15" s="283"/>
      <c r="C15" s="283"/>
      <c r="D15" s="283"/>
      <c r="E15" s="283"/>
    </row>
    <row r="16" spans="1:5" ht="14.25" customHeight="1">
      <c r="A16" s="284" t="str">
        <f>kredit_ariza!A20:D20</f>
        <v xml:space="preserve">   </v>
      </c>
      <c r="B16" s="284"/>
      <c r="C16" s="284"/>
      <c r="D16" s="284"/>
      <c r="E16" s="284"/>
    </row>
    <row r="17" spans="1:5">
      <c r="A17" s="283" t="str">
        <f>kredit_ariza!A21:D21</f>
        <v>Mikroqarz ta’minoti::</v>
      </c>
      <c r="B17" s="283"/>
      <c r="C17" s="283"/>
      <c r="D17" s="283"/>
      <c r="E17" s="283"/>
    </row>
    <row r="18" spans="1:5" ht="65.25" customHeight="1">
      <c r="A18" s="283" t="str">
        <f>kredit_ariza!A22:D22</f>
        <v xml:space="preserve">  Egalik huquqi DJURAKULOVA S.A.ga tegishli bo'lgan garovga olingan avtomobil markasi   LACETTI, rangi -  QORA CHERNIY, ishlab chiqarilgan yili - 2011, davlat raqam belgisi 30O259OA, kuzov turi - YENGIL SEDAN, kuzov raqami XWB5M31BDBA256320 TASH KUR GENTRA, dvigatel raqami 2132251, shassi raqami - RAKAMSIZ</v>
      </c>
      <c r="B18" s="283"/>
      <c r="C18" s="283"/>
      <c r="D18" s="283"/>
      <c r="E18" s="283"/>
    </row>
    <row r="19" spans="1:5">
      <c r="A19" s="285" t="s">
        <v>200</v>
      </c>
      <c r="B19" s="285"/>
      <c r="C19" s="285"/>
      <c r="D19" s="285"/>
      <c r="E19" s="285"/>
    </row>
    <row r="20" spans="1:5" ht="21" customHeight="1">
      <c r="A20" s="283" t="str">
        <f>"Anketaga muvofiq "&amp;malumot!B9&amp;"ning o‘rtacha oylik daromadi  "&amp;FIXED(malumot!B60)&amp;" so‘mni tashkil etdi."</f>
        <v>Anketaga muvofiq DJURAKULOVA S.A.ning o‘rtacha oylik daromadi  12 000 000,00 so‘mni tashkil etdi.</v>
      </c>
      <c r="B20" s="283"/>
      <c r="C20" s="283"/>
      <c r="D20" s="283"/>
      <c r="E20" s="283"/>
    </row>
    <row r="21" spans="1:5" ht="27" customHeight="1">
      <c r="A21" s="283" t="str">
        <f>"Mijozning o'rtacha oylik xarajatlari "&amp;FIXED(mijoz_anketasi!F27)&amp;" so'mni tashkil etdi"</f>
        <v>Mijozning o'rtacha oylik xarajatlari 1 650 000,00 so'mni tashkil etdi</v>
      </c>
      <c r="B21" s="283"/>
      <c r="C21" s="283"/>
      <c r="D21" s="283"/>
      <c r="E21" s="283"/>
    </row>
    <row r="22" spans="1:5" ht="24.75" customHeight="1">
      <c r="A22" s="283" t="str">
        <f>IF(malumot!B77=malumot!C77,xulosa!A23:E23,xulosa!A24:E24)</f>
        <v>Mikroqarz shartnomasi bo'yicha birinchi oy uchun to'lov 3 776 255,62 so'mni tashkil etadi.</v>
      </c>
      <c r="B22" s="283"/>
      <c r="C22" s="283"/>
      <c r="D22" s="283"/>
      <c r="E22" s="283"/>
    </row>
    <row r="23" spans="1:5" ht="19.5" hidden="1" customHeight="1">
      <c r="A23" s="283" t="str">
        <f>""&amp;malumot!C64&amp;" shartnomasi bo'yicha birinchi oy uchun to'lov "&amp;FIXED(malumot!B90)&amp;" so'mni tashkil etadi."</f>
        <v>Mikroqarz shartnomasi bo'yicha birinchi oy uchun to'lov 3 776 255,62 so'mni tashkil etadi.</v>
      </c>
      <c r="B23" s="283"/>
      <c r="C23" s="283"/>
      <c r="D23" s="283"/>
      <c r="E23" s="283"/>
    </row>
    <row r="24" spans="1:5" ht="19.5" hidden="1" customHeight="1">
      <c r="A24" s="283" t="str">
        <f>""&amp;malumot!C64&amp;" bo‘yicha oylik "&amp;malumot!B77&amp;" to‘lovi miqdori "&amp;FIXED(malumot!B90)&amp;" so‘mni tashkil etadi."</f>
        <v>Mikroqarz bo‘yicha oylik differensial to‘lovi miqdori 3 776 255,62 so‘mni tashkil etadi.</v>
      </c>
      <c r="B24" s="283"/>
      <c r="C24" s="283"/>
      <c r="D24" s="283"/>
      <c r="E24" s="283"/>
    </row>
    <row r="25" spans="1:5" ht="56.25" hidden="1" customHeight="1">
      <c r="A25" s="284" t="s">
        <v>405</v>
      </c>
      <c r="B25" s="284"/>
      <c r="C25" s="284"/>
      <c r="D25" s="284"/>
      <c r="E25" s="284"/>
    </row>
    <row r="26" spans="1:5">
      <c r="A26" s="285" t="str">
        <f>""&amp;malumot!C64&amp;" bo’yicha ta’minot:"</f>
        <v>Mikroqarz bo’yicha ta’minot:</v>
      </c>
      <c r="B26" s="285"/>
      <c r="C26" s="285"/>
      <c r="D26" s="285"/>
      <c r="E26" s="285"/>
    </row>
    <row r="27" spans="1:5" ht="31.5" hidden="1" customHeight="1">
      <c r="A27" s="283" t="str">
        <f>" - "&amp;malumot!B125&amp;" ga mulk huquqi asosida tegishli avtotransport vositasi "&amp;malumot!B133&amp;" , quyidagi tafsilotlarga muvofiq:"</f>
        <v xml:space="preserve"> - DJURAKULOVA S.A. ga mulk huquqi asosida tegishli avtotransport vositasi LACETTI , quyidagi tafsilotlarga muvofiq:</v>
      </c>
      <c r="B27" s="283"/>
      <c r="C27" s="283"/>
      <c r="D27" s="283"/>
      <c r="E27" s="283"/>
    </row>
    <row r="28" spans="1:5" ht="67.5" hidden="1" customHeight="1">
      <c r="A28" s="283" t="str">
        <f>" -   "&amp;malumot!C125&amp;" ga mulk huquqi asosida tegishli ko'chmas mulk shaklida "&amp;malumot!C134&amp;", manzili: "&amp;malumot!C131&amp;", quyidagi tafsilotlarga muvofiq:"</f>
        <v xml:space="preserve"> -   DJURAKULOVA SANAM ASHUROVNA ga mulk huquqi asosida tegishli ko'chmas mulk shaklida 3 - xonali yakka tartibdagi uy-joy, manzili: SAMARQAND VILOYATI TAYLOQ TUMANI CHAROG'BON MFY YANGI TAYLOQ QISHLOG'I 6 TURAR JOY 12 QAVAT 58 XONADON, quyidagi tafsilotlarga muvofiq:</v>
      </c>
      <c r="B28" s="283"/>
      <c r="C28" s="283"/>
      <c r="D28" s="283"/>
      <c r="E28" s="283"/>
    </row>
    <row r="29" spans="1:5" ht="44.25" customHeight="1">
      <c r="A29" s="283" t="str">
        <f>IF(malumot!B111="Avtotransport",xulosa!A27:E27,xulosa!A28:E28)</f>
        <v xml:space="preserve"> - DJURAKULOVA S.A. ga mulk huquqi asosida tegishli avtotransport vositasi LACETTI , quyidagi tafsilotlarga muvofiq:</v>
      </c>
      <c r="B29" s="283"/>
      <c r="C29" s="283"/>
      <c r="D29" s="283"/>
      <c r="E29" s="283"/>
    </row>
    <row r="30" spans="1:5" s="11" customFormat="1" ht="47.25" customHeight="1" outlineLevel="1">
      <c r="A30" s="33" t="str">
        <f>dalolatnoma!A29</f>
        <v>Nomi</v>
      </c>
      <c r="B30" s="33" t="str">
        <f>dalolatnoma!B29</f>
        <v>Kuzov turi  va kuzov raqami*</v>
      </c>
      <c r="C30" s="33" t="str">
        <f>dalolatnoma!C29</f>
        <v>Dvigatel va shassi raqami*</v>
      </c>
      <c r="D30" s="33" t="str">
        <f>dalolatnoma!D29</f>
        <v>Ishlab chiqarilgan yili va rangi*</v>
      </c>
      <c r="E30" s="33" t="str">
        <f>dalolatnoma!E29</f>
        <v>Kelishilgan garov qiymati, so'm</v>
      </c>
    </row>
    <row r="31" spans="1:5" s="15" customFormat="1" ht="92.25" customHeight="1" outlineLevel="1">
      <c r="A31" s="12" t="str">
        <f>dalolatnoma!A30</f>
        <v>LACETTI</v>
      </c>
      <c r="B31" s="12" t="str">
        <f>dalolatnoma!B30</f>
        <v>kuzov turi - YENGIL SEDAN, kuzov raqami XWB5M31BDBA256320 TASH KUR GENTRA</v>
      </c>
      <c r="C31" s="12" t="str">
        <f>dalolatnoma!C30</f>
        <v>dvigatel raqami 2132251, shassi raqami - RAKAMSIZ</v>
      </c>
      <c r="D31" s="12" t="str">
        <f>dalolatnoma!D30</f>
        <v>rangi -  QORA CHERNIY, ishlab chiqarilgan yili - 2011</v>
      </c>
      <c r="E31" s="12" t="str">
        <f>dalolatnoma!E30</f>
        <v>56 000 000,00 
(ellik olti million so'm)</v>
      </c>
    </row>
    <row r="32" spans="1:5" ht="17.25" customHeight="1" outlineLevel="1">
      <c r="A32" s="283" t="str">
        <f>dalolatnoma!A22</f>
        <v>-* avtotransport egasi: DJURAKULOVA S.A.</v>
      </c>
      <c r="B32" s="283"/>
      <c r="C32" s="283"/>
      <c r="D32" s="283"/>
      <c r="E32" s="283"/>
    </row>
    <row r="33" spans="1:5" ht="15" customHeight="1" outlineLevel="1">
      <c r="A33" s="283" t="str">
        <f>dalolatnoma!A23</f>
        <v>-* texnik pasport: AAG 4271140 05.07.2024y.</v>
      </c>
      <c r="B33" s="283"/>
      <c r="C33" s="283"/>
      <c r="D33" s="283"/>
      <c r="E33" s="283"/>
    </row>
    <row r="34" spans="1:5" ht="33" customHeight="1" outlineLevel="1">
      <c r="A34" s="283" t="str">
        <f>dalolatnoma!A24</f>
        <v>-* roʻyxatdan oʻtgan manzili/garaj manzili: SAMARQAND VILOYATI SAMARQAND SHAHAR BOG'ISARIY MAHALLASI SPITAMENSHOX KO'CHASI 252 UY</v>
      </c>
      <c r="B34" s="283"/>
      <c r="C34" s="283"/>
      <c r="D34" s="283"/>
      <c r="E34" s="283"/>
    </row>
    <row r="35" spans="1:5" ht="15" customHeight="1" outlineLevel="1">
      <c r="A35" s="283" t="str">
        <f>dalolatnoma!A25</f>
        <v>-* davlat raqami: 30O259OA</v>
      </c>
      <c r="B35" s="283"/>
      <c r="C35" s="283"/>
      <c r="D35" s="283"/>
      <c r="E35" s="283"/>
    </row>
    <row r="36" spans="1:5" ht="9" customHeight="1">
      <c r="A36" s="283"/>
      <c r="B36" s="283"/>
      <c r="C36" s="283"/>
      <c r="D36" s="283"/>
      <c r="E36" s="283"/>
    </row>
    <row r="37" spans="1:5" ht="39" customHeight="1">
      <c r="A37" s="285" t="str">
        <f>""&amp;malumot!B155&amp;"
mikromoliya tashkilotining Xulosasi"</f>
        <v>«CLEVER MIKROMOLIYA TASHKILOTI» MChJ
mikromoliya tashkilotining Xulosasi</v>
      </c>
      <c r="B37" s="285"/>
      <c r="C37" s="285"/>
      <c r="D37" s="285"/>
      <c r="E37" s="285"/>
    </row>
    <row r="38" spans="1:5" ht="48" customHeight="1">
      <c r="A38" s="283" t="str">
        <f>""&amp;malumot!B155&amp;" kredit qo‘mitasining xulosasiga quyidagi shartlarda "&amp;malumot!B10&amp;"ga "&amp;malumot!B65&amp;" berish masalasi kiritiladi:"</f>
        <v>«CLEVER MIKROMOLIYA TASHKILOTI» MChJ kredit qo‘mitasining xulosasiga quyidagi shartlarda DJURAKULOVA SANAM ASHUROVNAga mikroqarz berish masalasi kiritiladi:</v>
      </c>
      <c r="B38" s="283"/>
      <c r="C38" s="283"/>
      <c r="D38" s="283"/>
      <c r="E38" s="283"/>
    </row>
    <row r="39" spans="1:5">
      <c r="A39" s="283" t="str">
        <f>A11</f>
        <v>Mikroqarz summasi: 40 000 000,00 (qirq million so'm) so'm.</v>
      </c>
      <c r="B39" s="283"/>
      <c r="C39" s="283"/>
      <c r="D39" s="283"/>
      <c r="E39" s="283"/>
    </row>
    <row r="40" spans="1:5">
      <c r="A40" s="283" t="str">
        <f t="shared" ref="A40:A46" si="0">A12</f>
        <v>Mikroqarz muddati: 24 (Yigirma to'rt  ) oy.</v>
      </c>
      <c r="B40" s="283"/>
      <c r="C40" s="283"/>
      <c r="D40" s="283"/>
      <c r="E40" s="283"/>
    </row>
    <row r="41" spans="1:5">
      <c r="A41" s="283" t="str">
        <f t="shared" si="0"/>
        <v>Mikroqarzdan foydalanganlik uchun foiz stavkasi: yillik  55% (Ellik besh  ) foiz</v>
      </c>
      <c r="B41" s="283"/>
      <c r="C41" s="283"/>
      <c r="D41" s="283"/>
      <c r="E41" s="283"/>
    </row>
    <row r="42" spans="1:5">
      <c r="A42" s="283" t="str">
        <f t="shared" si="0"/>
        <v>Mikroqarz bo'yicha asosiy qarz va foizlarni to'lash:</v>
      </c>
      <c r="B42" s="283"/>
      <c r="C42" s="283"/>
      <c r="D42" s="283"/>
      <c r="E42" s="283"/>
    </row>
    <row r="43" spans="1:5" ht="20.25" customHeight="1">
      <c r="A43" s="283" t="str">
        <f t="shared" si="0"/>
        <v xml:space="preserve"> - mikroqarz shartnomasi bo'yicha har oy differensial to'lovlari amalga oshiriladi</v>
      </c>
      <c r="B43" s="283"/>
      <c r="C43" s="283"/>
      <c r="D43" s="283"/>
      <c r="E43" s="283"/>
    </row>
    <row r="44" spans="1:5" ht="26.25" customHeight="1">
      <c r="A44" s="283" t="str">
        <f t="shared" si="0"/>
        <v xml:space="preserve">   </v>
      </c>
      <c r="B44" s="283"/>
      <c r="C44" s="283"/>
      <c r="D44" s="283"/>
      <c r="E44" s="283"/>
    </row>
    <row r="45" spans="1:5">
      <c r="A45" s="283" t="str">
        <f t="shared" si="0"/>
        <v>Mikroqarz ta’minoti::</v>
      </c>
      <c r="B45" s="283"/>
      <c r="C45" s="283"/>
      <c r="D45" s="283"/>
      <c r="E45" s="283"/>
    </row>
    <row r="46" spans="1:5" ht="72" customHeight="1">
      <c r="A46" s="283" t="str">
        <f t="shared" si="0"/>
        <v xml:space="preserve">  Egalik huquqi DJURAKULOVA S.A.ga tegishli bo'lgan garovga olingan avtomobil markasi   LACETTI, rangi -  QORA CHERNIY, ishlab chiqarilgan yili - 2011, davlat raqam belgisi 30O259OA, kuzov turi - YENGIL SEDAN, kuzov raqami XWB5M31BDBA256320 TASH KUR GENTRA, dvigatel raqami 2132251, shassi raqami - RAKAMSIZ</v>
      </c>
      <c r="B46" s="283"/>
      <c r="C46" s="283"/>
      <c r="D46" s="283"/>
      <c r="E46" s="283"/>
    </row>
    <row r="47" spans="1:5">
      <c r="A47" s="283"/>
      <c r="B47" s="283"/>
      <c r="C47" s="283"/>
      <c r="D47" s="283"/>
      <c r="E47" s="283"/>
    </row>
    <row r="48" spans="1:5" ht="36.75" customHeight="1">
      <c r="A48" s="283" t="str">
        <f>""&amp;malumot!B155&amp;" mikromoliya tashkilotining xulosasi  "&amp;TEXT(malumot!B2,"ДД.ММ.ГГГГ")&amp;" y. tayyorlangan"</f>
        <v>«CLEVER MIKROMOLIYA TASHKILOTI» MChJ mikromoliya tashkilotining xulosasi  10.04.2025 y. tayyorlangan</v>
      </c>
      <c r="B48" s="283"/>
      <c r="C48" s="283"/>
      <c r="D48" s="283"/>
      <c r="E48" s="283"/>
    </row>
    <row r="49" spans="1:5" hidden="1">
      <c r="A49" s="114"/>
      <c r="B49" s="158"/>
      <c r="C49" s="158"/>
      <c r="D49" s="114"/>
      <c r="E49" s="18"/>
    </row>
    <row r="50" spans="1:5">
      <c r="A50" s="283"/>
      <c r="B50" s="283"/>
      <c r="C50" s="283"/>
      <c r="D50" s="283"/>
      <c r="E50" s="283"/>
    </row>
    <row r="51" spans="1:5" ht="47.25" customHeight="1">
      <c r="A51" s="283" t="str">
        <f>""&amp;malumot!B155&amp;" mikromoliya tashkilotining Kredit qo‘mitasi a’zolari "&amp;malumot!B155&amp;"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83"/>
      <c r="C51" s="283"/>
      <c r="D51" s="283"/>
      <c r="E51" s="283"/>
    </row>
    <row r="52" spans="1:5">
      <c r="A52" s="14"/>
      <c r="B52" s="14"/>
      <c r="C52" s="14"/>
      <c r="D52" s="14"/>
      <c r="E52" s="14"/>
    </row>
    <row r="53" spans="1:5">
      <c r="A53" s="14" t="s">
        <v>386</v>
      </c>
      <c r="B53" s="317"/>
      <c r="C53" s="317"/>
      <c r="D53" s="317"/>
      <c r="E53" s="14"/>
    </row>
    <row r="54" spans="1:5">
      <c r="A54" s="14"/>
      <c r="B54" s="186"/>
      <c r="C54" s="186"/>
      <c r="D54" s="186"/>
      <c r="E54" s="14"/>
    </row>
    <row r="55" spans="1:5" ht="29.25">
      <c r="A55" s="160" t="str">
        <f>malumot!A158</f>
        <v>Samarqand filiali boshlig'i</v>
      </c>
      <c r="B55" s="162"/>
      <c r="C55" s="31"/>
      <c r="D55" s="160" t="str">
        <f>malumot!B158</f>
        <v>S.Asrorov</v>
      </c>
      <c r="E55" s="160"/>
    </row>
    <row r="56" spans="1:5">
      <c r="A56" s="160"/>
      <c r="B56" s="162"/>
      <c r="C56" s="31"/>
      <c r="D56" s="160"/>
      <c r="E56" s="160"/>
    </row>
    <row r="57" spans="1:5">
      <c r="A57" s="160"/>
      <c r="B57" s="162"/>
      <c r="C57" s="31"/>
      <c r="D57" s="160"/>
      <c r="E57" s="160"/>
    </row>
    <row r="58" spans="1:5">
      <c r="A58" s="160"/>
      <c r="B58" s="162"/>
      <c r="C58" s="31"/>
      <c r="D58" s="160"/>
      <c r="E58" s="160"/>
    </row>
    <row r="59" spans="1:5" ht="30" customHeight="1">
      <c r="A59" s="160" t="str">
        <f>malumot!A167</f>
        <v>Kreditlash bo’limi boshlig’i</v>
      </c>
      <c r="B59" s="113"/>
      <c r="C59" s="173"/>
      <c r="D59" s="114" t="str">
        <f>malumot!B167</f>
        <v>B. Mominov</v>
      </c>
      <c r="E59" s="17"/>
    </row>
    <row r="60" spans="1:5">
      <c r="A60" s="160"/>
      <c r="B60" s="113"/>
      <c r="C60" s="173"/>
      <c r="D60" s="114"/>
      <c r="E60" s="17"/>
    </row>
    <row r="61" spans="1:5">
      <c r="A61" s="160"/>
      <c r="B61" s="17"/>
      <c r="C61" s="173"/>
      <c r="D61" s="114"/>
      <c r="E61" s="17"/>
    </row>
    <row r="62" spans="1:5">
      <c r="A62" s="160"/>
      <c r="B62" s="159"/>
      <c r="C62" s="31"/>
      <c r="D62" s="160"/>
      <c r="E62" s="17"/>
    </row>
    <row r="63" spans="1:5" ht="29.25">
      <c r="A63" s="160" t="str">
        <f>malumot!A168</f>
        <v>Monitoring bo’limi boshlig’i</v>
      </c>
      <c r="D63" s="31" t="str">
        <f>malumot!B168</f>
        <v>J.Karimov</v>
      </c>
    </row>
    <row r="64" spans="1:5">
      <c r="A64" s="160"/>
      <c r="D64" s="31"/>
    </row>
    <row r="65" spans="1:4">
      <c r="A65" s="160"/>
      <c r="D65" s="31"/>
    </row>
    <row r="66" spans="1:4" ht="35.25" customHeight="1">
      <c r="A66" s="160"/>
      <c r="D66" s="31"/>
    </row>
    <row r="67" spans="1:4">
      <c r="A67" s="114" t="s">
        <v>401</v>
      </c>
      <c r="D67" s="31" t="s">
        <v>385</v>
      </c>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4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2">
    <tabColor rgb="FF00B050"/>
  </sheetPr>
  <dimension ref="A1:P77"/>
  <sheetViews>
    <sheetView view="pageBreakPreview" topLeftCell="A3" zoomScaleNormal="100" zoomScaleSheetLayoutView="100" workbookViewId="0">
      <selection activeCell="D61" sqref="D61:F61"/>
    </sheetView>
  </sheetViews>
  <sheetFormatPr defaultColWidth="9.140625" defaultRowHeight="15" outlineLevelCol="1"/>
  <cols>
    <col min="1" max="1" width="9.140625" style="10"/>
    <col min="2" max="2" width="13.7109375" style="10" customWidth="1"/>
    <col min="3" max="3" width="20.140625" style="10" customWidth="1"/>
    <col min="4" max="4" width="20.28515625" style="10" customWidth="1"/>
    <col min="5" max="5" width="19.5703125" style="10" customWidth="1"/>
    <col min="6" max="6" width="18.28515625" style="10" customWidth="1"/>
    <col min="7" max="7" width="10.140625" style="10" customWidth="1" outlineLevel="1"/>
    <col min="8" max="8" width="19.7109375" style="10" customWidth="1"/>
    <col min="9" max="10" width="9.140625" style="10" customWidth="1"/>
    <col min="11" max="16384" width="9.140625" style="10"/>
  </cols>
  <sheetData>
    <row r="1" spans="1:16" ht="9" hidden="1" customHeight="1"/>
    <row r="2" spans="1:16" ht="6" hidden="1" customHeight="1">
      <c r="A2" s="31"/>
      <c r="B2" s="31"/>
      <c r="C2" s="31"/>
      <c r="D2" s="31"/>
      <c r="E2" s="312"/>
      <c r="F2" s="312"/>
      <c r="G2" s="15"/>
    </row>
    <row r="3" spans="1:16" ht="63.75" customHeight="1">
      <c r="A3" s="31"/>
      <c r="B3" s="31"/>
      <c r="C3" s="31"/>
      <c r="D3" s="31"/>
      <c r="E3" s="320" t="str">
        <f>""&amp;malumot!B74&amp;" 
"&amp;malumot!B65&amp;" shartnomasiga 
1 sonli ilova"</f>
        <v>10 aprel 2025 y.dan №745-SM 
mikroqarz shartnomasiga 
1 sonli ilova</v>
      </c>
      <c r="F3" s="320"/>
      <c r="G3" s="15"/>
    </row>
    <row r="4" spans="1:16" ht="6.75" hidden="1" customHeight="1">
      <c r="A4" s="31"/>
      <c r="B4" s="31"/>
      <c r="C4" s="31"/>
      <c r="D4" s="31"/>
      <c r="E4" s="31"/>
      <c r="F4" s="31"/>
    </row>
    <row r="5" spans="1:16">
      <c r="A5" s="313" t="s">
        <v>259</v>
      </c>
      <c r="B5" s="313"/>
      <c r="C5" s="313"/>
      <c r="D5" s="313"/>
      <c r="E5" s="313"/>
      <c r="F5" s="313"/>
    </row>
    <row r="6" spans="1:16" ht="7.5" hidden="1" customHeight="1"/>
    <row r="7" spans="1:16" ht="15" customHeight="1">
      <c r="A7" s="314" t="s">
        <v>14</v>
      </c>
      <c r="B7" s="315" t="s">
        <v>260</v>
      </c>
      <c r="C7" s="315" t="s">
        <v>261</v>
      </c>
      <c r="D7" s="316" t="s">
        <v>262</v>
      </c>
      <c r="E7" s="316"/>
      <c r="F7" s="316"/>
    </row>
    <row r="8" spans="1:16" s="11" customFormat="1">
      <c r="A8" s="314"/>
      <c r="B8" s="315"/>
      <c r="C8" s="315"/>
      <c r="D8" s="12" t="s">
        <v>263</v>
      </c>
      <c r="E8" s="12" t="s">
        <v>264</v>
      </c>
      <c r="F8" s="12" t="s">
        <v>265</v>
      </c>
    </row>
    <row r="9" spans="1:16">
      <c r="A9" s="13">
        <v>1</v>
      </c>
      <c r="B9" s="27">
        <f>'График аннуитет.'!B8</f>
        <v>45792</v>
      </c>
      <c r="C9" s="28">
        <f>IF(malumot!$B$77=malumot!$C$77,'График дифференц'!C8,IF(malumot!$B$77=malumot!$D$77,'График аннуитет.'!C8))</f>
        <v>40000000</v>
      </c>
      <c r="D9" s="28">
        <f>IF(malumot!$B$77=malumot!$C$77,'График дифференц'!D8,IF(malumot!$B$77=malumot!$D$77,'График аннуитет.'!D8))</f>
        <v>1666666.67</v>
      </c>
      <c r="E9" s="28">
        <f>IF(malumot!$B$77=malumot!$C$77,'График дифференц'!E8,IF(malumot!$B$77=malumot!$D$77,'График аннуитет.'!E8))</f>
        <v>2109588.9500000002</v>
      </c>
      <c r="F9" s="28">
        <f>IF(malumot!$B$77=malumot!$C$77,'График дифференц'!F8,IF(malumot!$B$77=malumot!$D$77,'График аннуитет.'!F8))</f>
        <v>3776255.62</v>
      </c>
    </row>
    <row r="10" spans="1:16">
      <c r="A10" s="13">
        <v>2</v>
      </c>
      <c r="B10" s="27">
        <f>'График аннуитет.'!B9</f>
        <v>45824</v>
      </c>
      <c r="C10" s="28">
        <f>IF(malumot!$B$77=malumot!$C$77,'График дифференц'!C9,IF(malumot!$B$77=malumot!$D$77,'График аннуитет.'!C9))</f>
        <v>38333333.329999998</v>
      </c>
      <c r="D10" s="28">
        <f>IF(malumot!$B$77=malumot!$C$77,'График дифференц'!D9,IF(malumot!$B$77=malumot!$D$77,'График аннуитет.'!D9))</f>
        <v>1666666.67</v>
      </c>
      <c r="E10" s="28">
        <f>IF(malumot!$B$77=malumot!$C$77,'График дифференц'!E9,IF(malumot!$B$77=malumot!$D$77,'График аннуитет.'!E9))</f>
        <v>1848401.9199999999</v>
      </c>
      <c r="F10" s="28">
        <f>IF(malumot!$B$77=malumot!$C$77,'График дифференц'!F9,IF(malumot!$B$77=malumot!$D$77,'График аннуитет.'!F9))</f>
        <v>3515068.59</v>
      </c>
    </row>
    <row r="11" spans="1:16">
      <c r="A11" s="13">
        <v>3</v>
      </c>
      <c r="B11" s="27">
        <f>'График аннуитет.'!B10</f>
        <v>45853</v>
      </c>
      <c r="C11" s="28">
        <f>IF(malumot!$B$77=malumot!$C$77,'График дифференц'!C10,IF(malumot!$B$77=malumot!$D$77,'График аннуитет.'!C10))</f>
        <v>36666666.659999996</v>
      </c>
      <c r="D11" s="28">
        <f>IF(malumot!$B$77=malumot!$C$77,'График дифференц'!D10,IF(malumot!$B$77=malumot!$D$77,'График аннуитет.'!D10))</f>
        <v>1666666.67</v>
      </c>
      <c r="E11" s="28">
        <f>IF(malumot!$B$77=malumot!$C$77,'График дифференц'!E10,IF(malumot!$B$77=malumot!$D$77,'График аннуитет.'!E10))</f>
        <v>1602283.06</v>
      </c>
      <c r="F11" s="28">
        <f>IF(malumot!$B$77=malumot!$C$77,'График дифференц'!F10,IF(malumot!$B$77=malumot!$D$77,'График аннуитет.'!F10))</f>
        <v>3268949.73</v>
      </c>
    </row>
    <row r="12" spans="1:16">
      <c r="A12" s="13">
        <v>4</v>
      </c>
      <c r="B12" s="27">
        <f>'График аннуитет.'!B11</f>
        <v>45884</v>
      </c>
      <c r="C12" s="28">
        <f>IF(malumot!$B$77=malumot!$C$77,'График дифференц'!C11,IF(malumot!$B$77=malumot!$D$77,'График аннуитет.'!C11))</f>
        <v>34999999.989999995</v>
      </c>
      <c r="D12" s="28">
        <f>IF(malumot!$B$77=malumot!$C$77,'График дифференц'!D11,IF(malumot!$B$77=malumot!$D$77,'График аннуитет.'!D11))</f>
        <v>1666666.67</v>
      </c>
      <c r="E12" s="28">
        <f>IF(malumot!$B$77=malumot!$C$77,'График дифференц'!E11,IF(malumot!$B$77=malumot!$D$77,'График аннуитет.'!E11))</f>
        <v>1634931.6300000001</v>
      </c>
      <c r="F12" s="28">
        <f>IF(malumot!$B$77=malumot!$C$77,'График дифференц'!F11,IF(malumot!$B$77=malumot!$D$77,'График аннуитет.'!F11))</f>
        <v>3301598.3</v>
      </c>
      <c r="H12" s="319" t="s">
        <v>368</v>
      </c>
      <c r="I12" s="319"/>
      <c r="J12" s="319"/>
      <c r="K12" s="319"/>
      <c r="L12" s="319"/>
      <c r="M12" s="319"/>
      <c r="N12" s="319"/>
      <c r="O12" s="319"/>
      <c r="P12" s="319"/>
    </row>
    <row r="13" spans="1:16">
      <c r="A13" s="13">
        <v>5</v>
      </c>
      <c r="B13" s="27">
        <f>'График аннуитет.'!B12</f>
        <v>45915</v>
      </c>
      <c r="C13" s="28">
        <f>IF(malumot!$B$77=malumot!$C$77,'График дифференц'!C12,IF(malumot!$B$77=malumot!$D$77,'График аннуитет.'!C12))</f>
        <v>33333333.319999993</v>
      </c>
      <c r="D13" s="28">
        <f>IF(malumot!$B$77=malumot!$C$77,'График дифференц'!D12,IF(malumot!$B$77=malumot!$D$77,'График аннуитет.'!D12))</f>
        <v>1666666.67</v>
      </c>
      <c r="E13" s="28">
        <f>IF(malumot!$B$77=malumot!$C$77,'График дифференц'!E12,IF(malumot!$B$77=malumot!$D$77,'График аннуитет.'!E12))</f>
        <v>1557077.6099999999</v>
      </c>
      <c r="F13" s="28">
        <f>IF(malumot!$B$77=malumot!$C$77,'График дифференц'!F12,IF(malumot!$B$77=malumot!$D$77,'График аннуитет.'!F12))</f>
        <v>3223744.28</v>
      </c>
      <c r="H13" s="319"/>
      <c r="I13" s="319"/>
      <c r="J13" s="319"/>
      <c r="K13" s="319"/>
      <c r="L13" s="319"/>
      <c r="M13" s="319"/>
      <c r="N13" s="319"/>
      <c r="O13" s="319"/>
      <c r="P13" s="319"/>
    </row>
    <row r="14" spans="1:16">
      <c r="A14" s="13">
        <v>6</v>
      </c>
      <c r="B14" s="27">
        <f>'График аннуитет.'!B13</f>
        <v>45945</v>
      </c>
      <c r="C14" s="28">
        <f>IF(malumot!$B$77=malumot!$C$77,'График дифференц'!C13,IF(malumot!$B$77=malumot!$D$77,'График аннуитет.'!C13))</f>
        <v>31666666.649999991</v>
      </c>
      <c r="D14" s="28">
        <f>IF(malumot!$B$77=malumot!$C$77,'График дифференц'!D13,IF(malumot!$B$77=malumot!$D$77,'График аннуитет.'!D13))</f>
        <v>1666666.67</v>
      </c>
      <c r="E14" s="28">
        <f>IF(malumot!$B$77=malumot!$C$77,'График дифференц'!E13,IF(malumot!$B$77=malumot!$D$77,'График аннуитет.'!E13))</f>
        <v>1431506.7</v>
      </c>
      <c r="F14" s="28">
        <f>IF(malumot!$B$77=malumot!$C$77,'График дифференц'!F13,IF(malumot!$B$77=malumot!$D$77,'График аннуитет.'!F13))</f>
        <v>3098173.37</v>
      </c>
      <c r="H14" s="319"/>
      <c r="I14" s="319"/>
      <c r="J14" s="319"/>
      <c r="K14" s="319"/>
      <c r="L14" s="319"/>
      <c r="M14" s="319"/>
      <c r="N14" s="319"/>
      <c r="O14" s="319"/>
      <c r="P14" s="319"/>
    </row>
    <row r="15" spans="1:16">
      <c r="A15" s="13">
        <v>7</v>
      </c>
      <c r="B15" s="27">
        <f>'График аннуитет.'!B14</f>
        <v>45978</v>
      </c>
      <c r="C15" s="28">
        <f>IF(malumot!$B$77=malumot!$C$77,'График дифференц'!C14,IF(malumot!$B$77=malumot!$D$77,'График аннуитет.'!C14))</f>
        <v>29999999.979999989</v>
      </c>
      <c r="D15" s="28">
        <f>IF(malumot!$B$77=malumot!$C$77,'График дифференц'!D14,IF(malumot!$B$77=malumot!$D$77,'График аннуитет.'!D14))</f>
        <v>1666666.67</v>
      </c>
      <c r="E15" s="28">
        <f>IF(malumot!$B$77=malumot!$C$77,'График дифференц'!E14,IF(malumot!$B$77=malumot!$D$77,'График аннуитет.'!E14))</f>
        <v>1491780.84</v>
      </c>
      <c r="F15" s="28">
        <f>IF(malumot!$B$77=malumot!$C$77,'График дифференц'!F14,IF(malumot!$B$77=malumot!$D$77,'График аннуитет.'!F14))</f>
        <v>3158447.51</v>
      </c>
      <c r="H15" s="319"/>
      <c r="I15" s="319"/>
      <c r="J15" s="319"/>
      <c r="K15" s="319"/>
      <c r="L15" s="319"/>
      <c r="M15" s="319"/>
      <c r="N15" s="319"/>
      <c r="O15" s="319"/>
      <c r="P15" s="319"/>
    </row>
    <row r="16" spans="1:16">
      <c r="A16" s="13">
        <v>8</v>
      </c>
      <c r="B16" s="27">
        <f>'График аннуитет.'!B15</f>
        <v>46006</v>
      </c>
      <c r="C16" s="28">
        <f>IF(malumot!$B$77=malumot!$C$77,'График дифференц'!C15,IF(malumot!$B$77=malumot!$D$77,'График аннуитет.'!C15))</f>
        <v>28333333.309999987</v>
      </c>
      <c r="D16" s="28">
        <f>IF(malumot!$B$77=malumot!$C$77,'График дифференц'!D15,IF(malumot!$B$77=malumot!$D$77,'График аннуитет.'!D15))</f>
        <v>1666666.67</v>
      </c>
      <c r="E16" s="28">
        <f>IF(malumot!$B$77=malumot!$C$77,'График дифференц'!E15,IF(malumot!$B$77=malumot!$D$77,'График аннуитет.'!E15))</f>
        <v>1195433.68</v>
      </c>
      <c r="F16" s="28">
        <f>IF(malumot!$B$77=malumot!$C$77,'График дифференц'!F15,IF(malumot!$B$77=malumot!$D$77,'График аннуитет.'!F15))</f>
        <v>2862100.3499999996</v>
      </c>
      <c r="H16" s="319"/>
      <c r="I16" s="319"/>
      <c r="J16" s="319"/>
      <c r="K16" s="319"/>
      <c r="L16" s="319"/>
      <c r="M16" s="319"/>
      <c r="N16" s="319"/>
      <c r="O16" s="319"/>
      <c r="P16" s="319"/>
    </row>
    <row r="17" spans="1:16">
      <c r="A17" s="13">
        <v>9</v>
      </c>
      <c r="B17" s="27">
        <f>'График аннуитет.'!B16</f>
        <v>46037</v>
      </c>
      <c r="C17" s="28">
        <f>IF(malumot!$B$77=malumot!$C$77,'График дифференц'!C16,IF(malumot!$B$77=malumot!$D$77,'График аннуитет.'!C16))</f>
        <v>26666666.639999986</v>
      </c>
      <c r="D17" s="28">
        <f>IF(malumot!$B$77=malumot!$C$77,'График дифференц'!D16,IF(malumot!$B$77=malumot!$D$77,'График аннуитет.'!D16))</f>
        <v>1666666.67</v>
      </c>
      <c r="E17" s="28">
        <f>IF(malumot!$B$77=malumot!$C$77,'График дифференц'!E16,IF(malumot!$B$77=malumot!$D$77,'График аннуитет.'!E16))</f>
        <v>1245662.1500000001</v>
      </c>
      <c r="F17" s="28">
        <f>IF(malumot!$B$77=malumot!$C$77,'График дифференц'!F16,IF(malumot!$B$77=malumot!$D$77,'График аннуитет.'!F16))</f>
        <v>2912328.8200000003</v>
      </c>
      <c r="H17" s="319"/>
      <c r="I17" s="319"/>
      <c r="J17" s="319"/>
      <c r="K17" s="319"/>
      <c r="L17" s="319"/>
      <c r="M17" s="319"/>
      <c r="N17" s="319"/>
      <c r="O17" s="319"/>
      <c r="P17" s="319"/>
    </row>
    <row r="18" spans="1:16">
      <c r="A18" s="13">
        <v>10</v>
      </c>
      <c r="B18" s="27">
        <f>'График аннуитет.'!B17</f>
        <v>46069</v>
      </c>
      <c r="C18" s="28">
        <f>IF(malumot!$B$77=malumot!$C$77,'График дифференц'!C17,IF(malumot!$B$77=malumot!$D$77,'График аннуитет.'!C17))</f>
        <v>24999999.969999984</v>
      </c>
      <c r="D18" s="28">
        <f>IF(malumot!$B$77=malumot!$C$77,'График дифференц'!D17,IF(malumot!$B$77=malumot!$D$77,'График аннуитет.'!D17))</f>
        <v>1666666.67</v>
      </c>
      <c r="E18" s="28">
        <f>IF(malumot!$B$77=malumot!$C$77,'График дифференц'!E17,IF(malumot!$B$77=malumot!$D$77,'График аннуитет.'!E17))</f>
        <v>1205479.3600000001</v>
      </c>
      <c r="F18" s="28">
        <f>IF(malumot!$B$77=malumot!$C$77,'График дифференц'!F17,IF(malumot!$B$77=malumot!$D$77,'График аннуитет.'!F17))</f>
        <v>2872146.0300000003</v>
      </c>
      <c r="H18" s="319"/>
      <c r="I18" s="319"/>
      <c r="J18" s="319"/>
      <c r="K18" s="319"/>
      <c r="L18" s="319"/>
      <c r="M18" s="319"/>
      <c r="N18" s="319"/>
      <c r="O18" s="319"/>
      <c r="P18" s="319"/>
    </row>
    <row r="19" spans="1:16">
      <c r="A19" s="13">
        <v>11</v>
      </c>
      <c r="B19" s="27">
        <f>'График аннуитет.'!B18</f>
        <v>46097</v>
      </c>
      <c r="C19" s="28">
        <f>IF(malumot!$B$77=malumot!$C$77,'График дифференц'!C18,IF(malumot!$B$77=malumot!$D$77,'График аннуитет.'!C18))</f>
        <v>23333333.299999982</v>
      </c>
      <c r="D19" s="28">
        <f>IF(malumot!$B$77=malumot!$C$77,'График дифференц'!D18,IF(malumot!$B$77=malumot!$D$77,'График аннуитет.'!D18))</f>
        <v>1666666.67</v>
      </c>
      <c r="E19" s="28">
        <f>IF(malumot!$B$77=malumot!$C$77,'График дифференц'!E18,IF(malumot!$B$77=malumot!$D$77,'График аннуитет.'!E18))</f>
        <v>984474.96</v>
      </c>
      <c r="F19" s="28">
        <f>IF(malumot!$B$77=malumot!$C$77,'График дифференц'!F18,IF(malumot!$B$77=malumot!$D$77,'График аннуитет.'!F18))</f>
        <v>2651141.63</v>
      </c>
      <c r="H19" s="319"/>
      <c r="I19" s="319"/>
      <c r="J19" s="319"/>
      <c r="K19" s="319"/>
      <c r="L19" s="319"/>
      <c r="M19" s="319"/>
      <c r="N19" s="319"/>
      <c r="O19" s="319"/>
      <c r="P19" s="319"/>
    </row>
    <row r="20" spans="1:16">
      <c r="A20" s="13">
        <v>12</v>
      </c>
      <c r="B20" s="27">
        <f>'График аннуитет.'!B19</f>
        <v>46127</v>
      </c>
      <c r="C20" s="28">
        <f>IF(malumot!$B$77=malumot!$C$77,'График дифференц'!C19,IF(malumot!$B$77=malumot!$D$77,'График аннуитет.'!C19))</f>
        <v>21666666.62999998</v>
      </c>
      <c r="D20" s="28">
        <f>IF(malumot!$B$77=malumot!$C$77,'График дифференц'!D19,IF(malumot!$B$77=malumot!$D$77,'График аннуитет.'!D19))</f>
        <v>1666666.67</v>
      </c>
      <c r="E20" s="28">
        <f>IF(malumot!$B$77=malumot!$C$77,'График дифференц'!E19,IF(malumot!$B$77=malumot!$D$77,'График аннуитет.'!E19))</f>
        <v>979452</v>
      </c>
      <c r="F20" s="28">
        <f>IF(malumot!$B$77=malumot!$C$77,'График дифференц'!F19,IF(malumot!$B$77=malumot!$D$77,'График аннуитет.'!F19))</f>
        <v>2646118.67</v>
      </c>
      <c r="H20" s="319"/>
      <c r="I20" s="319"/>
      <c r="J20" s="319"/>
      <c r="K20" s="319"/>
      <c r="L20" s="319"/>
      <c r="M20" s="319"/>
      <c r="N20" s="319"/>
      <c r="O20" s="319"/>
      <c r="P20" s="319"/>
    </row>
    <row r="21" spans="1:16">
      <c r="A21" s="13">
        <v>13</v>
      </c>
      <c r="B21" s="27">
        <f>'График аннуитет.'!B20</f>
        <v>46157</v>
      </c>
      <c r="C21" s="28">
        <f>IF(malumot!$B$77=malumot!$C$77,'График дифференц'!C20,IF(malumot!$B$77=malumot!$D$77,'График аннуитет.'!C20))</f>
        <v>19999999.959999979</v>
      </c>
      <c r="D21" s="28">
        <f>IF(malumot!$B$77=malumot!$C$77,'График дифференц'!D20,IF(malumot!$B$77=malumot!$D$77,'График аннуитет.'!D20))</f>
        <v>1666666.67</v>
      </c>
      <c r="E21" s="28">
        <f>IF(malumot!$B$77=malumot!$C$77,'График дифференц'!E20,IF(malumot!$B$77=malumot!$D$77,'График аннуитет.'!E20))</f>
        <v>904109.70000000007</v>
      </c>
      <c r="F21" s="28">
        <f>IF(malumot!$B$77=malumot!$C$77,'График дифференц'!F20,IF(malumot!$B$77=malumot!$D$77,'График аннуитет.'!F20))</f>
        <v>2570776.37</v>
      </c>
      <c r="H21" s="319"/>
      <c r="I21" s="319"/>
      <c r="J21" s="319"/>
      <c r="K21" s="319"/>
      <c r="L21" s="319"/>
      <c r="M21" s="319"/>
      <c r="N21" s="319"/>
      <c r="O21" s="319"/>
      <c r="P21" s="319"/>
    </row>
    <row r="22" spans="1:16">
      <c r="A22" s="13">
        <v>14</v>
      </c>
      <c r="B22" s="27">
        <f>'График аннуитет.'!B21</f>
        <v>46188</v>
      </c>
      <c r="C22" s="28">
        <f>IF(malumot!$B$77=malumot!$C$77,'График дифференц'!C21,IF(malumot!$B$77=malumot!$D$77,'График аннуитет.'!C21))</f>
        <v>18333333.289999977</v>
      </c>
      <c r="D22" s="28">
        <f>IF(malumot!$B$77=malumot!$C$77,'График дифференц'!D21,IF(malumot!$B$77=malumot!$D$77,'График аннуитет.'!D21))</f>
        <v>1666666.67</v>
      </c>
      <c r="E22" s="28">
        <f>IF(malumot!$B$77=malumot!$C$77,'График дифференц'!E21,IF(malumot!$B$77=malumot!$D$77,'График аннуитет.'!E21))</f>
        <v>856392.67</v>
      </c>
      <c r="F22" s="28">
        <f>IF(malumot!$B$77=malumot!$C$77,'График дифференц'!F21,IF(malumot!$B$77=malumot!$D$77,'График аннуитет.'!F21))</f>
        <v>2523059.34</v>
      </c>
      <c r="H22" s="319"/>
      <c r="I22" s="319"/>
      <c r="J22" s="319"/>
      <c r="K22" s="319"/>
      <c r="L22" s="319"/>
      <c r="M22" s="319"/>
      <c r="N22" s="319"/>
      <c r="O22" s="319"/>
      <c r="P22" s="319"/>
    </row>
    <row r="23" spans="1:16">
      <c r="A23" s="13">
        <v>15</v>
      </c>
      <c r="B23" s="27">
        <f>'График аннуитет.'!B22</f>
        <v>46218</v>
      </c>
      <c r="C23" s="28">
        <f>IF(malumot!$B$77=malumot!$C$77,'График дифференц'!C22,IF(malumot!$B$77=malumot!$D$77,'График аннуитет.'!C22))</f>
        <v>16666666.619999977</v>
      </c>
      <c r="D23" s="28">
        <f>IF(malumot!$B$77=malumot!$C$77,'График дифференц'!D22,IF(malumot!$B$77=malumot!$D$77,'График аннуитет.'!D22))</f>
        <v>1666666.67</v>
      </c>
      <c r="E23" s="28">
        <f>IF(malumot!$B$77=malumot!$C$77,'График дифференц'!E22,IF(malumot!$B$77=malumot!$D$77,'График аннуитет.'!E22))</f>
        <v>753424.8</v>
      </c>
      <c r="F23" s="28">
        <f>IF(malumot!$B$77=malumot!$C$77,'График дифференц'!F22,IF(malumot!$B$77=malumot!$D$77,'График аннуитет.'!F22))</f>
        <v>2420091.4699999997</v>
      </c>
      <c r="H23" s="319"/>
      <c r="I23" s="319"/>
      <c r="J23" s="319"/>
      <c r="K23" s="319"/>
      <c r="L23" s="319"/>
      <c r="M23" s="319"/>
      <c r="N23" s="319"/>
      <c r="O23" s="319"/>
      <c r="P23" s="319"/>
    </row>
    <row r="24" spans="1:16">
      <c r="A24" s="13">
        <v>16</v>
      </c>
      <c r="B24" s="27">
        <f>'График аннуитет.'!B23</f>
        <v>46251</v>
      </c>
      <c r="C24" s="28">
        <f>IF(malumot!$B$77=malumot!$C$77,'График дифференц'!C23,IF(malumot!$B$77=malumot!$D$77,'График аннуитет.'!C23))</f>
        <v>14999999.949999977</v>
      </c>
      <c r="D24" s="28">
        <f>IF(malumot!$B$77=malumot!$C$77,'График дифференц'!D23,IF(malumot!$B$77=malumot!$D$77,'График аннуитет.'!D23))</f>
        <v>1666666.67</v>
      </c>
      <c r="E24" s="28">
        <f>IF(malumot!$B$77=malumot!$C$77,'График дифференц'!E23,IF(malumot!$B$77=malumot!$D$77,'График аннуитет.'!E23))</f>
        <v>745890.42</v>
      </c>
      <c r="F24" s="28">
        <f>IF(malumot!$B$77=malumot!$C$77,'График дифференц'!F23,IF(malumot!$B$77=malumot!$D$77,'График аннуитет.'!F23))</f>
        <v>2412557.09</v>
      </c>
      <c r="H24" s="319"/>
      <c r="I24" s="319"/>
      <c r="J24" s="319"/>
      <c r="K24" s="319"/>
      <c r="L24" s="319"/>
      <c r="M24" s="319"/>
      <c r="N24" s="319"/>
      <c r="O24" s="319"/>
      <c r="P24" s="319"/>
    </row>
    <row r="25" spans="1:16" ht="16.5" customHeight="1">
      <c r="A25" s="13">
        <v>17</v>
      </c>
      <c r="B25" s="27">
        <f>'График аннуитет.'!B24</f>
        <v>46280</v>
      </c>
      <c r="C25" s="28">
        <f>IF(malumot!$B$77=malumot!$C$77,'График дифференц'!C24,IF(malumot!$B$77=malumot!$D$77,'График аннуитет.'!C24))</f>
        <v>13333333.279999977</v>
      </c>
      <c r="D25" s="28">
        <f>IF(malumot!$B$77=malumot!$C$77,'График дифференц'!D24,IF(malumot!$B$77=malumot!$D$77,'График аннуитет.'!D24))</f>
        <v>1666666.67</v>
      </c>
      <c r="E25" s="28">
        <f>IF(malumot!$B$77=malumot!$C$77,'График дифференц'!E24,IF(malumot!$B$77=malumot!$D$77,'График аннуитет.'!E24))</f>
        <v>582648.28</v>
      </c>
      <c r="F25" s="28">
        <f>IF(malumot!$B$77=malumot!$C$77,'График дифференц'!F24,IF(malumot!$B$77=malumot!$D$77,'График аннуитет.'!F24))</f>
        <v>2249314.9500000002</v>
      </c>
    </row>
    <row r="26" spans="1:16">
      <c r="A26" s="13">
        <v>18</v>
      </c>
      <c r="B26" s="27">
        <f>'График аннуитет.'!B25</f>
        <v>46310</v>
      </c>
      <c r="C26" s="28">
        <f>IF(malumot!$B$77=malumot!$C$77,'График дифференц'!C25,IF(malumot!$B$77=malumot!$D$77,'График аннуитет.'!C25))</f>
        <v>11666666.609999977</v>
      </c>
      <c r="D26" s="28">
        <f>IF(malumot!$B$77=malumot!$C$77,'График дифференц'!D25,IF(malumot!$B$77=malumot!$D$77,'График аннуитет.'!D25))</f>
        <v>1666666.67</v>
      </c>
      <c r="E26" s="28">
        <f>IF(malumot!$B$77=malumot!$C$77,'График дифференц'!E25,IF(malumot!$B$77=malumot!$D$77,'График аннуитет.'!E25))</f>
        <v>527397.30000000005</v>
      </c>
      <c r="F26" s="28">
        <f>IF(malumot!$B$77=malumot!$C$77,'График дифференц'!F25,IF(malumot!$B$77=malumot!$D$77,'График аннуитет.'!F25))</f>
        <v>2194063.9699999997</v>
      </c>
    </row>
    <row r="27" spans="1:16">
      <c r="A27" s="13">
        <f>1+A26</f>
        <v>19</v>
      </c>
      <c r="B27" s="27">
        <f>'График аннуитет.'!B26</f>
        <v>46342</v>
      </c>
      <c r="C27" s="28">
        <f>IF(malumot!$B$77=malumot!$C$77,'График дифференц'!C26,IF(malumot!$B$77=malumot!$D$77,'График аннуитет.'!C26))</f>
        <v>9999999.9399999771</v>
      </c>
      <c r="D27" s="28">
        <f>IF(malumot!$B$77=malumot!$C$77,'График дифференц'!D26,IF(malumot!$B$77=malumot!$D$77,'График аннуитет.'!D26))</f>
        <v>1666666.67</v>
      </c>
      <c r="E27" s="28">
        <f>IF(malumot!$B$77=malumot!$C$77,'График дифференц'!E26,IF(malumot!$B$77=malumot!$D$77,'График аннуитет.'!E26))</f>
        <v>482191.68</v>
      </c>
      <c r="F27" s="28">
        <f>IF(malumot!$B$77=malumot!$C$77,'График дифференц'!F26,IF(malumot!$B$77=malumot!$D$77,'График аннуитет.'!F26))</f>
        <v>2148858.35</v>
      </c>
    </row>
    <row r="28" spans="1:16">
      <c r="A28" s="13">
        <f t="shared" ref="A28:A43" si="0">1+A27</f>
        <v>20</v>
      </c>
      <c r="B28" s="27">
        <f>'График аннуитет.'!B27</f>
        <v>46371</v>
      </c>
      <c r="C28" s="28">
        <f>IF(malumot!$B$77=malumot!$C$77,'График дифференц'!C27,IF(malumot!$B$77=malumot!$D$77,'График аннуитет.'!C27))</f>
        <v>8333333.2699999772</v>
      </c>
      <c r="D28" s="28">
        <f>IF(malumot!$B$77=malumot!$C$77,'График дифференц'!D27,IF(malumot!$B$77=malumot!$D$77,'График аннуитет.'!D27))</f>
        <v>1666666.67</v>
      </c>
      <c r="E28" s="28">
        <f>IF(malumot!$B$77=malumot!$C$77,'График дифференц'!E27,IF(malumot!$B$77=malumot!$D$77,'График аннуитет.'!E27))</f>
        <v>364155.32</v>
      </c>
      <c r="F28" s="28">
        <f>IF(malumot!$B$77=malumot!$C$77,'График дифференц'!F27,IF(malumot!$B$77=malumot!$D$77,'График аннуитет.'!F27))</f>
        <v>2030821.99</v>
      </c>
    </row>
    <row r="29" spans="1:16">
      <c r="A29" s="13">
        <f t="shared" si="0"/>
        <v>21</v>
      </c>
      <c r="B29" s="27">
        <f>'График аннуитет.'!B28</f>
        <v>46402</v>
      </c>
      <c r="C29" s="28">
        <f>IF(malumot!$B$77=malumot!$C$77,'График дифференц'!C28,IF(malumot!$B$77=malumot!$D$77,'График аннуитет.'!C28))</f>
        <v>6666666.5999999773</v>
      </c>
      <c r="D29" s="28">
        <f>IF(malumot!$B$77=malumot!$C$77,'График дифференц'!D28,IF(malumot!$B$77=malumot!$D$77,'График аннуитет.'!D28))</f>
        <v>1666666.67</v>
      </c>
      <c r="E29" s="28">
        <f>IF(malumot!$B$77=malumot!$C$77,'График дифференц'!E28,IF(malumot!$B$77=malumot!$D$77,'График аннуитет.'!E28))</f>
        <v>311415.46000000002</v>
      </c>
      <c r="F29" s="28">
        <f>IF(malumot!$B$77=malumot!$C$77,'График дифференц'!F28,IF(malumot!$B$77=malumot!$D$77,'График аннуитет.'!F28))</f>
        <v>1978082.13</v>
      </c>
    </row>
    <row r="30" spans="1:16">
      <c r="A30" s="13">
        <f t="shared" si="0"/>
        <v>22</v>
      </c>
      <c r="B30" s="27">
        <f>'График аннуитет.'!B29</f>
        <v>46433</v>
      </c>
      <c r="C30" s="28">
        <f>IF(malumot!$B$77=malumot!$C$77,'График дифференц'!C29,IF(malumot!$B$77=malumot!$D$77,'График аннуитет.'!C29))</f>
        <v>4999999.9299999774</v>
      </c>
      <c r="D30" s="28">
        <f>IF(malumot!$B$77=malumot!$C$77,'График дифференц'!D29,IF(malumot!$B$77=malumot!$D$77,'График аннуитет.'!D29))</f>
        <v>1666666.67</v>
      </c>
      <c r="E30" s="28">
        <f>IF(malumot!$B$77=malumot!$C$77,'График дифференц'!E29,IF(malumot!$B$77=malumot!$D$77,'График аннуитет.'!E29))</f>
        <v>233561.75</v>
      </c>
      <c r="F30" s="28">
        <f>IF(malumot!$B$77=malumot!$C$77,'График дифференц'!F29,IF(malumot!$B$77=malumot!$D$77,'График аннуитет.'!F29))</f>
        <v>1900228.42</v>
      </c>
    </row>
    <row r="31" spans="1:16">
      <c r="A31" s="13">
        <f t="shared" si="0"/>
        <v>23</v>
      </c>
      <c r="B31" s="27">
        <f>'График аннуитет.'!B30</f>
        <v>46461</v>
      </c>
      <c r="C31" s="28">
        <f>IF(malumot!$B$77=malumot!$C$77,'График дифференц'!C30,IF(malumot!$B$77=malumot!$D$77,'График аннуитет.'!C30))</f>
        <v>3333333.2599999774</v>
      </c>
      <c r="D31" s="28">
        <f>IF(malumot!$B$77=malumot!$C$77,'График дифференц'!D30,IF(malumot!$B$77=malumot!$D$77,'График аннуитет.'!D30))</f>
        <v>1666666.67</v>
      </c>
      <c r="E31" s="28">
        <f>IF(malumot!$B$77=malumot!$C$77,'График дифференц'!E30,IF(malumot!$B$77=malumot!$D$77,'График аннуитет.'!E30))</f>
        <v>140639.24</v>
      </c>
      <c r="F31" s="28">
        <f>IF(malumot!$B$77=malumot!$C$77,'График дифференц'!F30,IF(malumot!$B$77=malumot!$D$77,'График аннуитет.'!F30))</f>
        <v>1807305.91</v>
      </c>
    </row>
    <row r="32" spans="1:16">
      <c r="A32" s="13">
        <f t="shared" si="0"/>
        <v>24</v>
      </c>
      <c r="B32" s="27">
        <f>'График аннуитет.'!B31</f>
        <v>46487</v>
      </c>
      <c r="C32" s="28">
        <f>IF(malumot!$B$77=malumot!$C$77,'График дифференц'!C31,IF(malumot!$B$77=malumot!$D$77,'График аннуитет.'!C31))</f>
        <v>1666666.5899999775</v>
      </c>
      <c r="D32" s="28">
        <f>IF(malumot!$B$77=malumot!$C$77,'График дифференц'!D31,IF(malumot!$B$77=malumot!$D$77,'График аннуитет.'!D31))</f>
        <v>1666666.5899999812</v>
      </c>
      <c r="E32" s="28">
        <f>IF(malumot!$B$77=malumot!$C$77,'График дифференц'!E31,IF(malumot!$B$77=malumot!$D$77,'График аннуитет.'!E31))</f>
        <v>65296.92</v>
      </c>
      <c r="F32" s="28">
        <f>IF(malumot!$B$77=malumot!$C$77,'График дифференц'!F31,IF(malumot!$B$77=malumot!$D$77,'График аннуитет.'!F31))</f>
        <v>1731963.5099999812</v>
      </c>
    </row>
    <row r="33" spans="1:6" hidden="1">
      <c r="A33" s="13">
        <f t="shared" si="0"/>
        <v>25</v>
      </c>
      <c r="B33" s="27" t="str">
        <f>IF('График аннуитет.'!B32=FALSE,"",'График аннуитет.'!B32)</f>
        <v/>
      </c>
      <c r="C33" s="28">
        <f>IF(malumot!$B$77=malumot!$C$77,'График дифференц'!C32,IF(malumot!$B$77=malumot!$D$77,'График аннуитет.'!C32))</f>
        <v>-3.7252902984619141E-9</v>
      </c>
      <c r="D33" s="28" t="b">
        <f>IF(malumot!$B$77=malumot!$C$77,'График дифференц'!D32,IF(malumot!$B$77=malumot!$D$77,'График аннуитет.'!D32))</f>
        <v>0</v>
      </c>
      <c r="E33" s="28" t="b">
        <f>IF(malumot!$B$77=malumot!$C$77,'График дифференц'!E32,IF(malumot!$B$77=malumot!$D$77,'График аннуитет.'!E32))</f>
        <v>0</v>
      </c>
      <c r="F33" s="28" t="b">
        <f>IF(malumot!$B$77=malumot!$C$77,'График дифференц'!F32,IF(malumot!$B$77=malumot!$D$77,'График аннуитет.'!F32))</f>
        <v>0</v>
      </c>
    </row>
    <row r="34" spans="1:6" hidden="1">
      <c r="A34" s="13">
        <f t="shared" si="0"/>
        <v>26</v>
      </c>
      <c r="B34" s="27" t="str">
        <f>IF('График аннуитет.'!B33=FALSE,"",'График аннуитет.'!B33)</f>
        <v/>
      </c>
      <c r="C34" s="28">
        <f>IF(malumot!$B$77=malumot!$C$77,'График дифференц'!C33,IF(malumot!$B$77=malumot!$D$77,'График аннуитет.'!C33))</f>
        <v>-3.7252902984619141E-9</v>
      </c>
      <c r="D34" s="28" t="b">
        <f>IF(malumot!$B$77=malumot!$C$77,'График дифференц'!D33,IF(malumot!$B$77=malumot!$D$77,'График аннуитет.'!D33))</f>
        <v>0</v>
      </c>
      <c r="E34" s="28" t="b">
        <f>IF(malumot!$B$77=malumot!$C$77,'График дифференц'!E33,IF(malumot!$B$77=malumot!$D$77,'График аннуитет.'!E33))</f>
        <v>0</v>
      </c>
      <c r="F34" s="28" t="b">
        <f>IF(malumot!$B$77=malumot!$C$77,'График дифференц'!F33,IF(malumot!$B$77=malumot!$D$77,'График аннуитет.'!F33))</f>
        <v>0</v>
      </c>
    </row>
    <row r="35" spans="1:6" hidden="1">
      <c r="A35" s="13">
        <f t="shared" si="0"/>
        <v>27</v>
      </c>
      <c r="B35" s="27" t="str">
        <f>IF('График аннуитет.'!B34=FALSE,"",'График аннуитет.'!B34)</f>
        <v/>
      </c>
      <c r="C35" s="28">
        <f>IF(malumot!$B$77=malumot!$C$77,'График дифференц'!C34,IF(malumot!$B$77=malumot!$D$77,'График аннуитет.'!C34))</f>
        <v>-3.7252902984619141E-9</v>
      </c>
      <c r="D35" s="28" t="b">
        <f>IF(malumot!$B$77=malumot!$C$77,'График дифференц'!D34,IF(malumot!$B$77=malumot!$D$77,'График аннуитет.'!D34))</f>
        <v>0</v>
      </c>
      <c r="E35" s="28" t="b">
        <f>IF(malumot!$B$77=malumot!$C$77,'График дифференц'!E34,IF(malumot!$B$77=malumot!$D$77,'График аннуитет.'!E34))</f>
        <v>0</v>
      </c>
      <c r="F35" s="28" t="b">
        <f>IF(malumot!$B$77=malumot!$C$77,'График дифференц'!F34,IF(malumot!$B$77=malumot!$D$77,'График аннуитет.'!F34))</f>
        <v>0</v>
      </c>
    </row>
    <row r="36" spans="1:6" hidden="1">
      <c r="A36" s="13">
        <f t="shared" si="0"/>
        <v>28</v>
      </c>
      <c r="B36" s="27" t="str">
        <f>IF('График аннуитет.'!B35=FALSE,"",'График аннуитет.'!B35)</f>
        <v/>
      </c>
      <c r="C36" s="28">
        <f>IF(malumot!$B$77=malumot!$C$77,'График дифференц'!C35,IF(malumot!$B$77=malumot!$D$77,'График аннуитет.'!C35))</f>
        <v>-3.7252902984619141E-9</v>
      </c>
      <c r="D36" s="28" t="b">
        <f>IF(malumot!$B$77=malumot!$C$77,'График дифференц'!D35,IF(malumot!$B$77=malumot!$D$77,'График аннуитет.'!D35))</f>
        <v>0</v>
      </c>
      <c r="E36" s="28" t="b">
        <f>IF(malumot!$B$77=malumot!$C$77,'График дифференц'!E35,IF(malumot!$B$77=malumot!$D$77,'График аннуитет.'!E35))</f>
        <v>0</v>
      </c>
      <c r="F36" s="28" t="b">
        <f>IF(malumot!$B$77=malumot!$C$77,'График дифференц'!F35,IF(malumot!$B$77=malumot!$D$77,'График аннуитет.'!F35))</f>
        <v>0</v>
      </c>
    </row>
    <row r="37" spans="1:6" hidden="1">
      <c r="A37" s="13">
        <f t="shared" si="0"/>
        <v>29</v>
      </c>
      <c r="B37" s="27" t="str">
        <f>IF('График аннуитет.'!B36=FALSE,"",'График аннуитет.'!B36)</f>
        <v/>
      </c>
      <c r="C37" s="28">
        <f>IF(malumot!$B$77=malumot!$C$77,'График дифференц'!C36,IF(malumot!$B$77=malumot!$D$77,'График аннуитет.'!C36))</f>
        <v>-3.7252902984619141E-9</v>
      </c>
      <c r="D37" s="28" t="b">
        <f>IF(malumot!$B$77=malumot!$C$77,'График дифференц'!D36,IF(malumot!$B$77=malumot!$D$77,'График аннуитет.'!D36))</f>
        <v>0</v>
      </c>
      <c r="E37" s="28" t="b">
        <f>IF(malumot!$B$77=malumot!$C$77,'График дифференц'!E36,IF(malumot!$B$77=malumot!$D$77,'График аннуитет.'!E36))</f>
        <v>0</v>
      </c>
      <c r="F37" s="28" t="b">
        <f>IF(malumot!$B$77=malumot!$C$77,'График дифференц'!F36,IF(malumot!$B$77=malumot!$D$77,'График аннуитет.'!F36))</f>
        <v>0</v>
      </c>
    </row>
    <row r="38" spans="1:6" hidden="1">
      <c r="A38" s="13">
        <f t="shared" si="0"/>
        <v>30</v>
      </c>
      <c r="B38" s="27" t="str">
        <f>IF('График аннуитет.'!B37=FALSE,"",'График аннуитет.'!B37)</f>
        <v/>
      </c>
      <c r="C38" s="28">
        <f>IF(malumot!$B$77=malumot!$C$77,'График дифференц'!C37,IF(malumot!$B$77=malumot!$D$77,'График аннуитет.'!C37))</f>
        <v>-3.7252902984619141E-9</v>
      </c>
      <c r="D38" s="28" t="b">
        <f>IF(malumot!$B$77=malumot!$C$77,'График дифференц'!D37,IF(malumot!$B$77=malumot!$D$77,'График аннуитет.'!D37))</f>
        <v>0</v>
      </c>
      <c r="E38" s="28" t="b">
        <f>IF(malumot!$B$77=malumot!$C$77,'График дифференц'!E37,IF(malumot!$B$77=malumot!$D$77,'График аннуитет.'!E37))</f>
        <v>0</v>
      </c>
      <c r="F38" s="28" t="b">
        <f>IF(malumot!$B$77=malumot!$C$77,'График дифференц'!F37,IF(malumot!$B$77=malumot!$D$77,'График аннуитет.'!F37))</f>
        <v>0</v>
      </c>
    </row>
    <row r="39" spans="1:6" hidden="1">
      <c r="A39" s="13">
        <f t="shared" si="0"/>
        <v>31</v>
      </c>
      <c r="B39" s="27" t="str">
        <f>IF('График аннуитет.'!B38=FALSE,"",'График аннуитет.'!B38)</f>
        <v/>
      </c>
      <c r="C39" s="28">
        <f>IF(malumot!$B$77=malumot!$C$77,'График дифференц'!C38,IF(malumot!$B$77=malumot!$D$77,'График аннуитет.'!C38))</f>
        <v>-3.7252902984619141E-9</v>
      </c>
      <c r="D39" s="28" t="b">
        <f>IF(malumot!$B$77=malumot!$C$77,'График дифференц'!D38,IF(malumot!$B$77=malumot!$D$77,'График аннуитет.'!D38))</f>
        <v>0</v>
      </c>
      <c r="E39" s="28" t="b">
        <f>IF(malumot!$B$77=malumot!$C$77,'График дифференц'!E38,IF(malumot!$B$77=malumot!$D$77,'График аннуитет.'!E38))</f>
        <v>0</v>
      </c>
      <c r="F39" s="28" t="b">
        <f>IF(malumot!$B$77=malumot!$C$77,'График дифференц'!F38,IF(malumot!$B$77=malumot!$D$77,'График аннуитет.'!F38))</f>
        <v>0</v>
      </c>
    </row>
    <row r="40" spans="1:6" hidden="1">
      <c r="A40" s="13">
        <f t="shared" si="0"/>
        <v>32</v>
      </c>
      <c r="B40" s="27" t="str">
        <f>IF('График аннуитет.'!B39=FALSE,"",'График аннуитет.'!B39)</f>
        <v/>
      </c>
      <c r="C40" s="28">
        <f>IF(malumot!$B$77=malumot!$C$77,'График дифференц'!C39,IF(malumot!$B$77=malumot!$D$77,'График аннуитет.'!C39))</f>
        <v>-3.7252902984619141E-9</v>
      </c>
      <c r="D40" s="28" t="b">
        <f>IF(malumot!$B$77=malumot!$C$77,'График дифференц'!D39,IF(malumot!$B$77=malumot!$D$77,'График аннуитет.'!D39))</f>
        <v>0</v>
      </c>
      <c r="E40" s="28" t="b">
        <f>IF(malumot!$B$77=malumot!$C$77,'График дифференц'!E39,IF(malumot!$B$77=malumot!$D$77,'График аннуитет.'!E39))</f>
        <v>0</v>
      </c>
      <c r="F40" s="28" t="b">
        <f>IF(malumot!$B$77=malumot!$C$77,'График дифференц'!F39,IF(malumot!$B$77=malumot!$D$77,'График аннуитет.'!F39))</f>
        <v>0</v>
      </c>
    </row>
    <row r="41" spans="1:6" hidden="1">
      <c r="A41" s="13">
        <f t="shared" si="0"/>
        <v>33</v>
      </c>
      <c r="B41" s="27" t="str">
        <f>IF('График аннуитет.'!B40=FALSE,"",'График аннуитет.'!B40)</f>
        <v/>
      </c>
      <c r="C41" s="28">
        <f>IF(malumot!$B$77=malumot!$C$77,'График дифференц'!C40,IF(malumot!$B$77=malumot!$D$77,'График аннуитет.'!C40))</f>
        <v>-3.7252902984619141E-9</v>
      </c>
      <c r="D41" s="28" t="b">
        <f>IF(malumot!$B$77=malumot!$C$77,'График дифференц'!D40,IF(malumot!$B$77=malumot!$D$77,'График аннуитет.'!D40))</f>
        <v>0</v>
      </c>
      <c r="E41" s="28" t="b">
        <f>IF(malumot!$B$77=malumot!$C$77,'График дифференц'!E40,IF(malumot!$B$77=malumot!$D$77,'График аннуитет.'!E40))</f>
        <v>0</v>
      </c>
      <c r="F41" s="28" t="b">
        <f>IF(malumot!$B$77=malumot!$C$77,'График дифференц'!F40,IF(malumot!$B$77=malumot!$D$77,'График аннуитет.'!F40))</f>
        <v>0</v>
      </c>
    </row>
    <row r="42" spans="1:6" hidden="1">
      <c r="A42" s="13">
        <f t="shared" si="0"/>
        <v>34</v>
      </c>
      <c r="B42" s="27" t="str">
        <f>IF('График аннуитет.'!B41=FALSE,"",'График аннуитет.'!B41)</f>
        <v/>
      </c>
      <c r="C42" s="28">
        <f>IF(malumot!$B$77=malumot!$C$77,'График дифференц'!C41,IF(malumot!$B$77=malumot!$D$77,'График аннуитет.'!C41))</f>
        <v>-3.7252902984619141E-9</v>
      </c>
      <c r="D42" s="28" t="b">
        <f>IF(malumot!$B$77=malumot!$C$77,'График дифференц'!D41,IF(malumot!$B$77=malumot!$D$77,'График аннуитет.'!D41))</f>
        <v>0</v>
      </c>
      <c r="E42" s="28" t="b">
        <f>IF(malumot!$B$77=malumot!$C$77,'График дифференц'!E41,IF(malumot!$B$77=malumot!$D$77,'График аннуитет.'!E41))</f>
        <v>0</v>
      </c>
      <c r="F42" s="28" t="b">
        <f>IF(malumot!$B$77=malumot!$C$77,'График дифференц'!F41,IF(malumot!$B$77=malumot!$D$77,'График аннуитет.'!F41))</f>
        <v>0</v>
      </c>
    </row>
    <row r="43" spans="1:6" ht="13.5" hidden="1" customHeight="1">
      <c r="A43" s="13">
        <f t="shared" si="0"/>
        <v>35</v>
      </c>
      <c r="B43" s="27" t="str">
        <f>IF('График аннуитет.'!B42=FALSE,"",'График аннуитет.'!B42)</f>
        <v/>
      </c>
      <c r="C43" s="28">
        <f>IF(malumot!$B$77=malumot!$C$77,'График дифференц'!C42,IF(malumot!$B$77=malumot!$D$77,'График аннуитет.'!C42))</f>
        <v>-3.7252902984619141E-9</v>
      </c>
      <c r="D43" s="28" t="b">
        <f>IF(malumot!$B$77=malumot!$C$77,'График дифференц'!D42,IF(malumot!$B$77=malumot!$D$77,'График аннуитет.'!D42))</f>
        <v>0</v>
      </c>
      <c r="E43" s="28" t="b">
        <f>IF(malumot!$B$77=malumot!$C$77,'График дифференц'!E42,IF(malumot!$B$77=malumot!$D$77,'График аннуитет.'!E42))</f>
        <v>0</v>
      </c>
      <c r="F43" s="28" t="b">
        <f>IF(malumot!$B$77=malumot!$C$77,'График дифференц'!F42,IF(malumot!$B$77=malumot!$D$77,'График аннуитет.'!F42))</f>
        <v>0</v>
      </c>
    </row>
    <row r="44" spans="1:6" ht="15.75" hidden="1" customHeight="1">
      <c r="A44" s="13">
        <f>1+A43</f>
        <v>36</v>
      </c>
      <c r="B44" s="27" t="str">
        <f>IF('График аннуитет.'!B43=FALSE,"",'График аннуитет.'!B43)</f>
        <v/>
      </c>
      <c r="C44" s="28">
        <f>IF(malumot!$B$77=malumot!$C$77,'График дифференц'!C43,IF(malumot!$B$77=malumot!$D$77,'График аннуитет.'!C43))</f>
        <v>-3.7252902984619141E-9</v>
      </c>
      <c r="D44" s="28" t="b">
        <f>IF(malumot!$B$77=malumot!$C$77,'График дифференц'!D43,IF(malumot!$B$77=malumot!$D$77,'График аннуитет.'!D43))</f>
        <v>0</v>
      </c>
      <c r="E44" s="28" t="b">
        <f>IF(malumot!$B$77=malumot!$C$77,'График дифференц'!E43,IF(malumot!$B$77=malumot!$D$77,'График аннуитет.'!E43))</f>
        <v>0</v>
      </c>
      <c r="F44" s="28" t="b">
        <f>IF(malumot!$B$77=malumot!$C$77,'График дифференц'!F43,IF(malumot!$B$77=malumot!$D$77,'График аннуитет.'!F43))</f>
        <v>0</v>
      </c>
    </row>
    <row r="45" spans="1:6" ht="15.75" hidden="1" customHeight="1">
      <c r="A45" s="13">
        <f t="shared" ref="A45:A56" si="1">1+A44</f>
        <v>37</v>
      </c>
      <c r="B45" s="27" t="str">
        <f>IF('График аннуитет.'!B44=FALSE,"",'График аннуитет.'!B44)</f>
        <v/>
      </c>
      <c r="C45" s="28">
        <f>IF(malumot!$B$77=malumot!$C$77,'График дифференц'!C44,IF(malumot!$B$77=malumot!$D$77,'График аннуитет.'!C44))</f>
        <v>-3.7252902984619141E-9</v>
      </c>
      <c r="D45" s="28" t="b">
        <f>IF(malumot!$B$77=malumot!$C$77,'График дифференц'!D44,IF(malumot!$B$77=malumot!$D$77,'График аннуитет.'!D44))</f>
        <v>0</v>
      </c>
      <c r="E45" s="28" t="b">
        <f>IF(malumot!$B$77=malumot!$C$77,'График дифференц'!E44,IF(malumot!$B$77=malumot!$D$77,'График аннуитет.'!E44))</f>
        <v>0</v>
      </c>
      <c r="F45" s="28" t="b">
        <f>IF(malumot!$B$77=malumot!$C$77,'График дифференц'!F44,IF(malumot!$B$77=malumot!$D$77,'График аннуитет.'!F44))</f>
        <v>0</v>
      </c>
    </row>
    <row r="46" spans="1:6" ht="15.75" hidden="1" customHeight="1">
      <c r="A46" s="13">
        <f t="shared" si="1"/>
        <v>38</v>
      </c>
      <c r="B46" s="27" t="str">
        <f>IF('График аннуитет.'!B45=FALSE,"",'График аннуитет.'!B45)</f>
        <v/>
      </c>
      <c r="C46" s="28">
        <f>IF(malumot!$B$77=malumot!$C$77,'График дифференц'!C45,IF(malumot!$B$77=malumot!$D$77,'График аннуитет.'!C45))</f>
        <v>-3.7252902984619141E-9</v>
      </c>
      <c r="D46" s="28" t="b">
        <f>IF(malumot!$B$77=malumot!$C$77,'График дифференц'!D45,IF(malumot!$B$77=malumot!$D$77,'График аннуитет.'!D45))</f>
        <v>0</v>
      </c>
      <c r="E46" s="28" t="b">
        <f>IF(malumot!$B$77=malumot!$C$77,'График дифференц'!E45,IF(malumot!$B$77=malumot!$D$77,'График аннуитет.'!E45))</f>
        <v>0</v>
      </c>
      <c r="F46" s="28" t="b">
        <f>IF(malumot!$B$77=malumot!$C$77,'График дифференц'!F45,IF(malumot!$B$77=malumot!$D$77,'График аннуитет.'!F45))</f>
        <v>0</v>
      </c>
    </row>
    <row r="47" spans="1:6" ht="15.75" hidden="1" customHeight="1">
      <c r="A47" s="13">
        <f t="shared" si="1"/>
        <v>39</v>
      </c>
      <c r="B47" s="27" t="str">
        <f>IF('График аннуитет.'!B46=FALSE,"",'График аннуитет.'!B46)</f>
        <v/>
      </c>
      <c r="C47" s="28">
        <f>IF(malumot!$B$77=malumot!$C$77,'График дифференц'!C46,IF(malumot!$B$77=malumot!$D$77,'График аннуитет.'!C46))</f>
        <v>-3.7252902984619141E-9</v>
      </c>
      <c r="D47" s="28" t="b">
        <f>IF(malumot!$B$77=malumot!$C$77,'График дифференц'!D46,IF(malumot!$B$77=malumot!$D$77,'График аннуитет.'!D46))</f>
        <v>0</v>
      </c>
      <c r="E47" s="28" t="b">
        <f>IF(malumot!$B$77=malumot!$C$77,'График дифференц'!E46,IF(malumot!$B$77=malumot!$D$77,'График аннуитет.'!E46))</f>
        <v>0</v>
      </c>
      <c r="F47" s="28" t="b">
        <f>IF(malumot!$B$77=malumot!$C$77,'График дифференц'!F46,IF(malumot!$B$77=malumot!$D$77,'График аннуитет.'!F46))</f>
        <v>0</v>
      </c>
    </row>
    <row r="48" spans="1:6" ht="15.75" hidden="1" customHeight="1">
      <c r="A48" s="13">
        <f t="shared" si="1"/>
        <v>40</v>
      </c>
      <c r="B48" s="27" t="str">
        <f>IF('График аннуитет.'!B47=FALSE,"",'График аннуитет.'!B47)</f>
        <v/>
      </c>
      <c r="C48" s="28">
        <f>IF(malumot!$B$77=malumot!$C$77,'График дифференц'!C47,IF(malumot!$B$77=malumot!$D$77,'График аннуитет.'!C47))</f>
        <v>-3.7252902984619141E-9</v>
      </c>
      <c r="D48" s="28" t="b">
        <f>IF(malumot!$B$77=malumot!$C$77,'График дифференц'!D47,IF(malumot!$B$77=malumot!$D$77,'График аннуитет.'!D47))</f>
        <v>0</v>
      </c>
      <c r="E48" s="28" t="b">
        <f>IF(malumot!$B$77=malumot!$C$77,'График дифференц'!E47,IF(malumot!$B$77=malumot!$D$77,'График аннуитет.'!E47))</f>
        <v>0</v>
      </c>
      <c r="F48" s="28" t="b">
        <f>IF(malumot!$B$77=malumot!$C$77,'График дифференц'!F47,IF(malumot!$B$77=malumot!$D$77,'График аннуитет.'!F47))</f>
        <v>0</v>
      </c>
    </row>
    <row r="49" spans="1:6" ht="15.75" hidden="1" customHeight="1">
      <c r="A49" s="13">
        <f t="shared" si="1"/>
        <v>41</v>
      </c>
      <c r="B49" s="27" t="str">
        <f>IF('График аннуитет.'!B48=FALSE,"",'График аннуитет.'!B48)</f>
        <v/>
      </c>
      <c r="C49" s="28">
        <f>IF(malumot!$B$77=malumot!$C$77,'График дифференц'!C48,IF(malumot!$B$77=malumot!$D$77,'График аннуитет.'!C48))</f>
        <v>-3.7252902984619141E-9</v>
      </c>
      <c r="D49" s="28" t="b">
        <f>IF(malumot!$B$77=malumot!$C$77,'График дифференц'!D48,IF(malumot!$B$77=malumot!$D$77,'График аннуитет.'!D48))</f>
        <v>0</v>
      </c>
      <c r="E49" s="28" t="b">
        <f>IF(malumot!$B$77=malumot!$C$77,'График дифференц'!E48,IF(malumot!$B$77=malumot!$D$77,'График аннуитет.'!E48))</f>
        <v>0</v>
      </c>
      <c r="F49" s="28" t="b">
        <f>IF(malumot!$B$77=malumot!$C$77,'График дифференц'!F48,IF(malumot!$B$77=malumot!$D$77,'График аннуитет.'!F48))</f>
        <v>0</v>
      </c>
    </row>
    <row r="50" spans="1:6" ht="15.75" hidden="1" customHeight="1">
      <c r="A50" s="13">
        <f t="shared" si="1"/>
        <v>42</v>
      </c>
      <c r="B50" s="27" t="str">
        <f>IF('График аннуитет.'!B49=FALSE,"",'График аннуитет.'!B49)</f>
        <v/>
      </c>
      <c r="C50" s="28">
        <f>IF(malumot!$B$77=malumot!$C$77,'График дифференц'!C49,IF(malumot!$B$77=malumot!$D$77,'График аннуитет.'!C49))</f>
        <v>-3.7252902984619141E-9</v>
      </c>
      <c r="D50" s="28" t="b">
        <f>IF(malumot!$B$77=malumot!$C$77,'График дифференц'!D49,IF(malumot!$B$77=malumot!$D$77,'График аннуитет.'!D49))</f>
        <v>0</v>
      </c>
      <c r="E50" s="28" t="b">
        <f>IF(malumot!$B$77=malumot!$C$77,'График дифференц'!E49,IF(malumot!$B$77=malumot!$D$77,'График аннуитет.'!E49))</f>
        <v>0</v>
      </c>
      <c r="F50" s="28" t="b">
        <f>IF(malumot!$B$77=malumot!$C$77,'График дифференц'!F49,IF(malumot!$B$77=malumot!$D$77,'График аннуитет.'!F49))</f>
        <v>0</v>
      </c>
    </row>
    <row r="51" spans="1:6" ht="15.75" hidden="1" customHeight="1">
      <c r="A51" s="13">
        <f t="shared" si="1"/>
        <v>43</v>
      </c>
      <c r="B51" s="27" t="str">
        <f>IF('График аннуитет.'!B50=FALSE,"",'График аннуитет.'!B50)</f>
        <v/>
      </c>
      <c r="C51" s="28">
        <f>IF(malumot!$B$77=malumot!$C$77,'График дифференц'!C50,IF(malumot!$B$77=malumot!$D$77,'График аннуитет.'!C50))</f>
        <v>-3.7252902984619141E-9</v>
      </c>
      <c r="D51" s="28" t="b">
        <f>IF(malumot!$B$77=malumot!$C$77,'График дифференц'!D50,IF(malumot!$B$77=malumot!$D$77,'График аннуитет.'!D50))</f>
        <v>0</v>
      </c>
      <c r="E51" s="28" t="b">
        <f>IF(malumot!$B$77=malumot!$C$77,'График дифференц'!E50,IF(malumot!$B$77=malumot!$D$77,'График аннуитет.'!E50))</f>
        <v>0</v>
      </c>
      <c r="F51" s="28" t="b">
        <f>IF(malumot!$B$77=malumot!$C$77,'График дифференц'!F50,IF(malumot!$B$77=malumot!$D$77,'График аннуитет.'!F50))</f>
        <v>0</v>
      </c>
    </row>
    <row r="52" spans="1:6" ht="15.75" hidden="1" customHeight="1">
      <c r="A52" s="13">
        <f t="shared" si="1"/>
        <v>44</v>
      </c>
      <c r="B52" s="27" t="str">
        <f>IF('График аннуитет.'!B51=FALSE,"",'График аннуитет.'!B51)</f>
        <v/>
      </c>
      <c r="C52" s="28">
        <f>IF(malumot!$B$77=malumot!$C$77,'График дифференц'!C51,IF(malumot!$B$77=malumot!$D$77,'График аннуитет.'!C51))</f>
        <v>-3.7252902984619141E-9</v>
      </c>
      <c r="D52" s="28" t="b">
        <f>IF(malumot!$B$77=malumot!$C$77,'График дифференц'!D51,IF(malumot!$B$77=malumot!$D$77,'График аннуитет.'!D51))</f>
        <v>0</v>
      </c>
      <c r="E52" s="28" t="b">
        <f>IF(malumot!$B$77=malumot!$C$77,'График дифференц'!E51,IF(malumot!$B$77=malumot!$D$77,'График аннуитет.'!E51))</f>
        <v>0</v>
      </c>
      <c r="F52" s="28" t="b">
        <f>IF(malumot!$B$77=malumot!$C$77,'График дифференц'!F51,IF(malumot!$B$77=malumot!$D$77,'График аннуитет.'!F51))</f>
        <v>0</v>
      </c>
    </row>
    <row r="53" spans="1:6" ht="15.75" hidden="1" customHeight="1">
      <c r="A53" s="13">
        <f t="shared" si="1"/>
        <v>45</v>
      </c>
      <c r="B53" s="27" t="str">
        <f>IF('График аннуитет.'!B52=FALSE,"",'График аннуитет.'!B52)</f>
        <v/>
      </c>
      <c r="C53" s="28">
        <f>IF(malumot!$B$77=malumot!$C$77,'График дифференц'!C52,IF(malumot!$B$77=malumot!$D$77,'График аннуитет.'!C52))</f>
        <v>-3.7252902984619141E-9</v>
      </c>
      <c r="D53" s="28" t="b">
        <f>IF(malumot!$B$77=malumot!$C$77,'График дифференц'!D52,IF(malumot!$B$77=malumot!$D$77,'График аннуитет.'!D52))</f>
        <v>0</v>
      </c>
      <c r="E53" s="28" t="b">
        <f>IF(malumot!$B$77=malumot!$C$77,'График дифференц'!E52,IF(malumot!$B$77=malumot!$D$77,'График аннуитет.'!E52))</f>
        <v>0</v>
      </c>
      <c r="F53" s="28" t="b">
        <f>IF(malumot!$B$77=malumot!$C$77,'График дифференц'!F52,IF(malumot!$B$77=malumot!$D$77,'График аннуитет.'!F52))</f>
        <v>0</v>
      </c>
    </row>
    <row r="54" spans="1:6" ht="15.75" hidden="1" customHeight="1">
      <c r="A54" s="13">
        <f t="shared" si="1"/>
        <v>46</v>
      </c>
      <c r="B54" s="27" t="str">
        <f>IF('График аннуитет.'!B53=FALSE,"",'График аннуитет.'!B53)</f>
        <v/>
      </c>
      <c r="C54" s="28">
        <f>IF(malumot!$B$77=malumot!$C$77,'График дифференц'!C53,IF(malumot!$B$77=malumot!$D$77,'График аннуитет.'!C53))</f>
        <v>-3.7252902984619141E-9</v>
      </c>
      <c r="D54" s="28" t="b">
        <f>IF(malumot!$B$77=malumot!$C$77,'График дифференц'!D53,IF(malumot!$B$77=malumot!$D$77,'График аннуитет.'!D53))</f>
        <v>0</v>
      </c>
      <c r="E54" s="28" t="b">
        <f>IF(malumot!$B$77=malumot!$C$77,'График дифференц'!E53,IF(malumot!$B$77=malumot!$D$77,'График аннуитет.'!E53))</f>
        <v>0</v>
      </c>
      <c r="F54" s="28" t="b">
        <f>IF(malumot!$B$77=malumot!$C$77,'График дифференц'!F53,IF(malumot!$B$77=malumot!$D$77,'График аннуитет.'!F53))</f>
        <v>0</v>
      </c>
    </row>
    <row r="55" spans="1:6" ht="15.75" hidden="1" customHeight="1">
      <c r="A55" s="13">
        <f t="shared" si="1"/>
        <v>47</v>
      </c>
      <c r="B55" s="27" t="str">
        <f>IF('График аннуитет.'!B54=FALSE,"",'График аннуитет.'!B54)</f>
        <v/>
      </c>
      <c r="C55" s="28">
        <f>IF(malumot!$B$77=malumot!$C$77,'График дифференц'!C54,IF(malumot!$B$77=malumot!$D$77,'График аннуитет.'!C54))</f>
        <v>-3.7252902984619141E-9</v>
      </c>
      <c r="D55" s="28" t="b">
        <f>IF(malumot!$B$77=malumot!$C$77,'График дифференц'!D54,IF(malumot!$B$77=malumot!$D$77,'График аннуитет.'!D54))</f>
        <v>0</v>
      </c>
      <c r="E55" s="28" t="b">
        <f>IF(malumot!$B$77=malumot!$C$77,'График дифференц'!E54,IF(malumot!$B$77=malumot!$D$77,'График аннуитет.'!E54))</f>
        <v>0</v>
      </c>
      <c r="F55" s="28" t="b">
        <f>IF(malumot!$B$77=malumot!$C$77,'График дифференц'!F54,IF(malumot!$B$77=malumot!$D$77,'График аннуитет.'!F54))</f>
        <v>0</v>
      </c>
    </row>
    <row r="56" spans="1:6" ht="15.75" hidden="1" customHeight="1">
      <c r="A56" s="13">
        <f t="shared" si="1"/>
        <v>48</v>
      </c>
      <c r="B56" s="27" t="str">
        <f>IF('График аннуитет.'!B55=FALSE,"",'График аннуитет.'!B55)</f>
        <v/>
      </c>
      <c r="C56" s="28">
        <f>IF(malumot!$B$77=malumot!$C$77,'График дифференц'!C55,IF(malumot!$B$77=malumot!$D$77,'График аннуитет.'!C55))</f>
        <v>-3.7252902984619141E-9</v>
      </c>
      <c r="D56" s="28" t="b">
        <f>IF(malumot!$B$77=malumot!$C$77,'График дифференц'!D55,IF(malumot!$B$77=malumot!$D$77,'График аннуитет.'!D55))</f>
        <v>0</v>
      </c>
      <c r="E56" s="28" t="b">
        <f>IF(malumot!$B$77=malumot!$C$77,'График дифференц'!E55,IF(malumot!$B$77=malumot!$D$77,'График аннуитет.'!E55))</f>
        <v>0</v>
      </c>
      <c r="F56" s="28" t="b">
        <f>IF(malumot!$B$77=malumot!$C$77,'График дифференц'!F55,IF(malumot!$B$77=malumot!$D$77,'График аннуитет.'!F55))</f>
        <v>0</v>
      </c>
    </row>
    <row r="57" spans="1:6" ht="15" customHeight="1">
      <c r="A57" s="40"/>
      <c r="B57" s="41" t="s">
        <v>204</v>
      </c>
      <c r="C57" s="42"/>
      <c r="D57" s="42">
        <f>SUM(D9:D56)</f>
        <v>40000000</v>
      </c>
      <c r="E57" s="42">
        <f t="shared" ref="E57:F57" si="2">SUM(E9:E56)</f>
        <v>23253196.400000006</v>
      </c>
      <c r="F57" s="42">
        <f t="shared" si="2"/>
        <v>63253196.399999991</v>
      </c>
    </row>
    <row r="58" spans="1:6" ht="14.25" customHeight="1">
      <c r="B58" s="29"/>
      <c r="C58" s="30"/>
      <c r="D58" s="30"/>
      <c r="E58" s="30"/>
      <c r="F58" s="30"/>
    </row>
    <row r="59" spans="1:6" ht="47.25" customHeight="1">
      <c r="A59" s="283"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83"/>
      <c r="C59" s="283"/>
      <c r="D59" s="283"/>
      <c r="E59" s="283"/>
      <c r="F59" s="283"/>
    </row>
    <row r="60" spans="1:6" ht="7.5" customHeight="1"/>
    <row r="61" spans="1:6" ht="15" customHeight="1">
      <c r="A61" s="310" t="s">
        <v>266</v>
      </c>
      <c r="B61" s="310"/>
      <c r="C61" s="310"/>
      <c r="D61" s="310" t="s">
        <v>273</v>
      </c>
      <c r="E61" s="310"/>
      <c r="F61" s="310"/>
    </row>
    <row r="62" spans="1:6" ht="11.25" customHeight="1">
      <c r="A62" s="311"/>
      <c r="B62" s="311"/>
      <c r="C62" s="311"/>
      <c r="D62" s="311"/>
      <c r="E62" s="311"/>
      <c r="F62" s="311"/>
    </row>
    <row r="63" spans="1:6" ht="30" customHeight="1">
      <c r="A63" s="285" t="str">
        <f>shartnoma!A116</f>
        <v>«CLEVER MIKROMOLIYA TASHKILOTI» MChJ</v>
      </c>
      <c r="B63" s="285"/>
      <c r="C63" s="285"/>
      <c r="D63" s="285" t="str">
        <f>shartnoma!B116</f>
        <v>DJURAKULOVA SANAM ASHUROVNA</v>
      </c>
      <c r="E63" s="285"/>
      <c r="F63" s="285"/>
    </row>
    <row r="64" spans="1:6" ht="51" customHeight="1">
      <c r="A64" s="306" t="str">
        <f>shartnoma!A117</f>
        <v>Manzil: Toshkent shahri, Olmazor tumani, Sagbon ko'chasi, 30 boshi berk, 6-uy</v>
      </c>
      <c r="B64" s="306"/>
      <c r="C64" s="306"/>
      <c r="D64" s="306" t="str">
        <f>shartnoma!B117</f>
        <v>Manzil: SAMARQAND VILOYATI SAMARQAND SHAHAR BOG'ISARIY MAHALLASI SPITAMENSHOX KO'CHASI 252 UY</v>
      </c>
      <c r="E64" s="306"/>
      <c r="F64" s="306"/>
    </row>
    <row r="65" spans="1:6" ht="15" customHeight="1">
      <c r="A65" s="306" t="str">
        <f>shartnoma!A118</f>
        <v>h/r: №20216000105068380006</v>
      </c>
      <c r="B65" s="306"/>
      <c r="C65" s="306"/>
      <c r="D65" s="306" t="str">
        <f>shartnoma!B119</f>
        <v>Pasport: AB 0252157, SAMARQAND VILOYATI SAMARQAND SHAHAR IIB tomonidan 29.06.2015 yilda berilgan</v>
      </c>
      <c r="E65" s="306"/>
      <c r="F65" s="306"/>
    </row>
    <row r="66" spans="1:6" ht="32.25" customHeight="1">
      <c r="A66" s="306" t="str">
        <f>shartnoma!A119</f>
        <v>MFO: №01183 в Toshkent sh., "ANOR BANK"</v>
      </c>
      <c r="B66" s="306"/>
      <c r="C66" s="306"/>
      <c r="D66" s="306"/>
      <c r="E66" s="306"/>
      <c r="F66" s="306"/>
    </row>
    <row r="67" spans="1:6" ht="15" customHeight="1">
      <c r="A67" s="306" t="str">
        <f>shartnoma!A120</f>
        <v>STIR: 306365847</v>
      </c>
      <c r="B67" s="306"/>
      <c r="C67" s="306"/>
      <c r="D67" s="306" t="str">
        <f>shartnoma!B120</f>
        <v>Tel: 90 606-09-53 UZI</v>
      </c>
      <c r="E67" s="306"/>
      <c r="F67" s="306"/>
    </row>
    <row r="68" spans="1:6" ht="15" customHeight="1">
      <c r="A68" s="306" t="str">
        <f>shartnoma!A121</f>
        <v>Tel: (78) 113 31 33</v>
      </c>
      <c r="B68" s="306"/>
      <c r="C68" s="306"/>
      <c r="D68" s="306" t="str">
        <f>shartnoma!B121</f>
        <v>90 504-18-38 JASUR JIYANI</v>
      </c>
      <c r="E68" s="306"/>
      <c r="F68" s="306"/>
    </row>
    <row r="69" spans="1:6" ht="15" customHeight="1">
      <c r="A69" s="306" t="str">
        <f>shartnoma!A122</f>
        <v>(78) 113 31 34</v>
      </c>
      <c r="B69" s="306"/>
      <c r="C69" s="306"/>
      <c r="D69" s="306" t="str">
        <f>shartnoma!B122</f>
        <v>77 007-88-07 (2 nomeri)</v>
      </c>
      <c r="E69" s="306"/>
      <c r="F69" s="306"/>
    </row>
    <row r="70" spans="1:6" ht="23.25" customHeight="1">
      <c r="A70" s="306"/>
      <c r="B70" s="306"/>
      <c r="C70" s="306"/>
      <c r="D70" s="306" t="str">
        <f>IF(shartnoma!B123=0,"",shartnoma!B123)</f>
        <v/>
      </c>
      <c r="E70" s="306"/>
      <c r="F70" s="306"/>
    </row>
    <row r="71" spans="1:6" ht="29.25" customHeight="1">
      <c r="A71" s="142"/>
      <c r="B71" s="318" t="str">
        <f>malumot!A158</f>
        <v>Samarqand filiali boshlig'i</v>
      </c>
      <c r="C71" s="318"/>
      <c r="D71" s="285" t="str">
        <f>shartnoma!B125</f>
        <v>DJURAKULOVA S.A.     __________________</v>
      </c>
      <c r="E71" s="285"/>
      <c r="F71" s="285"/>
    </row>
    <row r="72" spans="1:6" ht="15" customHeight="1">
      <c r="A72" s="142"/>
      <c r="B72" s="318" t="str">
        <f>malumot!B158</f>
        <v>S.Asrorov</v>
      </c>
      <c r="C72" s="318"/>
      <c r="D72" s="285"/>
      <c r="E72" s="285"/>
      <c r="F72" s="285"/>
    </row>
    <row r="73" spans="1:6" ht="15.75">
      <c r="A73" s="9"/>
      <c r="B73" s="9"/>
      <c r="C73" s="9"/>
      <c r="D73" s="285"/>
      <c r="E73" s="285"/>
      <c r="F73" s="285"/>
    </row>
    <row r="74" spans="1:6">
      <c r="A74" s="306"/>
      <c r="B74" s="306"/>
      <c r="C74" s="306"/>
      <c r="D74" s="306"/>
      <c r="E74" s="306"/>
      <c r="F74" s="306"/>
    </row>
    <row r="75" spans="1:6">
      <c r="A75" s="307"/>
      <c r="B75" s="307"/>
      <c r="C75" s="307"/>
      <c r="D75" s="308"/>
      <c r="E75" s="308"/>
      <c r="F75" s="308"/>
    </row>
    <row r="76" spans="1:6">
      <c r="A76" s="309"/>
      <c r="B76" s="309"/>
      <c r="C76" s="309"/>
      <c r="D76" s="309"/>
      <c r="E76" s="309"/>
      <c r="F76" s="309"/>
    </row>
    <row r="77" spans="1:6">
      <c r="A77" s="305"/>
      <c r="B77" s="305"/>
      <c r="C77" s="305"/>
      <c r="D77" s="305"/>
      <c r="E77" s="305"/>
      <c r="F77" s="305"/>
    </row>
  </sheetData>
  <mergeCells count="41">
    <mergeCell ref="E2:F2"/>
    <mergeCell ref="A5:F5"/>
    <mergeCell ref="A7:A8"/>
    <mergeCell ref="B7:B8"/>
    <mergeCell ref="C7:C8"/>
    <mergeCell ref="D7:F7"/>
    <mergeCell ref="E3:F3"/>
    <mergeCell ref="A63:C63"/>
    <mergeCell ref="D63:F63"/>
    <mergeCell ref="A64:C64"/>
    <mergeCell ref="D64:F64"/>
    <mergeCell ref="A65:C65"/>
    <mergeCell ref="D65:F66"/>
    <mergeCell ref="A66:C66"/>
    <mergeCell ref="A59:F59"/>
    <mergeCell ref="A61:C61"/>
    <mergeCell ref="D61:F61"/>
    <mergeCell ref="A62:C62"/>
    <mergeCell ref="D62:F62"/>
    <mergeCell ref="A69:C69"/>
    <mergeCell ref="D69:F69"/>
    <mergeCell ref="A70:C70"/>
    <mergeCell ref="D70:F70"/>
    <mergeCell ref="A67:C67"/>
    <mergeCell ref="D67:F67"/>
    <mergeCell ref="B71:C71"/>
    <mergeCell ref="B72:C72"/>
    <mergeCell ref="H12:P24"/>
    <mergeCell ref="A77:C77"/>
    <mergeCell ref="D77:F77"/>
    <mergeCell ref="A74:C74"/>
    <mergeCell ref="D74:F74"/>
    <mergeCell ref="A75:C75"/>
    <mergeCell ref="D75:F75"/>
    <mergeCell ref="A76:C76"/>
    <mergeCell ref="D76:F76"/>
    <mergeCell ref="D71:F71"/>
    <mergeCell ref="D72:F72"/>
    <mergeCell ref="D73:F73"/>
    <mergeCell ref="A68:C68"/>
    <mergeCell ref="D68:F68"/>
  </mergeCells>
  <conditionalFormatting sqref="B9:B44">
    <cfRule type="cellIs" dxfId="3" priority="4" operator="lessThan">
      <formula>22105</formula>
    </cfRule>
  </conditionalFormatting>
  <conditionalFormatting sqref="C9:F44">
    <cfRule type="cellIs" dxfId="2" priority="3" operator="lessThan">
      <formula>0.1</formula>
    </cfRule>
  </conditionalFormatting>
  <conditionalFormatting sqref="B45:B56">
    <cfRule type="cellIs" dxfId="1" priority="2" operator="lessThan">
      <formula>22105</formula>
    </cfRule>
  </conditionalFormatting>
  <conditionalFormatting sqref="C45: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3">
    <tabColor rgb="FF00B050"/>
  </sheetPr>
  <dimension ref="A2:F64"/>
  <sheetViews>
    <sheetView view="pageBreakPreview" topLeftCell="A45" zoomScaleNormal="100" zoomScaleSheetLayoutView="100" workbookViewId="0">
      <selection activeCell="A63" sqref="A63:XFD63"/>
    </sheetView>
  </sheetViews>
  <sheetFormatPr defaultColWidth="9.140625" defaultRowHeight="15" outlineLevelRow="1"/>
  <cols>
    <col min="1" max="1" width="28.42578125" style="10" customWidth="1"/>
    <col min="2" max="2" width="22.85546875" style="10" customWidth="1"/>
    <col min="3" max="3" width="22.42578125" style="10" customWidth="1"/>
    <col min="4" max="4" width="21.42578125" style="10" customWidth="1"/>
    <col min="5" max="5" width="25.140625" style="10" customWidth="1"/>
    <col min="6" max="16384" width="9.140625" style="10"/>
  </cols>
  <sheetData>
    <row r="2" spans="1:5">
      <c r="A2" s="313" t="str">
        <f>"GAROV PREDMETI QIYMATINI KELISHISH 
№"&amp;malumot!B149&amp;" SONLI DALOLATNOMASI
 "</f>
        <v xml:space="preserve">GAROV PREDMETI QIYMATINI KELISHISH 
№1 SONLI DALOLATNOMASI
 </v>
      </c>
      <c r="B2" s="313"/>
      <c r="C2" s="313"/>
      <c r="D2" s="313"/>
      <c r="E2" s="313"/>
    </row>
    <row r="3" spans="1:5">
      <c r="A3" s="34"/>
      <c r="B3" s="34"/>
      <c r="C3" s="34"/>
      <c r="D3" s="34"/>
      <c r="E3" s="34"/>
    </row>
    <row r="4" spans="1:5">
      <c r="A4" s="31" t="s">
        <v>203</v>
      </c>
      <c r="B4" s="31"/>
      <c r="C4" s="31"/>
      <c r="D4" s="31"/>
      <c r="E4" s="31" t="str">
        <f>malumot!B150</f>
        <v>10 aprel 2025 y.</v>
      </c>
    </row>
    <row r="5" spans="1:5" ht="9" customHeight="1">
      <c r="A5" s="283"/>
      <c r="B5" s="283"/>
      <c r="C5" s="283"/>
      <c r="D5" s="283"/>
      <c r="E5" s="283"/>
    </row>
    <row r="6" spans="1:5" ht="76.5" customHeight="1">
      <c r="A6" s="283" t="str">
        <f>IF(malumot!B111="avtotransport",dalolatnoma!A10:E10,dalolatnoma!A7:E7)</f>
        <v>«CLEVER MIKROMOLIYA TASHKILOTI» MChJning (1-tomon) vakili bo‘lgan  Samarqand filiali boshlig'i S.Asrorov, O‘zbekiston Respublikasi fuqarosi va garovga beruvchi DJURAKULOVA SANAM ASHUROVNA (2-tomon) o’rtalarida, 10 aprel 2025 y.dan №745-SM-sonli Mikroqarz shartnomasiga muvofiq 1-tomon 2-tomonga berilgan mikroqarz bo‘yicha ta’minot sifatida taqdim etilgan, 2-tomonga mulk huquqi asosida tegishli bo‘lgan mulkning garov qiymatini kelishish muzokaralari o’tkazildi.</v>
      </c>
      <c r="B6" s="283"/>
      <c r="C6" s="283"/>
      <c r="D6" s="283"/>
      <c r="E6" s="283"/>
    </row>
    <row r="7" spans="1:5" ht="88.5" hidden="1" customHeight="1">
      <c r="A7" s="283" t="str">
        <f>IF(malumot!B99="ha",dalolatnoma!A9:E9,dalolatnoma!A8:E8)</f>
        <v xml:space="preserve">«CLEVER MIKROMOLIYA TASHKILOTI» MChJning (1-tomon) vakili bo‘lgan  Samarqand filiali boshlig'i S.Asrorov, va O‘zbekiston Respublikasi fuqarosi  DJURAKULOVA SANAM ASHUROVNA (2-tomon) va garov egasi DJURAKULOVA SANAM ASHUROVNA (3-tomon) 10 aprel 2025 y.dan №745-SM Mikroqarz shartnomasiga muvofiq 1-tomon 2-tomonga berilgan mikroqarz bo‘yicha ta’minot sifatida taqdim etilgan, 2-tomonga mulk huquqi asosida tegishli bo‘lgan mulkning garov qiymatini kelishish muzokaralari o’tkazildi. </v>
      </c>
      <c r="B7" s="283"/>
      <c r="C7" s="283"/>
      <c r="D7" s="283"/>
      <c r="E7" s="283"/>
    </row>
    <row r="8" spans="1:5" ht="88.5" hidden="1" customHeight="1">
      <c r="A8" s="283"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Samarqand filiali boshlig'i S.Asrorov, va O‘zbekiston Respublikasi fuqarosi  DJURAKULOVA SANAM ASHUROVNA (2-tomon) va garov egasi DJURAKULOVA SANAM ASHUROVNA (3-tomon) 10 aprel 2025 y.dan №745-SM Mikroqarz shartnomasiga muvofiq 1-tomon 2-tomonga berilgan mikroqarz bo‘yicha ta’minot sifatida taqdim etilgan, 2-tomonga mulk huquqi asosida tegishli bo‘lgan mulkning garov qiymatini kelishish muzokaralari o’tkazildi. </v>
      </c>
      <c r="B8" s="283"/>
      <c r="C8" s="283"/>
      <c r="D8" s="283"/>
      <c r="E8" s="283"/>
    </row>
    <row r="9" spans="1:5" ht="88.5" hidden="1" customHeight="1">
      <c r="A9" s="283"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Samarqand filiali boshlig'i S.Asrorov, va O‘zbekiston Respublikasi fuqarosi  DJURAKULOVA SANAM ASHUROVNA (2-tomon) va garov egasi DJURAKULOVA SANAM ASHUROVNA (3-tomon) 10 aprel 2025 y.dan №745-SM Mikroqarz shartnomasiga muvofiq 1-tomon 2-tomonga berilgan mikroqarz bo‘yicha ta’minot sifatida taqdim etilgan, 2-tomonga mulk huquqi asosida tegishli bo‘lgan mulkning garov qiymatini kelishish muzokaralari o’tkazildi. </v>
      </c>
      <c r="B9" s="283"/>
      <c r="C9" s="283"/>
      <c r="D9" s="283"/>
      <c r="E9" s="283"/>
    </row>
    <row r="10" spans="1:5" ht="88.5" hidden="1" customHeight="1">
      <c r="A10" s="283" t="str">
        <f>IF(malumot!B99="ha",dalolatnoma!A12:E12,dalolatnoma!A11:E11)</f>
        <v>«CLEVER MIKROMOLIYA TASHKILOTI» MChJning (1-tomon) vakili bo‘lgan  Samarqand filiali boshlig'i S.Asrorov, O‘zbekiston Respublikasi fuqarosi va garovga beruvchi DJURAKULOVA SANAM ASHUROVNA (2-tomon) o’rtalarida, 10 aprel 2025 y.dan №745-SM-sonli Mikroqarz shartnomasiga muvofiq 1-tomon 2-tomonga berilgan mikroqarz bo‘yicha ta’minot sifatida taqdim etilgan, 2-tomonga mulk huquqi asosida tegishli bo‘lgan mulkning garov qiymatini kelishish muzokaralari o’tkazildi.</v>
      </c>
      <c r="B10" s="283"/>
      <c r="C10" s="283"/>
      <c r="D10" s="283"/>
      <c r="E10" s="283"/>
    </row>
    <row r="11" spans="1:5" ht="88.5" hidden="1" customHeight="1">
      <c r="A11" s="283" t="str">
        <f>""&amp;malumot!B155&amp;"ning (1-tomon) vakili bo‘lgan  "&amp;malumot!A158&amp;" "&amp;malumot!B158&amp;", O‘zbekiston Respublikasi fuqarosi "&amp;malumot!B5&amp;" (2-tomon) va garovga beruvchi O‘zbekiston Respublikasi fuqarosi "&amp;malumot!B125&amp;"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Samarqand filiali boshlig'i S.Asrorov, O‘zbekiston Respublikasi fuqarosi DJURAKULOVA SANAM ASHUROVNA (2-tomon) va garovga beruvchi O‘zbekiston Respublikasi fuqarosi DJURAKULOVA S.A. (3-tomon) o’rtalarida, 10 aprel 2025 y.dan №745-SM-sonli Mikroqarz shartnomasiga muvofiq 1-tomon 2-tomonga berilgan mikroqarz bo‘yicha ta’minot sifatida taqdim etilgan, 3-tomonga mulk huquqi asosida tegishli bo‘lgan mulkning garov qiymatini kelishish muzokaralari o’tkazildi.</v>
      </c>
      <c r="B11" s="283"/>
      <c r="C11" s="283"/>
      <c r="D11" s="283"/>
      <c r="E11" s="283"/>
    </row>
    <row r="12" spans="1:5" ht="88.5" hidden="1" customHeight="1">
      <c r="A12" s="283" t="str">
        <f>""&amp;malumot!B155&amp;"ning (1-tomon) vakili bo‘lgan  "&amp;malumot!A158&amp;" "&amp;malumot!B158&amp;",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Samarqand filiali boshlig'i S.Asrorov, O‘zbekiston Respublikasi fuqarosi va garovga beruvchi DJURAKULOVA SANAM ASHUROVNA (2-tomon) o’rtalarida, 10 aprel 2025 y.dan №745-SM-sonli Mikroqarz shartnomasiga muvofiq 1-tomon 2-tomonga berilgan mikroqarz bo‘yicha ta’minot sifatida taqdim etilgan, 2-tomonga mulk huquqi asosida tegishli bo‘lgan mulkning garov qiymatini kelishish muzokaralari o’tkazildi.</v>
      </c>
      <c r="B12" s="283"/>
      <c r="C12" s="283"/>
      <c r="D12" s="283"/>
      <c r="E12" s="283"/>
    </row>
    <row r="13" spans="1:5" ht="88.5" hidden="1" customHeight="1">
      <c r="A13" s="283" t="str">
        <f>"Garov predmeti sifatida "&amp;malumot!B133&amp;", 3-tomonga egalik huquqi tegishli bo'lgan, quyidagi tafsilotlarga ega avtotransport vositasi taqdim etiladi:"</f>
        <v>Garov predmeti sifatida LACETTI, 3-tomonga egalik huquqi tegishli bo'lgan, quyidagi tafsilotlarga ega avtotransport vositasi taqdim etiladi:</v>
      </c>
      <c r="B13" s="283"/>
      <c r="C13" s="283"/>
      <c r="D13" s="283"/>
      <c r="E13" s="283"/>
    </row>
    <row r="14" spans="1:5" ht="88.5" hidden="1" customHeight="1">
      <c r="A14" s="283" t="str">
        <f>"Garov predmeti sifatida "&amp;malumot!B133&amp;", 2-tomonga egalik huquqi tegishli bo'lgan, quyidagi tafsilotlarga ega avtotransport vositasi taqdim etiladi:"</f>
        <v>Garov predmeti sifatida LACETTI, 2-tomonga egalik huquqi tegishli bo'lgan, quyidagi tafsilotlarga ega avtotransport vositasi taqdim etiladi:</v>
      </c>
      <c r="B14" s="283"/>
      <c r="C14" s="283"/>
      <c r="D14" s="283"/>
      <c r="E14" s="283"/>
    </row>
    <row r="15" spans="1:5" ht="88.5" hidden="1" customHeight="1">
      <c r="A15" s="283" t="str">
        <f>IF(malumot!B99="ha",dalolatnoma!A14:E14,dalolatnoma!A13:E13)</f>
        <v>Garov predmeti sifatida LACETTI, 2-tomonga egalik huquqi tegishli bo'lgan, quyidagi tafsilotlarga ega avtotransport vositasi taqdim etiladi:</v>
      </c>
      <c r="B15" s="283"/>
      <c r="C15" s="283"/>
      <c r="D15" s="283"/>
      <c r="E15" s="283"/>
    </row>
    <row r="16" spans="1:5" ht="88.5" hidden="1" customHeight="1">
      <c r="A16" s="283" t="str">
        <f>"Garov predmeti sifatida "&amp;malumot!C134&amp;", 2-tomonga egalik huquqi tegishli bo'lgan, quyidagi tafsilotlarga ega ko'chmas mulk taqdim etiladi:"</f>
        <v>Garov predmeti sifatida 3 - xonali yakka tartibdagi uy-joy, 2-tomonga egalik huquqi tegishli bo'lgan, quyidagi tafsilotlarga ega ko'chmas mulk taqdim etiladi:</v>
      </c>
      <c r="B16" s="283"/>
      <c r="C16" s="283"/>
      <c r="D16" s="283"/>
      <c r="E16" s="283"/>
    </row>
    <row r="17" spans="1:5" ht="13.5" hidden="1" customHeight="1">
      <c r="A17" s="283" t="str">
        <f>"Garov predmeti sifatida "&amp;malumot!C134&amp;", 3-tomonga egalik huquqi tegishli bo'lgan, quyidagi tafsilotlarga ega ko'chmas mulk taqdim etiladi:"</f>
        <v>Garov predmeti sifatida 3 - xonali yakka tartibdagi uy-joy, 3-tomonga egalik huquqi tegishli bo'lgan, quyidagi tafsilotlarga ega ko'chmas mulk taqdim etiladi:</v>
      </c>
      <c r="B17" s="283"/>
      <c r="C17" s="283"/>
      <c r="D17" s="283"/>
      <c r="E17" s="283"/>
    </row>
    <row r="18" spans="1:5" ht="11.25" hidden="1" customHeight="1">
      <c r="A18" s="283" t="str">
        <f>IF(malumot!B99="ha",dalolatnoma!A16:E16,dalolatnoma!A17:E17)</f>
        <v>Garov predmeti sifatida 3 - xonali yakka tartibdagi uy-joy, 2-tomonga egalik huquqi tegishli bo'lgan, quyidagi tafsilotlarga ega ko'chmas mulk taqdim etiladi:</v>
      </c>
      <c r="B18" s="283"/>
      <c r="C18" s="283"/>
      <c r="D18" s="283"/>
      <c r="E18" s="283"/>
    </row>
    <row r="19" spans="1:5" ht="32.25" customHeight="1">
      <c r="A19" s="283" t="str">
        <f>IF(malumot!B111="Avtotransport",dalolatnoma!A15:E15,dalolatnoma!A18:E18)</f>
        <v>Garov predmeti sifatida LACETTI, 2-tomonga egalik huquqi tegishli bo'lgan, quyidagi tafsilotlarga ega avtotransport vositasi taqdim etiladi:</v>
      </c>
      <c r="B19" s="283"/>
      <c r="C19" s="283"/>
      <c r="D19" s="283"/>
      <c r="E19" s="283"/>
    </row>
    <row r="20" spans="1:5" ht="48" customHeight="1" outlineLevel="1">
      <c r="A20" s="33" t="s">
        <v>201</v>
      </c>
      <c r="B20" s="321" t="str">
        <f>IF(malumot!B111=malumot!C111,"Kuzov turi  va kuzov raqami*","Foydali maydoni")</f>
        <v>Kuzov turi  va kuzov raqami*</v>
      </c>
      <c r="C20" s="322"/>
      <c r="D20" s="33" t="str">
        <f>IF(malumot!B111=malumot!C111,"Dvigatel va shassi raqami*","Yashash maydoni")</f>
        <v>Dvigatel va shassi raqami*</v>
      </c>
      <c r="E20" s="33" t="str">
        <f>IF(malumot!B111=malumot!C111,"Ishlab chiqarilgan yili va rangi**","Umumiy maydoni")</f>
        <v>Ishlab chiqarilgan yili va rangi**</v>
      </c>
    </row>
    <row r="21" spans="1:5" ht="84" customHeight="1" outlineLevel="1">
      <c r="A21" s="12" t="str">
        <f>IF(malumot!B111=malumot!C111,malumot!B133,malumot!C133)</f>
        <v>LACETTI</v>
      </c>
      <c r="B21" s="315" t="str">
        <f>IF(malumot!B111=malumot!C111,malumot!B135,CONCATENATE(malumot!F138," ","kv.m"))</f>
        <v>kuzov turi - YENGIL SEDAN, kuzov raqami XWB5M31BDBA256320 TASH KUR GENTRA</v>
      </c>
      <c r="C21" s="315"/>
      <c r="D21" s="12" t="str">
        <f>IF(malumot!B111=malumot!C111,malumot!B138,malumot!E141)</f>
        <v>dvigatel raqami 2132251, shassi raqami - RAKAMSIZ</v>
      </c>
      <c r="E21" s="12" t="str">
        <f>IF(malumot!B111=malumot!C111,malumot!B141,malumot!E138)</f>
        <v>rangi -  QORA CHERNIY, ishlab chiqarilgan yili - 2011</v>
      </c>
    </row>
    <row r="22" spans="1:5" ht="17.25" customHeight="1" outlineLevel="1">
      <c r="A22" s="283" t="str">
        <f>"-* "&amp;IF(malumot!B111=malumot!C111,"avtotransport "&amp;"egasi: "&amp;malumot!B125&amp;"","ko'chmas mulk"&amp;" egasi: "&amp;malumot!B125&amp;"")</f>
        <v>-* avtotransport egasi: DJURAKULOVA S.A.</v>
      </c>
      <c r="B22" s="283"/>
      <c r="C22" s="283"/>
      <c r="D22" s="283"/>
      <c r="E22" s="283"/>
    </row>
    <row r="23" spans="1:5" outlineLevel="1">
      <c r="A23" s="283" t="str">
        <f>IF(malumot!B111=malumot!C111,"-* texnik pasport: "&amp;malumot!B132&amp;"","-* reest raqami: "&amp;malumot!C132&amp;"")</f>
        <v>-* texnik pasport: AAG 4271140 05.07.2024y.</v>
      </c>
      <c r="B23" s="283"/>
      <c r="C23" s="283"/>
      <c r="D23" s="283"/>
      <c r="E23" s="283"/>
    </row>
    <row r="24" spans="1:5" s="143" customFormat="1" outlineLevel="1">
      <c r="A24" s="283" t="str">
        <f>IF(malumot!B111=malumot!C111,"-* roʻyxatdan oʻtgan manzili/garaj manzili: "&amp;malumot!B130&amp;"","-*  kadastr raqami: "&amp;malumot!C135&amp;"")</f>
        <v>-* roʻyxatdan oʻtgan manzili/garaj manzili: SAMARQAND VILOYATI SAMARQAND SHAHAR BOG'ISARIY MAHALLASI SPITAMENSHOX KO'CHASI 252 UY</v>
      </c>
      <c r="B24" s="283"/>
      <c r="C24" s="283"/>
      <c r="D24" s="283"/>
      <c r="E24" s="283"/>
    </row>
    <row r="25" spans="1:5" ht="27" customHeight="1" outlineLevel="1">
      <c r="A25" s="283" t="str">
        <f>IF(malumot!B111=malumot!C111,"-* davlat raqami: "&amp;malumot!B134&amp;"","-* manzili: "&amp;malumot!C131&amp;"")</f>
        <v>-* davlat raqami: 30O259OA</v>
      </c>
      <c r="B25" s="283"/>
      <c r="C25" s="283"/>
      <c r="D25" s="283"/>
      <c r="E25" s="283"/>
    </row>
    <row r="26" spans="1:5" ht="65.25" customHeight="1">
      <c r="A26" s="283" t="str">
        <f>IF(malumot!B99="ha",dalolatnoma!A28:E28,dalolatnoma!A27:E27)</f>
        <v>Tomonlar o’rtasida o’tkazilgan muzokaralar natijalariga ko‘ra, 2-tomon ta’minot sifatida quyidagi tafsilotlarga ega bo’lgan garov predmetini taqdim etadi, 1-tomon esa ushbu garov predmetini  10 aprel 2025 y.dan №745-SM Mikroqarz shartnomasi bo‘yicha berilgan mikroqarz bo‘yicha  
56 000 000,00 (ellik olti million so'm) so’m bo‘lgan kelishilgan garov qiymatida qabul qiladi::</v>
      </c>
      <c r="B26" s="283"/>
      <c r="C26" s="283"/>
      <c r="D26" s="283"/>
      <c r="E26" s="283"/>
    </row>
    <row r="27" spans="1:5" ht="66" hidden="1" customHeight="1">
      <c r="A27" s="283"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10 aprel 2025 y.dan №745-SM mikroqarz shartnomasi bo‘yicha berilgan mikroqarz bo‘yicha  
56 000 000,00 (ellik olti million so'm) so’m bo‘lgan kelishilgan garov qiymatida qabul qiladi::</v>
      </c>
      <c r="B27" s="283"/>
      <c r="C27" s="283"/>
      <c r="D27" s="283"/>
      <c r="E27" s="283"/>
    </row>
    <row r="28" spans="1:5" ht="58.5" hidden="1" customHeight="1">
      <c r="A28" s="283"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10 aprel 2025 y.dan №745-SM Mikroqarz shartnomasi bo‘yicha berilgan mikroqarz bo‘yicha  
56 000 000,00 (ellik olti million so'm) so’m bo‘lgan kelishilgan garov qiymatida qabul qiladi::</v>
      </c>
      <c r="B28" s="283"/>
      <c r="C28" s="283"/>
      <c r="D28" s="283"/>
      <c r="E28" s="283"/>
    </row>
    <row r="29" spans="1:5" ht="51.75" customHeight="1" outlineLevel="1">
      <c r="A29" s="33" t="s">
        <v>201</v>
      </c>
      <c r="B29" s="33" t="str">
        <f>B20</f>
        <v>Kuzov turi  va kuzov raqami*</v>
      </c>
      <c r="C29" s="33" t="str">
        <f>D20</f>
        <v>Dvigatel va shassi raqami*</v>
      </c>
      <c r="D29" s="33" t="str">
        <f>IF(malumot!B111=malumot!C111,"Ishlab chiqarilgan yili va rangi*","Foydalanishga topshirilgan sanasi")</f>
        <v>Ishlab chiqarilgan yili va rangi*</v>
      </c>
      <c r="E29" s="33" t="s">
        <v>202</v>
      </c>
    </row>
    <row r="30" spans="1:5" ht="76.5" customHeight="1" outlineLevel="1">
      <c r="A30" s="12" t="str">
        <f>A21</f>
        <v>LACETTI</v>
      </c>
      <c r="B30" s="12" t="str">
        <f>B21</f>
        <v>kuzov turi - YENGIL SEDAN, kuzov raqami XWB5M31BDBA256320 TASH KUR GENTRA</v>
      </c>
      <c r="C30" s="12" t="str">
        <f>D21</f>
        <v>dvigatel raqami 2132251, shassi raqami - RAKAMSIZ</v>
      </c>
      <c r="D30" s="12" t="str">
        <f>IF(malumot!B111=malumot!C111,E21,TEXT(malumot!C143,"ДД.ММ.ГГГГ"))</f>
        <v>rangi -  QORA CHERNIY, ishlab chiqarilgan yili - 2011</v>
      </c>
      <c r="E30" s="12" t="str">
        <f>""&amp;FIXED(malumot!B144,2)&amp;" 
("&amp;malumot!B145&amp;")"</f>
        <v>56 000 000,00 
(ellik olti million so'm)</v>
      </c>
    </row>
    <row r="31" spans="1:5" ht="16.5" customHeight="1">
      <c r="A31" s="11"/>
      <c r="B31" s="11"/>
      <c r="C31" s="11"/>
      <c r="D31" s="11"/>
      <c r="E31" s="11"/>
    </row>
    <row r="32" spans="1:5" ht="56.25" hidden="1" customHeight="1" outlineLevel="1">
      <c r="A32" s="33" t="s">
        <v>4</v>
      </c>
      <c r="B32" s="33" t="s">
        <v>18</v>
      </c>
      <c r="C32" s="33" t="s">
        <v>19</v>
      </c>
      <c r="D32" s="33" t="s">
        <v>20</v>
      </c>
      <c r="E32" s="33" t="s">
        <v>5</v>
      </c>
    </row>
    <row r="33" spans="1:5" ht="15.75" hidden="1" customHeight="1" outlineLevel="1">
      <c r="A33" s="12" t="e">
        <f>#REF!</f>
        <v>#REF!</v>
      </c>
      <c r="B33" s="94" t="e">
        <f>#REF!</f>
        <v>#REF!</v>
      </c>
      <c r="C33" s="94" t="e">
        <f>#REF!</f>
        <v>#REF!</v>
      </c>
      <c r="D33" s="94" t="e">
        <f>#REF!</f>
        <v>#REF!</v>
      </c>
      <c r="E33" s="325" t="str">
        <f>""&amp;FIXED(malumot!C144,2)&amp;" ("&amp;malumot!B145&amp;")"</f>
        <v>56 000 000,00 (ellik olti million so'm)</v>
      </c>
    </row>
    <row r="34" spans="1:5" ht="15.75" hidden="1" customHeight="1" outlineLevel="1">
      <c r="A34" s="12"/>
      <c r="B34" s="94"/>
      <c r="C34" s="94"/>
      <c r="D34" s="94"/>
      <c r="E34" s="326"/>
    </row>
    <row r="35" spans="1:5" ht="15.75" hidden="1" customHeight="1" outlineLevel="1">
      <c r="A35" s="12" t="e">
        <f>#REF!</f>
        <v>#REF!</v>
      </c>
      <c r="B35" s="94" t="e">
        <f>#REF!</f>
        <v>#REF!</v>
      </c>
      <c r="C35" s="94" t="e">
        <f>#REF!</f>
        <v>#REF!</v>
      </c>
      <c r="D35" s="94" t="e">
        <f>#REF!</f>
        <v>#REF!</v>
      </c>
      <c r="E35" s="326"/>
    </row>
    <row r="36" spans="1:5" ht="15.75" hidden="1" customHeight="1" outlineLevel="1">
      <c r="A36" s="12" t="e">
        <f>#REF!</f>
        <v>#REF!</v>
      </c>
      <c r="B36" s="94" t="e">
        <f>#REF!</f>
        <v>#REF!</v>
      </c>
      <c r="C36" s="94" t="e">
        <f>#REF!</f>
        <v>#REF!</v>
      </c>
      <c r="D36" s="94" t="e">
        <f>#REF!</f>
        <v>#REF!</v>
      </c>
      <c r="E36" s="326"/>
    </row>
    <row r="37" spans="1:5" ht="15.75" hidden="1" customHeight="1" outlineLevel="1">
      <c r="A37" s="12" t="e">
        <f>#REF!</f>
        <v>#REF!</v>
      </c>
      <c r="B37" s="94" t="e">
        <f>#REF!</f>
        <v>#REF!</v>
      </c>
      <c r="C37" s="94" t="e">
        <f>#REF!</f>
        <v>#REF!</v>
      </c>
      <c r="D37" s="94" t="e">
        <f>#REF!</f>
        <v>#REF!</v>
      </c>
      <c r="E37" s="326"/>
    </row>
    <row r="38" spans="1:5" ht="15.75" hidden="1" customHeight="1" outlineLevel="1">
      <c r="A38" s="12" t="e">
        <f>#REF!</f>
        <v>#REF!</v>
      </c>
      <c r="B38" s="94" t="e">
        <f>#REF!</f>
        <v>#REF!</v>
      </c>
      <c r="C38" s="94" t="e">
        <f>#REF!</f>
        <v>#REF!</v>
      </c>
      <c r="D38" s="94" t="e">
        <f>#REF!</f>
        <v>#REF!</v>
      </c>
      <c r="E38" s="326"/>
    </row>
    <row r="39" spans="1:5" ht="15.75" hidden="1" customHeight="1" outlineLevel="1">
      <c r="A39" s="12" t="e">
        <f>#REF!</f>
        <v>#REF!</v>
      </c>
      <c r="B39" s="94" t="e">
        <f>#REF!</f>
        <v>#REF!</v>
      </c>
      <c r="C39" s="94" t="e">
        <f>#REF!</f>
        <v>#REF!</v>
      </c>
      <c r="D39" s="94" t="e">
        <f>#REF!</f>
        <v>#REF!</v>
      </c>
      <c r="E39" s="326"/>
    </row>
    <row r="40" spans="1:5" ht="15.75" hidden="1" customHeight="1" outlineLevel="1">
      <c r="A40" s="12" t="e">
        <f>#REF!</f>
        <v>#REF!</v>
      </c>
      <c r="B40" s="94" t="e">
        <f>#REF!</f>
        <v>#REF!</v>
      </c>
      <c r="C40" s="94" t="e">
        <f>#REF!</f>
        <v>#REF!</v>
      </c>
      <c r="D40" s="94" t="e">
        <f>#REF!</f>
        <v>#REF!</v>
      </c>
      <c r="E40" s="326"/>
    </row>
    <row r="41" spans="1:5" ht="15.75" hidden="1" customHeight="1" outlineLevel="1">
      <c r="A41" s="12" t="e">
        <f>#REF!</f>
        <v>#REF!</v>
      </c>
      <c r="B41" s="94" t="e">
        <f>#REF!</f>
        <v>#REF!</v>
      </c>
      <c r="C41" s="94" t="e">
        <f>#REF!</f>
        <v>#REF!</v>
      </c>
      <c r="D41" s="94" t="e">
        <f>#REF!</f>
        <v>#REF!</v>
      </c>
      <c r="E41" s="326"/>
    </row>
    <row r="42" spans="1:5" ht="15.75" hidden="1" customHeight="1" outlineLevel="1">
      <c r="A42" s="12" t="e">
        <f>#REF!</f>
        <v>#REF!</v>
      </c>
      <c r="B42" s="94" t="e">
        <f>#REF!</f>
        <v>#REF!</v>
      </c>
      <c r="C42" s="94" t="e">
        <f>#REF!</f>
        <v>#REF!</v>
      </c>
      <c r="D42" s="94" t="e">
        <f>#REF!</f>
        <v>#REF!</v>
      </c>
      <c r="E42" s="326"/>
    </row>
    <row r="43" spans="1:5" ht="15.75" hidden="1" customHeight="1" outlineLevel="1">
      <c r="A43" s="12" t="e">
        <f>#REF!</f>
        <v>#REF!</v>
      </c>
      <c r="B43" s="12" t="e">
        <f>#REF!</f>
        <v>#REF!</v>
      </c>
      <c r="C43" s="12" t="e">
        <f>#REF!</f>
        <v>#REF!</v>
      </c>
      <c r="D43" s="12" t="e">
        <f>#REF!</f>
        <v>#REF!</v>
      </c>
      <c r="E43" s="327"/>
    </row>
    <row r="44" spans="1:5" s="31" customFormat="1" ht="15.75" hidden="1" customHeight="1" outlineLevel="1">
      <c r="A44" s="33" t="e">
        <f>#REF!</f>
        <v>#REF!</v>
      </c>
      <c r="B44" s="33" t="e">
        <f>#REF!</f>
        <v>#REF!</v>
      </c>
      <c r="C44" s="33" t="e">
        <f>#REF!</f>
        <v>#REF!</v>
      </c>
      <c r="D44" s="33" t="e">
        <f>#REF!</f>
        <v>#REF!</v>
      </c>
      <c r="E44" s="33" t="str">
        <f>FIXED(malumot!C144,2)</f>
        <v>56 000 000,00</v>
      </c>
    </row>
    <row r="45" spans="1:5" ht="12.75" customHeight="1" collapsed="1">
      <c r="A45" s="11"/>
      <c r="B45" s="11"/>
      <c r="C45" s="11"/>
      <c r="D45" s="11"/>
      <c r="E45" s="11"/>
    </row>
    <row r="46" spans="1:5" ht="93.75" hidden="1" customHeight="1">
      <c r="A46" s="28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3"/>
      <c r="C46" s="283"/>
      <c r="D46" s="283"/>
      <c r="E46" s="283"/>
    </row>
    <row r="47" spans="1:5" ht="42" customHeight="1">
      <c r="A47" s="283" t="s">
        <v>205</v>
      </c>
      <c r="B47" s="283"/>
      <c r="C47" s="283"/>
      <c r="D47" s="283"/>
      <c r="E47" s="283"/>
    </row>
    <row r="48" spans="1:5" ht="35.25" customHeight="1">
      <c r="A48" s="283" t="str">
        <f>"Shunday qilib, garov predmetining kelishilgan garov qiymati  "&amp;FIXED(malumot!B144)&amp;" ("&amp;malumot!B145&amp;") so‘mni tashkil etadi."</f>
        <v>Shunday qilib, garov predmetining kelishilgan garov qiymati  56 000 000,00 (ellik olti million so'm) so‘mni tashkil etadi.</v>
      </c>
      <c r="B48" s="283"/>
      <c r="C48" s="283"/>
      <c r="D48" s="283"/>
      <c r="E48" s="283"/>
    </row>
    <row r="49" spans="1:6" ht="35.25" hidden="1" customHeight="1">
      <c r="A49" s="14"/>
      <c r="B49" s="14"/>
      <c r="C49" s="14"/>
      <c r="D49" s="14">
        <f>IF(malumot!B98=malumot!C98,malumot!C144,IF(malumot!B98=malumot!D98,'Данные для послед. Залога'!M22,0))</f>
        <v>56000000</v>
      </c>
      <c r="E49" s="14" t="str">
        <f>IF(malumot!B98=malumot!C98,malumot!B145,IF(malumot!B98=malumot!D98,'Данные для послед. Залога'!Q22,0))</f>
        <v>ellik olti million so'm</v>
      </c>
    </row>
    <row r="50" spans="1:6">
      <c r="A50" s="324" t="s">
        <v>206</v>
      </c>
      <c r="B50" s="324"/>
      <c r="C50" s="324"/>
      <c r="D50" s="17"/>
      <c r="E50" s="17"/>
    </row>
    <row r="51" spans="1:6" ht="15" customHeight="1">
      <c r="A51" s="163" t="str">
        <f>malumot!B156</f>
        <v>«CLEVER MIKROMOLIYA TASHKILOTI» MChJ</v>
      </c>
      <c r="B51" s="17"/>
      <c r="C51" s="17"/>
      <c r="D51" s="137"/>
      <c r="E51" s="137"/>
    </row>
    <row r="52" spans="1:6" ht="15" customHeight="1">
      <c r="A52" s="174" t="str">
        <f>""&amp;malumot!A158&amp;""</f>
        <v>Samarqand filiali boshlig'i</v>
      </c>
      <c r="B52" s="17"/>
      <c r="C52" s="17"/>
      <c r="D52" s="174"/>
      <c r="E52" s="174" t="str">
        <f>malumot!B158</f>
        <v>S.Asrorov</v>
      </c>
    </row>
    <row r="53" spans="1:6">
      <c r="A53" s="46"/>
      <c r="B53" s="46"/>
      <c r="C53" s="46"/>
      <c r="D53" s="46"/>
      <c r="E53" s="46"/>
    </row>
    <row r="54" spans="1:6">
      <c r="A54" s="324"/>
      <c r="B54" s="324"/>
      <c r="C54" s="324"/>
      <c r="D54" s="46"/>
      <c r="E54" s="46"/>
    </row>
    <row r="55" spans="1:6" hidden="1">
      <c r="A55" s="284" t="s">
        <v>44</v>
      </c>
      <c r="B55" s="284"/>
      <c r="C55" s="284"/>
      <c r="D55" s="46"/>
      <c r="E55" s="46"/>
    </row>
    <row r="56" spans="1:6" hidden="1">
      <c r="A56" s="284" t="str">
        <f>malumot!B156</f>
        <v>«CLEVER MIKROMOLIYA TASHKILOTI» MChJ</v>
      </c>
      <c r="B56" s="284"/>
      <c r="C56" s="284"/>
      <c r="D56" s="284" t="str">
        <f>"_______________   "&amp;malumot!B167&amp;""</f>
        <v>_______________   B. Mominov</v>
      </c>
      <c r="E56" s="284"/>
    </row>
    <row r="57" spans="1:6" ht="12.75" customHeight="1">
      <c r="A57" s="284"/>
      <c r="B57" s="284"/>
      <c r="C57" s="284"/>
      <c r="D57" s="284"/>
      <c r="E57" s="284"/>
    </row>
    <row r="58" spans="1:6">
      <c r="A58" s="324" t="s">
        <v>207</v>
      </c>
      <c r="B58" s="324"/>
      <c r="C58" s="324"/>
      <c r="D58" s="284"/>
      <c r="E58" s="284"/>
    </row>
    <row r="59" spans="1:6" ht="31.5" customHeight="1">
      <c r="A59" s="324" t="s">
        <v>208</v>
      </c>
      <c r="B59" s="324"/>
      <c r="C59" s="324"/>
      <c r="D59" s="324" t="str">
        <f>"_______________  "&amp;malumot!B7&amp;""</f>
        <v>_______________  DJURAKULOVA S.A.</v>
      </c>
      <c r="E59" s="324"/>
    </row>
    <row r="60" spans="1:6" ht="12.75" customHeight="1">
      <c r="A60" s="284"/>
      <c r="B60" s="284"/>
      <c r="C60" s="284"/>
      <c r="D60" s="323" t="str">
        <f>IF(malumot!B99="да","",malumot!B126)</f>
        <v>DJURAKULOVA SANAM ASHUROVNA</v>
      </c>
      <c r="E60" s="323"/>
    </row>
    <row r="61" spans="1:6" ht="17.25" customHeight="1">
      <c r="A61" s="324" t="str">
        <f>+IF(malumot!B99="ha"," ","3-tomondan:")</f>
        <v xml:space="preserve"> </v>
      </c>
      <c r="B61" s="324"/>
      <c r="C61" s="324"/>
      <c r="D61" s="324"/>
      <c r="E61" s="324"/>
      <c r="F61" s="10" t="str">
        <f>IF(malumot!B100=malumot!D100,B7,"")</f>
        <v/>
      </c>
    </row>
    <row r="62" spans="1:6" ht="17.25" customHeight="1">
      <c r="A62" s="284" t="str">
        <f>+IF(malumot!B99="ha"," ","O'zbekiston Respublikasi fuqarosi")</f>
        <v xml:space="preserve"> </v>
      </c>
      <c r="B62" s="284"/>
      <c r="C62" s="284"/>
      <c r="D62" s="324" t="str">
        <f>+IF(malumot!B99="ha"," ","_______________  "&amp;malumot!B114&amp;"")</f>
        <v xml:space="preserve"> </v>
      </c>
      <c r="E62" s="324"/>
    </row>
    <row r="63" spans="1:6" ht="63.75" hidden="1" customHeight="1">
      <c r="A63" s="145" t="str">
        <f>IF(malumot!B100=malumot!C100,"_______________  "&amp;malumot!B120&amp;"","_______________  "&amp;malumot!B7&amp;"")</f>
        <v>_______________  DJURAKULOVA SANAM ASHUROVNA</v>
      </c>
      <c r="B63" s="46"/>
      <c r="C63" s="284" t="str">
        <f>garov_ariza!A20</f>
        <v/>
      </c>
      <c r="D63" s="284"/>
      <c r="E63" s="284"/>
    </row>
    <row r="64" spans="1:6" ht="6.75" customHeight="1">
      <c r="D64" s="307"/>
      <c r="E64" s="307"/>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54"/>
  <sheetViews>
    <sheetView view="pageBreakPreview" topLeftCell="A6" zoomScale="85" zoomScaleSheetLayoutView="85" workbookViewId="0">
      <selection activeCell="B23" sqref="B23"/>
    </sheetView>
  </sheetViews>
  <sheetFormatPr defaultColWidth="9.140625" defaultRowHeight="15.75"/>
  <cols>
    <col min="1" max="1" width="20.140625" style="4" customWidth="1"/>
    <col min="2" max="2" width="18.7109375" style="4" customWidth="1"/>
    <col min="3" max="3" width="18.42578125" style="4" customWidth="1"/>
    <col min="4" max="4" width="28.7109375" style="4" customWidth="1"/>
    <col min="5" max="16384" width="9.140625" style="4"/>
  </cols>
  <sheetData>
    <row r="1" spans="1:4" ht="36.75" customHeight="1">
      <c r="C1" s="330" t="str">
        <f>malumot!B155&amp;" Ijrochi direktori"</f>
        <v>«CLEVER MIKROMOLIYA TASHKILOTI» MChJ Ijrochi direktori</v>
      </c>
      <c r="D1" s="330"/>
    </row>
    <row r="2" spans="1:4">
      <c r="C2" s="331" t="s">
        <v>387</v>
      </c>
      <c r="D2" s="331"/>
    </row>
    <row r="3" spans="1:4">
      <c r="C3" s="8"/>
      <c r="D3" s="9"/>
    </row>
    <row r="4" spans="1:4" ht="43.5" customHeight="1">
      <c r="C4" s="328" t="str">
        <f>malumot!B22&amp;" manzilida istiqomat qiluvchi"</f>
        <v>SAMARQAND VILOYATI SAMARQAND SHAHAR BOG'ISARIY MAHALLASI SPITAMENSHOX KO'CHASI 252 UY manzilida istiqomat qiluvchi</v>
      </c>
      <c r="D4" s="328"/>
    </row>
    <row r="5" spans="1:4" ht="36" customHeight="1">
      <c r="C5" s="328" t="str">
        <f>malumot!B5&amp;" tomonidan"</f>
        <v>DJURAKULOVA SANAM ASHUROVNA tomonidan</v>
      </c>
      <c r="D5" s="328"/>
    </row>
    <row r="6" spans="1:4" ht="51" customHeight="1">
      <c r="C6" s="271" t="str">
        <f>"Pasport: "&amp;malumot!B16&amp;", "&amp;malumot!B20</f>
        <v>Pasport: AB 0252157, SAMARQAND VILOYATI SAMARQAND SHAHAR IIB tomonidan 29.06.2015 yilda berilgan</v>
      </c>
      <c r="D6" s="271"/>
    </row>
    <row r="7" spans="1:4">
      <c r="C7" s="8"/>
      <c r="D7" s="9"/>
    </row>
    <row r="8" spans="1:4">
      <c r="A8" s="280" t="s">
        <v>388</v>
      </c>
      <c r="B8" s="280"/>
      <c r="C8" s="280"/>
      <c r="D8" s="280"/>
    </row>
    <row r="9" spans="1:4" ht="67.5" customHeight="1">
      <c r="A9" s="332" t="str">
        <f>"       Men, " &amp; malumot!B5 &amp; " sizdan " &amp; malumot!B2 &amp; " yildagi " &amp; malumot!B1 &amp; "-sonli kredit shartnomasiga asosan " &amp; malumot!B75  &amp; "(" &amp; malumot!B76 &amp; ")"  &amp; "so'm pul mablag'larini quyidagi rekvizitlar asosida o'tkazib berishingizni so'rayman: "</f>
        <v xml:space="preserve">       Men, DJURAKULOVA SANAM ASHUROVNA sizdan 10.04.2025 yildagi №745-SM-sonli kredit shartnomasiga asosan 40000000(qirq million so'm)so'm pul mablag'larini quyidagi rekvizitlar asosida o'tkazib berishingizni so'rayman: </v>
      </c>
      <c r="B9" s="332"/>
      <c r="C9" s="332"/>
      <c r="D9" s="332"/>
    </row>
    <row r="10" spans="1:4">
      <c r="A10" s="165" t="str">
        <f>malumot!A92</f>
        <v>Bank nomi:</v>
      </c>
      <c r="B10" s="332" t="str">
        <f>malumot!B92</f>
        <v>«Kapitalbank» ATB</v>
      </c>
      <c r="C10" s="332"/>
      <c r="D10" s="166"/>
    </row>
    <row r="11" spans="1:4">
      <c r="A11" s="165" t="str">
        <f>malumot!A93</f>
        <v>H/r:</v>
      </c>
      <c r="B11" s="332" t="str">
        <f>malumot!B93</f>
        <v>20206 000 292 787 622 001</v>
      </c>
      <c r="C11" s="332"/>
      <c r="D11" s="166"/>
    </row>
    <row r="12" spans="1:4">
      <c r="A12" s="165" t="str">
        <f>malumot!A94</f>
        <v>MFO:</v>
      </c>
      <c r="B12" s="332" t="str">
        <f>malumot!B94</f>
        <v>01158</v>
      </c>
      <c r="C12" s="332"/>
      <c r="D12" s="140"/>
    </row>
    <row r="13" spans="1:4">
      <c r="A13" s="165" t="str">
        <f>malumot!A95</f>
        <v>STIR:</v>
      </c>
      <c r="B13" s="332" t="str">
        <f>malumot!B95</f>
        <v>207275139</v>
      </c>
      <c r="C13" s="332"/>
      <c r="D13" s="140"/>
    </row>
    <row r="14" spans="1:4">
      <c r="A14" s="165" t="str">
        <f>malumot!A96</f>
        <v>Karta raqami:</v>
      </c>
      <c r="B14" s="332">
        <f>malumot!B96</f>
        <v>0</v>
      </c>
      <c r="C14" s="332"/>
      <c r="D14" s="140"/>
    </row>
    <row r="15" spans="1:4">
      <c r="A15" s="329"/>
      <c r="B15" s="329"/>
      <c r="C15" s="329"/>
      <c r="D15" s="329"/>
    </row>
    <row r="16" spans="1:4" ht="15.75" customHeight="1">
      <c r="A16" s="328" t="str">
        <f>malumot!B5</f>
        <v>DJURAKULOVA SANAM ASHUROVNA</v>
      </c>
      <c r="B16" s="328"/>
      <c r="C16" s="328"/>
      <c r="D16" s="167" t="s">
        <v>396</v>
      </c>
    </row>
    <row r="17" spans="1:4">
      <c r="A17" s="168"/>
      <c r="B17" s="168"/>
      <c r="D17" s="169" t="s">
        <v>325</v>
      </c>
    </row>
    <row r="18" spans="1:4">
      <c r="A18" s="128"/>
      <c r="B18" s="128"/>
      <c r="C18" s="128"/>
      <c r="D18" s="128"/>
    </row>
    <row r="19" spans="1:4">
      <c r="A19" s="128"/>
      <c r="B19" s="128"/>
      <c r="C19" s="128"/>
      <c r="D19" s="128"/>
    </row>
    <row r="20" spans="1:4" ht="15.75" customHeight="1">
      <c r="A20" s="328" t="str">
        <f>malumot!B155&amp;" ijrochi direktori"</f>
        <v>«CLEVER MIKROMOLIYA TASHKILOTI» MChJ ijrochi direktori</v>
      </c>
      <c r="B20" s="328"/>
      <c r="C20" s="176"/>
      <c r="D20" s="31"/>
    </row>
    <row r="21" spans="1:4" ht="39" customHeight="1">
      <c r="A21" s="328"/>
      <c r="B21" s="328"/>
      <c r="C21" s="128"/>
      <c r="D21" s="175" t="s">
        <v>385</v>
      </c>
    </row>
    <row r="22" spans="1:4">
      <c r="A22" s="128"/>
      <c r="B22" s="128"/>
      <c r="C22" s="128"/>
      <c r="D22" s="128"/>
    </row>
    <row r="23" spans="1:4">
      <c r="A23" s="128" t="s">
        <v>397</v>
      </c>
      <c r="B23" s="128" t="s">
        <v>398</v>
      </c>
      <c r="C23" s="128"/>
      <c r="D23" s="128"/>
    </row>
    <row r="24" spans="1:4">
      <c r="A24" s="128"/>
      <c r="B24" s="128"/>
      <c r="C24" s="128"/>
    </row>
    <row r="25" spans="1:4">
      <c r="A25" s="128"/>
      <c r="B25" s="128"/>
      <c r="C25" s="128"/>
      <c r="D25" s="128"/>
    </row>
    <row r="26" spans="1:4">
      <c r="A26" s="329"/>
      <c r="B26" s="329"/>
      <c r="C26" s="329"/>
      <c r="D26" s="329"/>
    </row>
    <row r="27" spans="1:4">
      <c r="A27" s="329"/>
      <c r="B27" s="329"/>
      <c r="C27" s="329"/>
      <c r="D27" s="329"/>
    </row>
    <row r="28" spans="1:4">
      <c r="A28" s="329"/>
      <c r="B28" s="329"/>
      <c r="C28" s="329"/>
      <c r="D28" s="329"/>
    </row>
    <row r="29" spans="1:4">
      <c r="A29" s="329"/>
      <c r="B29" s="329"/>
      <c r="C29" s="329"/>
      <c r="D29" s="329"/>
    </row>
    <row r="30" spans="1:4">
      <c r="A30" s="329"/>
      <c r="B30" s="329"/>
      <c r="C30" s="329"/>
      <c r="D30" s="329"/>
    </row>
    <row r="31" spans="1:4">
      <c r="A31" s="329"/>
      <c r="B31" s="329"/>
      <c r="C31" s="329"/>
      <c r="D31" s="329"/>
    </row>
    <row r="32" spans="1:4">
      <c r="A32" s="329"/>
      <c r="B32" s="329"/>
      <c r="C32" s="329"/>
      <c r="D32" s="329"/>
    </row>
    <row r="33" spans="1:4">
      <c r="A33" s="329"/>
      <c r="B33" s="329"/>
      <c r="C33" s="329"/>
      <c r="D33" s="329"/>
    </row>
    <row r="34" spans="1:4">
      <c r="A34" s="329"/>
      <c r="B34" s="329"/>
      <c r="C34" s="329"/>
      <c r="D34" s="329"/>
    </row>
    <row r="35" spans="1:4">
      <c r="A35" s="329"/>
      <c r="B35" s="329"/>
      <c r="C35" s="329"/>
      <c r="D35" s="329"/>
    </row>
    <row r="36" spans="1:4">
      <c r="A36" s="329"/>
      <c r="B36" s="329"/>
      <c r="C36" s="329"/>
      <c r="D36" s="329"/>
    </row>
    <row r="37" spans="1:4">
      <c r="A37" s="329"/>
      <c r="B37" s="329"/>
      <c r="C37" s="329"/>
      <c r="D37" s="329"/>
    </row>
    <row r="38" spans="1:4">
      <c r="A38" s="329"/>
      <c r="B38" s="329"/>
      <c r="C38" s="329"/>
      <c r="D38" s="329"/>
    </row>
    <row r="39" spans="1:4">
      <c r="A39" s="329"/>
      <c r="B39" s="329"/>
      <c r="C39" s="329"/>
      <c r="D39" s="329"/>
    </row>
    <row r="40" spans="1:4">
      <c r="A40" s="329"/>
      <c r="B40" s="329"/>
      <c r="C40" s="329"/>
      <c r="D40" s="329"/>
    </row>
    <row r="41" spans="1:4">
      <c r="A41" s="329"/>
      <c r="B41" s="329"/>
      <c r="C41" s="329"/>
      <c r="D41" s="329"/>
    </row>
    <row r="42" spans="1:4">
      <c r="A42" s="329"/>
      <c r="B42" s="329"/>
      <c r="C42" s="329"/>
      <c r="D42" s="329"/>
    </row>
    <row r="43" spans="1:4">
      <c r="A43" s="329"/>
      <c r="B43" s="329"/>
      <c r="C43" s="329"/>
      <c r="D43" s="329"/>
    </row>
    <row r="44" spans="1:4">
      <c r="A44" s="329"/>
      <c r="B44" s="329"/>
      <c r="C44" s="329"/>
      <c r="D44" s="329"/>
    </row>
    <row r="45" spans="1:4">
      <c r="A45" s="329"/>
      <c r="B45" s="329"/>
      <c r="C45" s="329"/>
      <c r="D45" s="329"/>
    </row>
    <row r="46" spans="1:4">
      <c r="A46" s="329"/>
      <c r="B46" s="329"/>
      <c r="C46" s="329"/>
      <c r="D46" s="329"/>
    </row>
    <row r="47" spans="1:4">
      <c r="A47" s="329"/>
      <c r="B47" s="329"/>
      <c r="C47" s="329"/>
      <c r="D47" s="329"/>
    </row>
    <row r="48" spans="1:4">
      <c r="A48" s="329"/>
      <c r="B48" s="329"/>
      <c r="C48" s="329"/>
      <c r="D48" s="329"/>
    </row>
    <row r="49" spans="1:4">
      <c r="A49" s="329"/>
      <c r="B49" s="329"/>
      <c r="C49" s="329"/>
      <c r="D49" s="329"/>
    </row>
    <row r="50" spans="1:4">
      <c r="A50" s="329"/>
      <c r="B50" s="329"/>
      <c r="C50" s="329"/>
      <c r="D50" s="329"/>
    </row>
    <row r="51" spans="1:4">
      <c r="A51" s="329"/>
      <c r="B51" s="329"/>
      <c r="C51" s="329"/>
      <c r="D51" s="329"/>
    </row>
    <row r="52" spans="1:4">
      <c r="A52" s="329"/>
      <c r="B52" s="329"/>
      <c r="C52" s="329"/>
      <c r="D52" s="329"/>
    </row>
    <row r="53" spans="1:4">
      <c r="A53" s="329"/>
      <c r="B53" s="329"/>
      <c r="C53" s="329"/>
      <c r="D53" s="329"/>
    </row>
    <row r="54" spans="1:4">
      <c r="A54" s="329"/>
      <c r="B54" s="329"/>
      <c r="C54" s="329"/>
      <c r="D54" s="329"/>
    </row>
  </sheetData>
  <mergeCells count="44">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6:D26"/>
    <mergeCell ref="A27:D27"/>
    <mergeCell ref="A28:D28"/>
    <mergeCell ref="A29:D29"/>
    <mergeCell ref="A30:D30"/>
    <mergeCell ref="A31:D31"/>
    <mergeCell ref="A32:D32"/>
    <mergeCell ref="A33:D33"/>
    <mergeCell ref="A20:B21"/>
    <mergeCell ref="A15:D15"/>
    <mergeCell ref="C1:D1"/>
    <mergeCell ref="A16:C16"/>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topLeftCell="A13" zoomScaleSheetLayoutView="100" workbookViewId="0">
      <selection activeCell="B40" sqref="B40:F40"/>
    </sheetView>
  </sheetViews>
  <sheetFormatPr defaultColWidth="9.140625" defaultRowHeight="15"/>
  <cols>
    <col min="1" max="1" width="3.42578125" style="10" customWidth="1"/>
    <col min="2" max="3" width="17.85546875" style="15" customWidth="1"/>
    <col min="4" max="4" width="15" style="15" customWidth="1"/>
    <col min="5" max="5" width="17.85546875" style="15" customWidth="1"/>
    <col min="6" max="6" width="9" style="15" customWidth="1"/>
    <col min="7" max="7" width="4.7109375" style="15" customWidth="1"/>
    <col min="8" max="16384" width="9.140625" style="10"/>
  </cols>
  <sheetData>
    <row r="1" spans="2:7" ht="15.75" thickBot="1"/>
    <row r="2" spans="2:7" ht="62.25" customHeight="1">
      <c r="B2" s="343" t="str">
        <f>malumot!B156</f>
        <v>«CLEVER MIKROMOLIYA TASHKILOTI» MChJ</v>
      </c>
      <c r="C2" s="344"/>
      <c r="D2" s="344"/>
      <c r="E2" s="344"/>
      <c r="F2" s="345"/>
      <c r="G2" s="35"/>
    </row>
    <row r="3" spans="2:7">
      <c r="B3" s="336"/>
      <c r="C3" s="309"/>
      <c r="D3" s="309"/>
      <c r="E3" s="309"/>
      <c r="F3" s="337"/>
      <c r="G3" s="36"/>
    </row>
    <row r="4" spans="2:7" ht="8.25" customHeight="1">
      <c r="B4" s="47"/>
      <c r="F4" s="48"/>
      <c r="G4" s="36"/>
    </row>
    <row r="5" spans="2:7" ht="12" customHeight="1">
      <c r="B5" s="38"/>
      <c r="C5" s="36"/>
      <c r="D5" s="36"/>
      <c r="E5" s="36"/>
      <c r="F5" s="39"/>
      <c r="G5" s="36"/>
    </row>
    <row r="6" spans="2:7" ht="6.75" customHeight="1">
      <c r="B6" s="38"/>
      <c r="C6" s="36"/>
      <c r="D6" s="36"/>
      <c r="E6" s="36"/>
      <c r="F6" s="39"/>
      <c r="G6" s="36"/>
    </row>
    <row r="7" spans="2:7" ht="6.75" customHeight="1">
      <c r="B7" s="38"/>
      <c r="C7" s="36"/>
      <c r="D7" s="36"/>
      <c r="E7" s="36"/>
      <c r="F7" s="39"/>
      <c r="G7" s="36"/>
    </row>
    <row r="8" spans="2:7">
      <c r="B8" s="38"/>
      <c r="C8" s="36"/>
      <c r="D8" s="36"/>
      <c r="E8" s="36"/>
      <c r="F8" s="39"/>
      <c r="G8" s="36"/>
    </row>
    <row r="9" spans="2:7">
      <c r="B9" s="38"/>
      <c r="C9" s="36"/>
      <c r="D9" s="36"/>
      <c r="E9" s="36"/>
      <c r="F9" s="39"/>
      <c r="G9" s="36"/>
    </row>
    <row r="10" spans="2:7">
      <c r="B10" s="336" t="s">
        <v>24</v>
      </c>
      <c r="C10" s="309"/>
      <c r="D10" s="309"/>
      <c r="E10" s="309"/>
      <c r="F10" s="337"/>
      <c r="G10" s="36"/>
    </row>
    <row r="11" spans="2:7">
      <c r="B11" s="336" t="s">
        <v>24</v>
      </c>
      <c r="C11" s="309"/>
      <c r="D11" s="309"/>
      <c r="E11" s="309"/>
      <c r="F11" s="337"/>
      <c r="G11" s="36"/>
    </row>
    <row r="12" spans="2:7" ht="135" customHeight="1">
      <c r="B12" s="346" t="str">
        <f>malumot!B5</f>
        <v>DJURAKULOVA SANAM ASHUROVNA</v>
      </c>
      <c r="C12" s="347"/>
      <c r="D12" s="347"/>
      <c r="E12" s="347"/>
      <c r="F12" s="348"/>
      <c r="G12" s="37"/>
    </row>
    <row r="13" spans="2:7">
      <c r="B13" s="336"/>
      <c r="C13" s="309"/>
      <c r="D13" s="309"/>
      <c r="E13" s="309"/>
      <c r="F13" s="337"/>
      <c r="G13" s="36"/>
    </row>
    <row r="14" spans="2:7">
      <c r="B14" s="38"/>
      <c r="C14" s="36"/>
      <c r="D14" s="36"/>
      <c r="E14" s="36"/>
      <c r="F14" s="39"/>
      <c r="G14" s="36"/>
    </row>
    <row r="15" spans="2:7">
      <c r="B15" s="38"/>
      <c r="C15" s="36"/>
      <c r="D15" s="36"/>
      <c r="E15" s="36"/>
      <c r="F15" s="39"/>
      <c r="G15" s="36"/>
    </row>
    <row r="16" spans="2:7">
      <c r="B16" s="38"/>
      <c r="C16" s="36"/>
      <c r="D16" s="36"/>
      <c r="E16" s="36"/>
      <c r="F16" s="39"/>
      <c r="G16" s="36"/>
    </row>
    <row r="17" spans="2:7">
      <c r="B17" s="38"/>
      <c r="C17" s="36"/>
      <c r="D17" s="36"/>
      <c r="E17" s="36"/>
      <c r="F17" s="39"/>
      <c r="G17" s="36"/>
    </row>
    <row r="18" spans="2:7">
      <c r="B18" s="336"/>
      <c r="C18" s="309"/>
      <c r="D18" s="309"/>
      <c r="E18" s="309"/>
      <c r="F18" s="337"/>
      <c r="G18" s="36"/>
    </row>
    <row r="19" spans="2:7" ht="20.25">
      <c r="B19" s="340" t="str">
        <f>""&amp;malumot!C64&amp;" shartnoma "&amp;malumot!B74&amp;""</f>
        <v>Mikroqarz shartnoma 10 aprel 2025 y.dan №745-SM</v>
      </c>
      <c r="C19" s="341"/>
      <c r="D19" s="341"/>
      <c r="E19" s="341"/>
      <c r="F19" s="342"/>
      <c r="G19" s="36"/>
    </row>
    <row r="20" spans="2:7">
      <c r="B20" s="336"/>
      <c r="C20" s="309"/>
      <c r="D20" s="309"/>
      <c r="E20" s="309"/>
      <c r="F20" s="337"/>
      <c r="G20" s="36"/>
    </row>
    <row r="21" spans="2:7">
      <c r="B21" s="336"/>
      <c r="C21" s="309"/>
      <c r="D21" s="309"/>
      <c r="E21" s="309"/>
      <c r="F21" s="337"/>
      <c r="G21" s="36"/>
    </row>
    <row r="22" spans="2:7">
      <c r="B22" s="336"/>
      <c r="C22" s="309"/>
      <c r="D22" s="309"/>
      <c r="E22" s="309"/>
      <c r="F22" s="337"/>
      <c r="G22" s="36"/>
    </row>
    <row r="23" spans="2:7">
      <c r="B23" s="336"/>
      <c r="C23" s="309"/>
      <c r="D23" s="309"/>
      <c r="E23" s="309"/>
      <c r="F23" s="337"/>
      <c r="G23" s="36"/>
    </row>
    <row r="24" spans="2:7">
      <c r="B24" s="338" t="str">
        <f>" Foiz stavkasi: "&amp;malumot!B85&amp;"%"</f>
        <v xml:space="preserve"> Foiz stavkasi: 55%</v>
      </c>
      <c r="C24" s="287"/>
      <c r="D24" s="287"/>
      <c r="E24" s="287"/>
      <c r="F24" s="339"/>
      <c r="G24" s="36"/>
    </row>
    <row r="25" spans="2:7" ht="15" customHeight="1">
      <c r="B25" s="338" t="str">
        <f>" "&amp;malumot!C64&amp;" muddati: "&amp;malumot!B81&amp;" oy"</f>
        <v xml:space="preserve"> Mikroqarz muddati: 24 oy</v>
      </c>
      <c r="C25" s="287"/>
      <c r="D25" s="287"/>
      <c r="E25" s="287"/>
      <c r="F25" s="339"/>
      <c r="G25" s="36"/>
    </row>
    <row r="26" spans="2:7">
      <c r="B26" s="338" t="str">
        <f>" "&amp;malumot!C64&amp;" miqdori: "&amp;FIXED(malumot!B75,2)&amp;" so'm"</f>
        <v xml:space="preserve"> Mikroqarz miqdori: 40 000 000,00 so'm</v>
      </c>
      <c r="C26" s="287"/>
      <c r="D26" s="287"/>
      <c r="E26" s="287"/>
      <c r="F26" s="339"/>
      <c r="G26" s="36"/>
    </row>
    <row r="27" spans="2:7">
      <c r="B27" s="336"/>
      <c r="C27" s="309"/>
      <c r="D27" s="309"/>
      <c r="E27" s="309"/>
      <c r="F27" s="337"/>
      <c r="G27" s="36"/>
    </row>
    <row r="28" spans="2:7" hidden="1">
      <c r="G28" s="36"/>
    </row>
    <row r="29" spans="2:7">
      <c r="B29" s="336"/>
      <c r="C29" s="309"/>
      <c r="D29" s="309"/>
      <c r="E29" s="309"/>
      <c r="F29" s="337"/>
      <c r="G29" s="36"/>
    </row>
    <row r="30" spans="2:7" ht="12.75" customHeight="1">
      <c r="B30" s="38"/>
      <c r="C30" s="36"/>
      <c r="D30" s="36"/>
      <c r="E30" s="36"/>
      <c r="F30" s="39"/>
      <c r="G30" s="36"/>
    </row>
    <row r="31" spans="2:7">
      <c r="B31" s="38"/>
      <c r="C31" s="36"/>
      <c r="D31" s="36"/>
      <c r="E31" s="36"/>
      <c r="F31" s="39"/>
      <c r="G31" s="36"/>
    </row>
    <row r="32" spans="2:7" ht="2.25" customHeight="1">
      <c r="B32" s="38"/>
      <c r="C32" s="36"/>
      <c r="D32" s="36"/>
      <c r="E32" s="36"/>
      <c r="F32" s="39"/>
      <c r="G32" s="36"/>
    </row>
    <row r="33" spans="2:7">
      <c r="B33" s="38"/>
      <c r="C33" s="36"/>
      <c r="D33" s="36"/>
      <c r="E33" s="36"/>
      <c r="F33" s="39"/>
      <c r="G33" s="36"/>
    </row>
    <row r="34" spans="2:7">
      <c r="B34" s="38"/>
      <c r="C34" s="36"/>
      <c r="D34" s="36"/>
      <c r="E34" s="36"/>
      <c r="F34" s="39"/>
      <c r="G34" s="36"/>
    </row>
    <row r="35" spans="2:7">
      <c r="B35" s="38"/>
      <c r="C35" s="36"/>
      <c r="D35" s="36"/>
      <c r="E35" s="36"/>
      <c r="F35" s="39"/>
      <c r="G35" s="36"/>
    </row>
    <row r="36" spans="2:7">
      <c r="B36" s="38"/>
      <c r="C36" s="36"/>
      <c r="D36" s="36"/>
      <c r="E36" s="36"/>
      <c r="F36" s="39"/>
      <c r="G36" s="36"/>
    </row>
    <row r="37" spans="2:7">
      <c r="B37" s="38"/>
      <c r="C37" s="36"/>
      <c r="D37" s="36"/>
      <c r="E37" s="36"/>
      <c r="F37" s="39"/>
      <c r="G37" s="36"/>
    </row>
    <row r="38" spans="2:7">
      <c r="B38" s="38"/>
      <c r="C38" s="36"/>
      <c r="D38" s="36"/>
      <c r="E38" s="36"/>
      <c r="F38" s="39"/>
      <c r="G38" s="36"/>
    </row>
    <row r="39" spans="2:7">
      <c r="B39" s="38"/>
      <c r="C39" s="36"/>
      <c r="D39" s="36"/>
      <c r="E39" s="36"/>
      <c r="F39" s="39"/>
      <c r="G39" s="36"/>
    </row>
    <row r="40" spans="2:7" ht="15.75" thickBot="1">
      <c r="B40" s="333" t="str">
        <f>"Toshkent sh., "&amp;malumot!B70&amp;""</f>
        <v>Toshkent sh., 10 aprel 2025 y.</v>
      </c>
      <c r="C40" s="334"/>
      <c r="D40" s="334"/>
      <c r="E40" s="334"/>
      <c r="F40" s="335"/>
      <c r="G40" s="36"/>
    </row>
    <row r="41" spans="2:7">
      <c r="B41" s="309"/>
      <c r="C41" s="309"/>
      <c r="D41" s="309"/>
      <c r="E41" s="309"/>
      <c r="F41" s="309"/>
      <c r="G41" s="36"/>
    </row>
    <row r="42" spans="2:7">
      <c r="B42" s="309"/>
      <c r="C42" s="309"/>
      <c r="D42" s="309"/>
      <c r="E42" s="309"/>
      <c r="F42" s="309"/>
      <c r="G42" s="36"/>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6" zoomScaleSheetLayoutView="100" workbookViewId="0">
      <selection activeCell="F26" sqref="F26"/>
    </sheetView>
  </sheetViews>
  <sheetFormatPr defaultColWidth="9.140625" defaultRowHeight="12.75"/>
  <cols>
    <col min="1" max="6" width="14.28515625" style="19" customWidth="1"/>
    <col min="7" max="16384" width="9.140625" style="19"/>
  </cols>
  <sheetData>
    <row r="1" spans="1:6">
      <c r="A1" s="350" t="s">
        <v>212</v>
      </c>
      <c r="B1" s="350"/>
      <c r="C1" s="350"/>
      <c r="D1" s="350"/>
      <c r="E1" s="350"/>
      <c r="F1" s="350"/>
    </row>
    <row r="2" spans="1:6" ht="35.25" customHeight="1">
      <c r="A2" s="351" t="s">
        <v>320</v>
      </c>
      <c r="B2" s="351"/>
      <c r="C2" s="351"/>
      <c r="D2" s="351"/>
      <c r="E2" s="351"/>
      <c r="F2" s="351"/>
    </row>
    <row r="3" spans="1:6">
      <c r="A3" s="350" t="s">
        <v>213</v>
      </c>
      <c r="B3" s="350"/>
      <c r="C3" s="350"/>
      <c r="D3" s="350"/>
      <c r="E3" s="350"/>
      <c r="F3" s="350"/>
    </row>
    <row r="4" spans="1:6">
      <c r="A4" s="349" t="str">
        <f>xulosa!A4:E4</f>
        <v>Mijozning to'liq ismi sharifi: DJURAKULOVA SANAM ASHUROVNA</v>
      </c>
      <c r="B4" s="349"/>
      <c r="C4" s="349"/>
      <c r="D4" s="349"/>
      <c r="E4" s="349"/>
      <c r="F4" s="349"/>
    </row>
    <row r="5" spans="1:6">
      <c r="A5" s="349" t="str">
        <f>xulosa!A5:E5</f>
        <v>Tug'ilgan sanasi: 18.07.1970 y</v>
      </c>
      <c r="B5" s="349"/>
      <c r="C5" s="349"/>
      <c r="D5" s="349"/>
      <c r="E5" s="349"/>
      <c r="F5" s="349"/>
    </row>
    <row r="6" spans="1:6" ht="32.25" customHeight="1">
      <c r="A6" s="349" t="str">
        <f>xulosa!A6:E6</f>
        <v>Pasport seriyasi AB 0252157 SAMARQAND VILOYATI SAMARQAND SHAHAR IIB tomonidan 29.06.2015 yilda berilgan, amal qilish muddati - 28.06.2025 y.</v>
      </c>
      <c r="B6" s="349"/>
      <c r="C6" s="349"/>
      <c r="D6" s="349"/>
      <c r="E6" s="349"/>
      <c r="F6" s="349"/>
    </row>
    <row r="7" spans="1:6">
      <c r="A7" s="349" t="str">
        <f>"Fuqaroligi: "&amp;malumot!B32&amp;""</f>
        <v>Fuqaroligi: O’zbekiston Respublikasi</v>
      </c>
      <c r="B7" s="349"/>
      <c r="C7" s="349"/>
      <c r="D7" s="349"/>
      <c r="E7" s="349"/>
      <c r="F7" s="349"/>
    </row>
    <row r="8" spans="1:6" ht="26.25" customHeight="1">
      <c r="A8" s="349" t="str">
        <f>xulosa!A7:E7</f>
        <v>Ro‘yxatdan o‘tgan manzili: SAMARQAND VILOYATI SAMARQAND SHAHAR BOG'ISARIY MAHALLASI SPITAMENSHOX KO'CHASI 252 UY, mo'ljal: SUPER XOTDOG. PED INSTITUTDAN O'TGANDA KOICAGA YETMASDAN</v>
      </c>
      <c r="B8" s="349"/>
      <c r="C8" s="349"/>
      <c r="D8" s="349"/>
      <c r="E8" s="349"/>
      <c r="F8" s="349"/>
    </row>
    <row r="9" spans="1:6">
      <c r="A9" s="349" t="str">
        <f>IF(malumot!B23="mos keladi"," ",mijoz_anketasi!A10:F10)</f>
        <v xml:space="preserve"> </v>
      </c>
      <c r="B9" s="349"/>
      <c r="C9" s="349"/>
      <c r="D9" s="349"/>
      <c r="E9" s="349"/>
      <c r="F9" s="349"/>
    </row>
    <row r="10" spans="1:6" ht="31.5" hidden="1" customHeight="1">
      <c r="A10" s="349" t="str">
        <f>"Haqiqatdan yashash joy manzili: "&amp;malumot!B28&amp;""</f>
        <v>Haqiqatdan yashash joy manzili: SAMARQAND VILOYATI SAMARQAND SHAHAR BOG'ISARIY MAHALLASI SPITAMENSHOX KO'CHASI 252 UY</v>
      </c>
      <c r="B10" s="349"/>
      <c r="C10" s="349"/>
      <c r="D10" s="349"/>
      <c r="E10" s="349"/>
      <c r="F10" s="349"/>
    </row>
    <row r="11" spans="1:6" ht="16.5" hidden="1" customHeight="1">
      <c r="A11" s="349" t="str">
        <f>xulosa!A8:E8</f>
        <v>Ish joyi:  lavozimi Yakka tartibdagi tadbirkorda Yakka tartibdagi tadbirkor</v>
      </c>
      <c r="B11" s="349"/>
      <c r="C11" s="349"/>
      <c r="D11" s="349"/>
      <c r="E11" s="349"/>
      <c r="F11" s="349"/>
    </row>
    <row r="12" spans="1:6">
      <c r="A12" s="350" t="s">
        <v>214</v>
      </c>
      <c r="B12" s="350"/>
      <c r="C12" s="350"/>
      <c r="D12" s="350"/>
      <c r="E12" s="350"/>
      <c r="F12" s="350"/>
    </row>
    <row r="13" spans="1:6">
      <c r="A13" s="349" t="str">
        <f>"Uy telefoni raqami: "&amp;malumot!B40&amp;""</f>
        <v>Uy telefoni raqami: 90 606-09-53 UZI</v>
      </c>
      <c r="B13" s="349"/>
      <c r="C13" s="349"/>
      <c r="D13" s="349"/>
      <c r="E13" s="349"/>
      <c r="F13" s="349"/>
    </row>
    <row r="14" spans="1:6">
      <c r="A14" s="349" t="str">
        <f>"Uyali telefon raqami: "&amp;malumot!B41&amp;""</f>
        <v>Uyali telefon raqami: 90 504-18-38 JASUR JIYANI</v>
      </c>
      <c r="B14" s="349"/>
      <c r="C14" s="349"/>
      <c r="D14" s="349"/>
      <c r="E14" s="349"/>
      <c r="F14" s="349"/>
    </row>
    <row r="15" spans="1:6">
      <c r="A15" s="349" t="str">
        <f>"Uyali telefon raqami: "&amp;malumot!B42&amp;""</f>
        <v>Uyali telefon raqami: 77 007-88-07 (2 nomeri)</v>
      </c>
      <c r="B15" s="349"/>
      <c r="C15" s="349"/>
      <c r="D15" s="349"/>
      <c r="E15" s="349"/>
      <c r="F15" s="349"/>
    </row>
    <row r="16" spans="1:6" hidden="1">
      <c r="A16" s="349" t="str">
        <f>"Uyali telefon raqami: "&amp;malumot!B42&amp;""</f>
        <v>Uyali telefon raqami: 77 007-88-07 (2 nomeri)</v>
      </c>
      <c r="B16" s="349"/>
      <c r="C16" s="349"/>
      <c r="D16" s="349"/>
      <c r="E16" s="349"/>
      <c r="F16" s="349"/>
    </row>
    <row r="17" spans="1:6">
      <c r="A17" s="349" t="str">
        <f>"Ish telefoni raqami: "&amp;malumot!B43&amp;""</f>
        <v xml:space="preserve">Ish telefoni raqami: </v>
      </c>
      <c r="B17" s="349"/>
      <c r="C17" s="349"/>
      <c r="D17" s="349"/>
      <c r="E17" s="349"/>
      <c r="F17" s="349"/>
    </row>
    <row r="18" spans="1:6">
      <c r="A18" s="350" t="s">
        <v>215</v>
      </c>
      <c r="B18" s="350"/>
      <c r="C18" s="350"/>
      <c r="D18" s="350"/>
      <c r="E18" s="350"/>
      <c r="F18" s="350"/>
    </row>
    <row r="19" spans="1:6">
      <c r="A19" s="349" t="str">
        <f>"Muassasa nomlanishi:"&amp;malumot!B58&amp;""</f>
        <v>Muassasa nomlanishi:Yakka tartibdagi tadbirkor</v>
      </c>
      <c r="B19" s="349"/>
      <c r="C19" s="349"/>
      <c r="D19" s="349"/>
      <c r="E19" s="349"/>
      <c r="F19" s="349"/>
    </row>
    <row r="20" spans="1:6">
      <c r="A20" s="349" t="str">
        <f>"Ro‘yxatdan o‘tish manzili:"&amp;malumot!B50&amp;""</f>
        <v>Ro‘yxatdan o‘tish manzili:</v>
      </c>
      <c r="B20" s="349"/>
      <c r="C20" s="349"/>
      <c r="D20" s="349"/>
      <c r="E20" s="349"/>
      <c r="F20" s="349"/>
    </row>
    <row r="21" spans="1:6">
      <c r="A21" s="349" t="str">
        <f>"Lavozimi: "&amp;malumot!B59&amp;""</f>
        <v>Lavozimi: Yakka tartibdagi tadbirkor</v>
      </c>
      <c r="B21" s="349"/>
      <c r="C21" s="349"/>
      <c r="D21" s="349"/>
      <c r="E21" s="349"/>
      <c r="F21" s="349"/>
    </row>
    <row r="22" spans="1:6">
      <c r="A22" s="350" t="s">
        <v>216</v>
      </c>
      <c r="B22" s="352"/>
      <c r="C22" s="352"/>
      <c r="D22" s="352"/>
      <c r="E22" s="352"/>
      <c r="F22" s="352"/>
    </row>
    <row r="23" spans="1:6" s="21" customFormat="1" ht="25.5">
      <c r="A23" s="20" t="s">
        <v>217</v>
      </c>
      <c r="B23" s="20" t="s">
        <v>218</v>
      </c>
      <c r="C23" s="20" t="s">
        <v>219</v>
      </c>
      <c r="D23" s="20" t="s">
        <v>220</v>
      </c>
      <c r="E23" s="20" t="s">
        <v>221</v>
      </c>
      <c r="F23" s="20" t="s">
        <v>222</v>
      </c>
    </row>
    <row r="24" spans="1:6" ht="51">
      <c r="A24" s="22" t="s">
        <v>223</v>
      </c>
      <c r="B24" s="23">
        <f>malumot!B60</f>
        <v>12000000</v>
      </c>
      <c r="C24" s="23">
        <v>0</v>
      </c>
      <c r="D24" s="23">
        <v>0</v>
      </c>
      <c r="E24" s="22" t="s">
        <v>226</v>
      </c>
      <c r="F24" s="23">
        <v>700000</v>
      </c>
    </row>
    <row r="25" spans="1:6" ht="25.5">
      <c r="A25" s="22" t="s">
        <v>224</v>
      </c>
      <c r="B25" s="23">
        <v>0</v>
      </c>
      <c r="C25" s="23">
        <v>0</v>
      </c>
      <c r="D25" s="23">
        <v>0</v>
      </c>
      <c r="E25" s="22" t="s">
        <v>227</v>
      </c>
      <c r="F25" s="23">
        <v>450000</v>
      </c>
    </row>
    <row r="26" spans="1:6" ht="28.5" customHeight="1">
      <c r="A26" s="22" t="s">
        <v>225</v>
      </c>
      <c r="B26" s="23">
        <f>malumot!B61</f>
        <v>0</v>
      </c>
      <c r="C26" s="23">
        <v>0</v>
      </c>
      <c r="D26" s="23">
        <v>0</v>
      </c>
      <c r="E26" s="22" t="s">
        <v>228</v>
      </c>
      <c r="F26" s="23">
        <v>500000</v>
      </c>
    </row>
    <row r="27" spans="1:6" s="26" customFormat="1">
      <c r="A27" s="24" t="s">
        <v>204</v>
      </c>
      <c r="B27" s="25">
        <f>B24+B25+B26</f>
        <v>12000000</v>
      </c>
      <c r="C27" s="25">
        <f t="shared" ref="C27:D27" si="0">SUM(C24:C26)</f>
        <v>0</v>
      </c>
      <c r="D27" s="25">
        <f t="shared" si="0"/>
        <v>0</v>
      </c>
      <c r="E27" s="24"/>
      <c r="F27" s="25">
        <f>F24+F25+F26</f>
        <v>1650000</v>
      </c>
    </row>
    <row r="28" spans="1:6" ht="31.5" customHeight="1">
      <c r="A28" s="349" t="str">
        <f>"Men, "&amp;malumot!B5&amp;", ushbu anketada ko‘rsatilgan barcha ma'lumotlar anketa to'ldirilgan sanada  to'g'ri va aniq ekanligini tasdiqlayman."</f>
        <v>Men, DJURAKULOVA SANAM ASHUROVNA, ushbu anketada ko‘rsatilgan barcha ma'lumotlar anketa to'ldirilgan sanada  to'g'ri va aniq ekanligini tasdiqlayman.</v>
      </c>
      <c r="B28" s="349"/>
      <c r="C28" s="349"/>
      <c r="D28" s="349"/>
      <c r="E28" s="349"/>
      <c r="F28" s="349"/>
    </row>
    <row r="29" spans="1:6">
      <c r="A29" s="349" t="str">
        <f>"Men,  "&amp;malumot!B5&amp;", quyidagilarni tan olaman va roziman::"</f>
        <v>Men,  DJURAKULOVA SANAM ASHUROVNA, quyidagilarni tan olaman va roziman::</v>
      </c>
      <c r="B29" s="349"/>
      <c r="C29" s="349"/>
      <c r="D29" s="349"/>
      <c r="E29" s="349"/>
      <c r="F29" s="349"/>
    </row>
    <row r="30" spans="1:6" ht="45.75" customHeight="1">
      <c r="A30" s="349" t="str">
        <f>"1.  Ushbu anketada ko‘rsatilgan har qanday ma’lumot  "&amp;malumot!B155&amp;",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9"/>
      <c r="C30" s="349"/>
      <c r="D30" s="349"/>
      <c r="E30" s="349"/>
      <c r="F30" s="349"/>
    </row>
    <row r="31" spans="1:6" ht="42.75" customHeight="1">
      <c r="A31" s="349" t="str">
        <f>"2. Mazkur anketaning "&amp;malumot!B155&amp;"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9"/>
      <c r="C31" s="349"/>
      <c r="D31" s="349"/>
      <c r="E31" s="349"/>
      <c r="F31" s="349"/>
    </row>
    <row r="32" spans="1:6" ht="71.25" customHeight="1">
      <c r="A32" s="349" t="s">
        <v>229</v>
      </c>
      <c r="B32" s="349"/>
      <c r="C32" s="349"/>
      <c r="D32" s="349"/>
      <c r="E32" s="349"/>
      <c r="F32" s="349"/>
    </row>
    <row r="33" spans="1:6">
      <c r="A33" s="349"/>
      <c r="B33" s="349"/>
      <c r="C33" s="349"/>
      <c r="D33" s="349"/>
      <c r="E33" s="349"/>
      <c r="F33" s="349"/>
    </row>
    <row r="34" spans="1:6" ht="12.75" customHeight="1">
      <c r="A34" s="352" t="s">
        <v>230</v>
      </c>
      <c r="B34" s="352"/>
      <c r="C34" s="352"/>
      <c r="D34" s="125" t="s">
        <v>154</v>
      </c>
      <c r="E34" s="352" t="s">
        <v>231</v>
      </c>
      <c r="F34" s="352"/>
    </row>
    <row r="35" spans="1:6" ht="25.5" customHeight="1">
      <c r="A35" s="353"/>
      <c r="B35" s="353"/>
      <c r="C35" s="353"/>
      <c r="D35" s="354" t="str">
        <f>malumot!B2</f>
        <v>10.04.2025</v>
      </c>
      <c r="E35" s="353"/>
      <c r="F35" s="353"/>
    </row>
    <row r="36" spans="1:6" ht="25.5" customHeight="1">
      <c r="A36" s="353"/>
      <c r="B36" s="353"/>
      <c r="C36" s="353"/>
      <c r="D36" s="354"/>
      <c r="E36" s="353"/>
      <c r="F36" s="353"/>
    </row>
    <row r="37" spans="1:6">
      <c r="A37" s="349"/>
      <c r="B37" s="349"/>
      <c r="C37" s="349"/>
      <c r="D37" s="349"/>
      <c r="E37" s="349"/>
      <c r="F37" s="349"/>
    </row>
    <row r="38" spans="1:6">
      <c r="A38" s="349"/>
      <c r="B38" s="349"/>
      <c r="C38" s="349"/>
      <c r="D38" s="349"/>
      <c r="E38" s="349"/>
      <c r="F38" s="349"/>
    </row>
    <row r="39" spans="1:6">
      <c r="A39" s="349"/>
      <c r="B39" s="349"/>
      <c r="C39" s="349"/>
      <c r="D39" s="349"/>
      <c r="E39" s="349"/>
      <c r="F39" s="349"/>
    </row>
    <row r="40" spans="1:6">
      <c r="A40" s="349"/>
      <c r="B40" s="349"/>
      <c r="C40" s="349"/>
      <c r="D40" s="349"/>
      <c r="E40" s="349"/>
      <c r="F40" s="349"/>
    </row>
    <row r="41" spans="1:6">
      <c r="A41" s="349"/>
      <c r="B41" s="349"/>
      <c r="C41" s="349"/>
      <c r="D41" s="349"/>
      <c r="E41" s="349"/>
      <c r="F41" s="349"/>
    </row>
    <row r="42" spans="1:6">
      <c r="A42" s="349"/>
      <c r="B42" s="349"/>
      <c r="C42" s="349"/>
      <c r="D42" s="349"/>
      <c r="E42" s="349"/>
      <c r="F42" s="349"/>
    </row>
    <row r="43" spans="1:6">
      <c r="A43" s="349"/>
      <c r="B43" s="349"/>
      <c r="C43" s="349"/>
      <c r="D43" s="349"/>
      <c r="E43" s="349"/>
      <c r="F43" s="349"/>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A7" sqref="A7"/>
    </sheetView>
  </sheetViews>
  <sheetFormatPr defaultRowHeight="15"/>
  <cols>
    <col min="1" max="1" width="54.42578125" style="10" customWidth="1"/>
    <col min="2" max="2" width="32.28515625" style="10" customWidth="1"/>
  </cols>
  <sheetData>
    <row r="3" spans="1:2" ht="35.25" customHeight="1">
      <c r="A3" s="355" t="s">
        <v>209</v>
      </c>
      <c r="B3" s="355"/>
    </row>
    <row r="4" spans="1:2" ht="92.25" customHeight="1">
      <c r="A4" s="283" t="str">
        <f>"     Men, fuqaro "&amp;malumot!B5&amp;" "&amp;malumot!B157&amp;" bilan "&amp;malumot!B69&amp;" sanasidagi "&amp;malumot!B66&amp;"-sonli shartnomaning garov ta'minoti sifatida taqdim etilayotgan mulk "&amp;malumot!B133&amp;" rusumli avtotransport vositasini qonunga xilof ravishda o‘zlashtirmaslikka, yashirmaslikka, nobud qilmaslikka yoki unga shikast yetkazmaslik majburiyatini olaman."</f>
        <v xml:space="preserve">     Men, fuqaro DJURAKULOVA SANAM ASHUROVNA «CLEVER MIKROMOLIYA TASHKILOTI» MChJ bilan 10 aprel 2025 y. sanasidagi №745-SM-sonli shartnomaning garov ta'minoti sifatida taqdim etilayotgan mulk LACETTI rusumli avtotransport vositasini qonunga xilof ravishda o‘zlashtirmaslikka, yashirmaslikka, nobud qilmaslikka yoki unga shikast yetkazmaslik majburiyatini olaman.</v>
      </c>
      <c r="B4" s="283"/>
    </row>
    <row r="5" spans="1:2" ht="56.25" customHeight="1">
      <c r="A5" s="356" t="s">
        <v>210</v>
      </c>
      <c r="B5" s="356"/>
    </row>
    <row r="6" spans="1:2" ht="42.75" customHeight="1"/>
    <row r="7" spans="1:2">
      <c r="A7" s="10" t="str">
        <f>malumot!B5</f>
        <v>DJURAKULOVA SANAM ASHUROVNA</v>
      </c>
      <c r="B7" s="115" t="s">
        <v>211</v>
      </c>
    </row>
    <row r="8" spans="1:2" ht="26.25" customHeight="1"/>
    <row r="9" spans="1:2" ht="26.25" customHeight="1"/>
    <row r="10" spans="1:2" ht="26.25" customHeight="1"/>
    <row r="11" spans="1:2">
      <c r="A11" s="10" t="str">
        <f>"sana:   "&amp;TEXT(malumot!B2,"ДД.ММ.ГГГГ")&amp;" y."</f>
        <v>sana:   10.04.2025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6">
    <tabColor rgb="FF00B050"/>
  </sheetPr>
  <dimension ref="A1:E78"/>
  <sheetViews>
    <sheetView view="pageBreakPreview" topLeftCell="A19" zoomScaleSheetLayoutView="100" workbookViewId="0">
      <selection activeCell="A30" sqref="A30:D30"/>
    </sheetView>
  </sheetViews>
  <sheetFormatPr defaultColWidth="9.140625" defaultRowHeight="15.75"/>
  <cols>
    <col min="1" max="1" width="20.140625" style="4" customWidth="1"/>
    <col min="2" max="2" width="18.7109375" style="4" customWidth="1"/>
    <col min="3" max="3" width="19.7109375" style="4" customWidth="1"/>
    <col min="4" max="4" width="20.140625" style="4" bestFit="1" customWidth="1"/>
    <col min="5" max="16384" width="9.140625" style="4"/>
  </cols>
  <sheetData>
    <row r="1" spans="1:4" ht="53.25" customHeight="1">
      <c r="C1" s="357" t="str">
        <f>""&amp;malumot!B155&amp;"ning
"&amp;malumot!A158&amp;""</f>
        <v>«CLEVER MIKROMOLIYA TASHKILOTI» MChJning
Samarqand filiali boshlig'i</v>
      </c>
      <c r="D1" s="357"/>
    </row>
    <row r="2" spans="1:4">
      <c r="C2" s="8"/>
      <c r="D2" s="9" t="str">
        <f>""&amp;malumot!B158&amp;"ga"</f>
        <v>S.Asrorovga</v>
      </c>
    </row>
    <row r="3" spans="1:4" hidden="1"/>
    <row r="4" spans="1:4">
      <c r="A4" s="280" t="str">
        <f>""&amp;malumot!C64&amp;" olish uchun Ariza"</f>
        <v>Mikroqarz olish uchun Ariza</v>
      </c>
      <c r="B4" s="280"/>
      <c r="C4" s="280"/>
      <c r="D4" s="280"/>
    </row>
    <row r="5" spans="1:4" ht="11.25" customHeight="1">
      <c r="A5" s="280"/>
      <c r="B5" s="280"/>
      <c r="C5" s="280"/>
      <c r="D5" s="280"/>
    </row>
    <row r="6" spans="1:4" ht="45" customHeight="1">
      <c r="A6" s="329" t="str">
        <f>""&amp;malumot!B28&amp;".-da yashovchi O‘zbekiston Respublikasi fuqarosi "&amp;malumot!B8&amp;"dan. "</f>
        <v xml:space="preserve">SAMARQAND VILOYATI SAMARQAND SHAHAR BOG'ISARIY MAHALLASI SPITAMENSHOX KO'CHASI 252 UY.-da yashovchi O‘zbekiston Respublikasi fuqarosi DJURAKULOVA SANAM ASHUROVNAdan. </v>
      </c>
      <c r="B6" s="329"/>
      <c r="C6" s="329"/>
      <c r="D6" s="329"/>
    </row>
    <row r="7" spans="1:4" ht="15.75" customHeight="1">
      <c r="A7" s="329" t="str">
        <f>"Tug'ilgan kuni: "&amp;malumot!B15&amp;""</f>
        <v>Tug'ilgan kuni: 18.07.1970 y</v>
      </c>
      <c r="B7" s="329"/>
      <c r="C7" s="329"/>
      <c r="D7" s="329"/>
    </row>
    <row r="8" spans="1:4" ht="33" customHeight="1">
      <c r="A8" s="329" t="str">
        <f>"Pasport seriyasi: "&amp;malumot!B16&amp;" "&amp;malumot!B20&amp;""</f>
        <v>Pasport seriyasi: AB 0252157 SAMARQAND VILOYATI SAMARQAND SHAHAR IIB tomonidan 29.06.2015 yilda berilgan</v>
      </c>
      <c r="B8" s="329"/>
      <c r="C8" s="329"/>
      <c r="D8" s="329"/>
    </row>
    <row r="9" spans="1:4" ht="16.5" customHeight="1">
      <c r="A9" s="329" t="str">
        <f>"Asosiy ish joyi : "&amp;malumot!B58&amp;""</f>
        <v>Asosiy ish joyi : Yakka tartibdagi tadbirkor</v>
      </c>
      <c r="B9" s="329"/>
      <c r="C9" s="329"/>
      <c r="D9" s="329"/>
    </row>
    <row r="10" spans="1:4" ht="15.75" customHeight="1">
      <c r="A10" s="329" t="str">
        <f>"Lavozimi: "&amp;malumot!B59&amp;""</f>
        <v>Lavozimi: Yakka tartibdagi tadbirkor</v>
      </c>
      <c r="B10" s="329"/>
      <c r="C10" s="329"/>
      <c r="D10" s="329"/>
    </row>
    <row r="11" spans="1:4">
      <c r="A11" s="329" t="str">
        <f>"O’rtacha oylik daromadi: "&amp;FIXED(malumot!B60,2)&amp;" so'm."</f>
        <v>O’rtacha oylik daromadi: 12 000 000,00 so'm.</v>
      </c>
      <c r="B11" s="329"/>
      <c r="C11" s="329"/>
      <c r="D11" s="329"/>
    </row>
    <row r="12" spans="1:4">
      <c r="A12" s="329" t="str">
        <f>"Menga quyidagi shartlarda "&amp;malumot!B65&amp;" berishingizni so’rayman:"</f>
        <v>Menga quyidagi shartlarda mikroqarz berishingizni so’rayman:</v>
      </c>
      <c r="B12" s="329"/>
      <c r="C12" s="329"/>
      <c r="D12" s="329"/>
    </row>
    <row r="13" spans="1:4">
      <c r="A13" s="329" t="str">
        <f>""&amp;malumot!C64&amp;" summasi: "&amp;FIXED(malumot!B75,2)&amp;" ("&amp;malumot!B76&amp;") so'm."</f>
        <v>Mikroqarz summasi: 40 000 000,00 (qirq million so'm) so'm.</v>
      </c>
      <c r="B13" s="329"/>
      <c r="C13" s="329"/>
      <c r="D13" s="329"/>
    </row>
    <row r="14" spans="1:4">
      <c r="A14" s="329" t="str">
        <f>""&amp;malumot!C64&amp;" muddati: "&amp;malumot!B81&amp;" ("&amp;malumot!B82&amp;") oy."</f>
        <v>Mikroqarz muddati: 24 (Yigirma to'rt  ) oy.</v>
      </c>
      <c r="B14" s="329"/>
      <c r="C14" s="329"/>
      <c r="D14" s="329"/>
    </row>
    <row r="15" spans="1:4" ht="17.25" customHeight="1">
      <c r="A15" s="329" t="str">
        <f>""&amp;malumot!C64&amp;"dan foydalanganlik uchun foiz stavkasi: yillik  "&amp;malumot!B85&amp;"% ("&amp;malumot!B86&amp;") foiz"</f>
        <v>Mikroqarzdan foydalanganlik uchun foiz stavkasi: yillik  55% (Ellik besh  ) foiz</v>
      </c>
      <c r="B15" s="329"/>
      <c r="C15" s="329"/>
      <c r="D15" s="329"/>
    </row>
    <row r="16" spans="1:4">
      <c r="A16" s="329" t="str">
        <f>""&amp;malumot!C64&amp;" bo'yicha asosiy qarz va foizlarni to'lash:"</f>
        <v>Mikroqarz bo'yicha asosiy qarz va foizlarni to'lash:</v>
      </c>
      <c r="B16" s="329"/>
      <c r="C16" s="329"/>
      <c r="D16" s="329"/>
    </row>
    <row r="17" spans="1:5" ht="20.25" hidden="1" customHeight="1">
      <c r="A17" s="358" t="str">
        <f>" - "&amp;malumot!B65&amp;" shartnomasi bo'yicha har oy differensial to'lovlari amalga oshiriladi"</f>
        <v xml:space="preserve"> - mikroqarz shartnomasi bo'yicha har oy differensial to'lovlari amalga oshiriladi</v>
      </c>
      <c r="B17" s="358"/>
      <c r="C17" s="358"/>
      <c r="D17" s="358"/>
    </row>
    <row r="18" spans="1:5" ht="33.75" hidden="1" customHeight="1">
      <c r="A18" s="358" t="str">
        <f>" - "&amp;malumot!B65&amp;" shartnomasi bo'yicha har oy annuitet to'lovlari amalga oshiriladi"</f>
        <v xml:space="preserve"> - mikroqarz shartnomasi bo'yicha har oy annuitet to'lovlari amalga oshiriladi</v>
      </c>
      <c r="B18" s="358"/>
      <c r="C18" s="358"/>
      <c r="D18" s="358"/>
    </row>
    <row r="19" spans="1:5" ht="24" customHeight="1">
      <c r="A19" s="358" t="str">
        <f>IF(malumot!B77=malumot!C77,kredit_ariza!A17:D17,IF(malumot!B77=malumot!D77,kredit_ariza!A18:D18))</f>
        <v xml:space="preserve"> - mikroqarz shartnomasi bo'yicha har oy differensial to'lovlari amalga oshiriladi</v>
      </c>
      <c r="B19" s="358"/>
      <c r="C19" s="358"/>
      <c r="D19" s="358"/>
    </row>
    <row r="20" spans="1:5" ht="33.75" hidden="1" customHeight="1">
      <c r="A20" s="329" t="str">
        <f>IF(DAY(malumot!E67)&lt;15,"   ","  Oxirgi yakuniy to'lov "&amp;malumot!B65&amp;" shartnomasi tuzilgan kundan boshlab oxirgi oyning oxirgi kunida amalga oshiriladi")</f>
        <v xml:space="preserve">   </v>
      </c>
      <c r="B20" s="329"/>
      <c r="C20" s="329"/>
      <c r="D20" s="329"/>
    </row>
    <row r="21" spans="1:5">
      <c r="A21" s="329" t="str">
        <f>""&amp;malumot!C64&amp;" ta’minoti::"</f>
        <v>Mikroqarz ta’minoti::</v>
      </c>
      <c r="B21" s="329"/>
      <c r="C21" s="329"/>
      <c r="D21" s="329"/>
    </row>
    <row r="22" spans="1:5" ht="80.25" customHeight="1">
      <c r="A22" s="358" t="str">
        <f>IF(malumot!B111="Avtotransport",A26,A23)</f>
        <v xml:space="preserve">  Egalik huquqi DJURAKULOVA S.A.ga tegishli bo'lgan garovga olingan avtomobil markasi   LACETTI, rangi -  QORA CHERNIY, ishlab chiqarilgan yili - 2011, davlat raqam belgisi 30O259OA, kuzov turi - YENGIL SEDAN, kuzov raqami XWB5M31BDBA256320 TASH KUR GENTRA, dvigatel raqami 2132251, shassi raqami - RAKAMSIZ</v>
      </c>
      <c r="B22" s="358"/>
      <c r="C22" s="358"/>
      <c r="D22" s="358"/>
    </row>
    <row r="23" spans="1:5" ht="79.5" hidden="1" customHeight="1">
      <c r="A23" s="358" t="str">
        <f>IF(malumot!B98=malumot!C98,A25,IF(malumot!B98=malumot!D98,A24,0))</f>
        <v xml:space="preserve"> Egalik huquqi DJURAKULOVA SANAM ASHUROVNAga tegishli bo'lgan umumiy maydoni - 72,13  va yashash maydoni - 37,39 3 - xonali yakka tartibdagi uy-joy, SAMARQAND VILOYATI TAYLOQ TUMANI CHAROG'BON MFY YANGI TAYLOQ QISHLOG'I 6 TURAR JOY 12 QAVAT 58 XONADON </v>
      </c>
      <c r="B23" s="358"/>
      <c r="C23" s="358"/>
      <c r="D23" s="358"/>
    </row>
    <row r="24" spans="1:5" ht="96.75" hidden="1" customHeight="1">
      <c r="A24" s="358" t="str">
        <f>" - Navbatdagi garov (ipoteka) Egalik huquqi asosida  "&amp;malumot!C125&amp;"ga "&amp;malumot!C134&amp;", umumiy maydoni - "&amp;malumot!C138&amp;" va yashash maydoni - "&amp;malumot!C141&amp;", manzili: "&amp;malumot!C131&amp;"."</f>
        <v xml:space="preserve"> - Navbatdagi garov (ipoteka) Egalik huquqi asosida  DJURAKULOVA SANAM ASHUROVNAga 3 - xonali yakka tartibdagi uy-joy, umumiy maydoni - 72,13 va yashash maydoni - 37,39, manzili: SAMARQAND VILOYATI TAYLOQ TUMANI CHAROG'BON MFY YANGI TAYLOQ QISHLOG'I 6 TURAR JOY 12 QAVAT 58 XONADON.</v>
      </c>
      <c r="B24" s="358"/>
      <c r="C24" s="358"/>
      <c r="D24" s="358"/>
      <c r="E24" s="128"/>
    </row>
    <row r="25" spans="1:5" ht="92.25" hidden="1" customHeight="1">
      <c r="A25" s="358" t="str">
        <f>" Egalik huquqi "&amp;malumot!C125&amp;"ga tegishli bo'lgan umumiy maydoni - "&amp;malumot!C138&amp;"  va yashash maydoni - "&amp;malumot!C141&amp;" "&amp;malumot!C134&amp;", "&amp;malumot!C131&amp;" "</f>
        <v xml:space="preserve"> Egalik huquqi DJURAKULOVA SANAM ASHUROVNAga tegishli bo'lgan umumiy maydoni - 72,13  va yashash maydoni - 37,39 3 - xonali yakka tartibdagi uy-joy, SAMARQAND VILOYATI TAYLOQ TUMANI CHAROG'BON MFY YANGI TAYLOQ QISHLOG'I 6 TURAR JOY 12 QAVAT 58 XONADON </v>
      </c>
      <c r="B25" s="358"/>
      <c r="C25" s="358"/>
      <c r="D25" s="358"/>
    </row>
    <row r="26" spans="1:5" ht="78" hidden="1" customHeight="1">
      <c r="A26" s="358" t="str">
        <f>IF(malumot!B98=malumot!C98,kredit_ariza!A28:D28,IF(malumot!B98=malumot!D98,kredit_ariza!A27:D27,0))</f>
        <v xml:space="preserve">  Egalik huquqi DJURAKULOVA S.A.ga tegishli bo'lgan garovga olingan avtomobil markasi   LACETTI, rangi -  QORA CHERNIY, ishlab chiqarilgan yili - 2011, davlat raqam belgisi 30O259OA, kuzov turi - YENGIL SEDAN, kuzov raqami XWB5M31BDBA256320 TASH KUR GENTRA, dvigatel raqami 2132251, shassi raqami - RAKAMSIZ</v>
      </c>
      <c r="B26" s="358"/>
      <c r="C26" s="358"/>
      <c r="D26" s="358"/>
    </row>
    <row r="27" spans="1:5" ht="93" hidden="1" customHeight="1">
      <c r="A27" s="358" t="str">
        <f>" Egalik huquqi "&amp;malumot!B125&amp;"ga tegishli bo'lgan "&amp;malumot!B133&amp;", "&amp;malumot!B141&amp;", davlat raqam belgisi "&amp;malumot!B134&amp;", "&amp;malumot!B135&amp;", "&amp;malumot!B138&amp;" avtotransport vositasi "</f>
        <v xml:space="preserve"> Egalik huquqi DJURAKULOVA S.A.ga tegishli bo'lgan LACETTI, rangi -  QORA CHERNIY, ishlab chiqarilgan yili - 2011, davlat raqam belgisi 30O259OA, kuzov turi - YENGIL SEDAN, kuzov raqami XWB5M31BDBA256320 TASH KUR GENTRA, dvigatel raqami 2132251, shassi raqami - RAKAMSIZ avtotransport vositasi </v>
      </c>
      <c r="B27" s="358"/>
      <c r="C27" s="358"/>
      <c r="D27" s="358"/>
    </row>
    <row r="28" spans="1:5" ht="93.75" hidden="1" customHeight="1">
      <c r="A28" s="358" t="str">
        <f>"  Egalik huquqi "&amp;malumot!B125&amp;"ga tegishli bo'lgan garovga olingan avtomobil markasi   "&amp;malumot!B133&amp;", "&amp;malumot!B141&amp;", davlat raqam belgisi "&amp;malumot!B134&amp;", "&amp;malumot!B135&amp;", "&amp;malumot!B138&amp;""</f>
        <v xml:space="preserve">  Egalik huquqi DJURAKULOVA S.A.ga tegishli bo'lgan garovga olingan avtomobil markasi   LACETTI, rangi -  QORA CHERNIY, ishlab chiqarilgan yili - 2011, davlat raqam belgisi 30O259OA, kuzov turi - YENGIL SEDAN, kuzov raqami XWB5M31BDBA256320 TASH KUR GENTRA, dvigatel raqami 2132251, shassi raqami - RAKAMSIZ</v>
      </c>
      <c r="B28" s="358"/>
      <c r="C28" s="358"/>
      <c r="D28" s="358"/>
    </row>
    <row r="29" spans="1:5" ht="10.5" hidden="1" customHeight="1">
      <c r="A29" s="329"/>
      <c r="B29" s="329"/>
      <c r="C29" s="329"/>
      <c r="D29" s="329"/>
    </row>
    <row r="30" spans="1:5" ht="64.5" customHeight="1">
      <c r="A30" s="358" t="str">
        <f>"Mazkur ariza bilan "&amp;malumot!B155&amp;"ga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58"/>
      <c r="C30" s="358"/>
      <c r="D30" s="358"/>
    </row>
    <row r="31" spans="1:5" ht="15.75" customHeight="1">
      <c r="A31" s="358" t="s">
        <v>243</v>
      </c>
      <c r="B31" s="358"/>
      <c r="C31" s="358"/>
      <c r="D31" s="358"/>
    </row>
    <row r="32" spans="1:5">
      <c r="A32" s="358" t="s">
        <v>244</v>
      </c>
      <c r="B32" s="358"/>
      <c r="C32" s="358"/>
      <c r="D32" s="358"/>
    </row>
    <row r="33" spans="1:4">
      <c r="A33" s="358" t="s">
        <v>245</v>
      </c>
      <c r="B33" s="358"/>
      <c r="C33" s="358"/>
      <c r="D33" s="358"/>
    </row>
    <row r="34" spans="1:4">
      <c r="A34" s="329" t="str">
        <f>"Ariza berilgan sana: "&amp;TEXT(malumot!B2,"ДД.ММ.ГГГГ")&amp;"y."</f>
        <v>Ariza berilgan sana: 10.04.2025y.</v>
      </c>
      <c r="B34" s="329"/>
      <c r="C34" s="329"/>
      <c r="D34" s="329"/>
    </row>
    <row r="35" spans="1:4">
      <c r="A35" s="329"/>
      <c r="B35" s="329"/>
      <c r="C35" s="329"/>
      <c r="D35" s="329"/>
    </row>
    <row r="36" spans="1:4">
      <c r="A36" s="329" t="s">
        <v>246</v>
      </c>
      <c r="B36" s="329"/>
      <c r="C36" s="329"/>
      <c r="D36" s="329"/>
    </row>
    <row r="37" spans="1:4" hidden="1">
      <c r="A37" s="329"/>
      <c r="B37" s="329"/>
      <c r="C37" s="329"/>
      <c r="D37" s="329"/>
    </row>
    <row r="38" spans="1:4">
      <c r="A38" s="329"/>
      <c r="B38" s="329"/>
      <c r="C38" s="329"/>
      <c r="D38" s="329"/>
    </row>
    <row r="39" spans="1:4" ht="15.75" customHeight="1">
      <c r="A39" s="328" t="str">
        <f>malumot!B5</f>
        <v>DJURAKULOVA SANAM ASHUROVNA</v>
      </c>
      <c r="B39" s="328"/>
      <c r="C39" s="328"/>
      <c r="D39" s="178" t="s">
        <v>396</v>
      </c>
    </row>
    <row r="40" spans="1:4">
      <c r="A40" s="6"/>
      <c r="B40" s="6"/>
      <c r="D40" s="7" t="s">
        <v>325</v>
      </c>
    </row>
    <row r="41" spans="1:4" hidden="1">
      <c r="A41" s="6"/>
      <c r="B41" s="6"/>
      <c r="D41" s="7"/>
    </row>
    <row r="42" spans="1:4">
      <c r="A42" s="128"/>
      <c r="B42" s="128"/>
      <c r="C42" s="128"/>
      <c r="D42" s="128"/>
    </row>
    <row r="43" spans="1:4" ht="31.5">
      <c r="A43" s="196" t="str">
        <f>malumot!A158</f>
        <v>Samarqand filiali boshlig'i</v>
      </c>
      <c r="B43" s="166"/>
      <c r="C43" s="166"/>
      <c r="D43" s="196" t="str">
        <f>malumot!B158</f>
        <v>S.Asrorov</v>
      </c>
    </row>
    <row r="44" spans="1:4">
      <c r="A44" s="166"/>
      <c r="B44" s="166"/>
      <c r="C44" s="166"/>
      <c r="D44" s="166"/>
    </row>
    <row r="45" spans="1:4">
      <c r="A45" s="166"/>
      <c r="B45" s="166"/>
      <c r="C45" s="166"/>
      <c r="D45" s="166"/>
    </row>
    <row r="46" spans="1:4">
      <c r="A46" s="359"/>
      <c r="B46" s="359"/>
      <c r="C46" s="359"/>
      <c r="D46" s="359"/>
    </row>
    <row r="47" spans="1:4">
      <c r="A47" s="359"/>
      <c r="B47" s="359"/>
      <c r="C47" s="359"/>
      <c r="D47" s="359"/>
    </row>
    <row r="48" spans="1:4">
      <c r="A48" s="359"/>
      <c r="B48" s="359"/>
      <c r="C48" s="359"/>
      <c r="D48" s="359"/>
    </row>
    <row r="49" spans="1:4">
      <c r="A49" s="359"/>
      <c r="B49" s="359"/>
      <c r="C49" s="359"/>
      <c r="D49" s="359"/>
    </row>
    <row r="50" spans="1:4">
      <c r="A50" s="329"/>
      <c r="B50" s="329"/>
      <c r="C50" s="329"/>
      <c r="D50" s="329"/>
    </row>
    <row r="51" spans="1:4">
      <c r="A51" s="329"/>
      <c r="B51" s="329"/>
      <c r="C51" s="329"/>
      <c r="D51" s="329"/>
    </row>
    <row r="52" spans="1:4">
      <c r="A52" s="329"/>
      <c r="B52" s="329"/>
      <c r="C52" s="329"/>
      <c r="D52" s="329"/>
    </row>
    <row r="53" spans="1:4">
      <c r="A53" s="329"/>
      <c r="B53" s="329"/>
      <c r="C53" s="329"/>
      <c r="D53" s="329"/>
    </row>
    <row r="54" spans="1:4">
      <c r="A54" s="329"/>
      <c r="B54" s="329"/>
      <c r="C54" s="329"/>
      <c r="D54" s="329"/>
    </row>
    <row r="55" spans="1:4">
      <c r="A55" s="329"/>
      <c r="B55" s="329"/>
      <c r="C55" s="329"/>
      <c r="D55" s="329"/>
    </row>
    <row r="56" spans="1:4">
      <c r="A56" s="329"/>
      <c r="B56" s="329"/>
      <c r="C56" s="329"/>
      <c r="D56" s="329"/>
    </row>
    <row r="57" spans="1:4">
      <c r="A57" s="329"/>
      <c r="B57" s="329"/>
      <c r="C57" s="329"/>
      <c r="D57" s="329"/>
    </row>
    <row r="58" spans="1:4">
      <c r="A58" s="329"/>
      <c r="B58" s="329"/>
      <c r="C58" s="329"/>
      <c r="D58" s="329"/>
    </row>
    <row r="59" spans="1:4">
      <c r="A59" s="329"/>
      <c r="B59" s="329"/>
      <c r="C59" s="329"/>
      <c r="D59" s="329"/>
    </row>
    <row r="60" spans="1:4">
      <c r="A60" s="329"/>
      <c r="B60" s="329"/>
      <c r="C60" s="329"/>
      <c r="D60" s="329"/>
    </row>
    <row r="61" spans="1:4">
      <c r="A61" s="329"/>
      <c r="B61" s="329"/>
      <c r="C61" s="329"/>
      <c r="D61" s="329"/>
    </row>
    <row r="62" spans="1:4">
      <c r="A62" s="329"/>
      <c r="B62" s="329"/>
      <c r="C62" s="329"/>
      <c r="D62" s="329"/>
    </row>
    <row r="63" spans="1:4">
      <c r="A63" s="329"/>
      <c r="B63" s="329"/>
      <c r="C63" s="329"/>
      <c r="D63" s="329"/>
    </row>
    <row r="64" spans="1:4">
      <c r="A64" s="329"/>
      <c r="B64" s="329"/>
      <c r="C64" s="329"/>
      <c r="D64" s="329"/>
    </row>
    <row r="65" spans="1:4">
      <c r="A65" s="329"/>
      <c r="B65" s="329"/>
      <c r="C65" s="329"/>
      <c r="D65" s="329"/>
    </row>
    <row r="66" spans="1:4">
      <c r="A66" s="329"/>
      <c r="B66" s="329"/>
      <c r="C66" s="329"/>
      <c r="D66" s="329"/>
    </row>
    <row r="67" spans="1:4">
      <c r="A67" s="329"/>
      <c r="B67" s="329"/>
      <c r="C67" s="329"/>
      <c r="D67" s="329"/>
    </row>
    <row r="68" spans="1:4">
      <c r="A68" s="329"/>
      <c r="B68" s="329"/>
      <c r="C68" s="329"/>
      <c r="D68" s="329"/>
    </row>
    <row r="69" spans="1:4">
      <c r="A69" s="329"/>
      <c r="B69" s="329"/>
      <c r="C69" s="329"/>
      <c r="D69" s="329"/>
    </row>
    <row r="70" spans="1:4">
      <c r="A70" s="329"/>
      <c r="B70" s="329"/>
      <c r="C70" s="329"/>
      <c r="D70" s="329"/>
    </row>
    <row r="71" spans="1:4">
      <c r="A71" s="329"/>
      <c r="B71" s="329"/>
      <c r="C71" s="329"/>
      <c r="D71" s="329"/>
    </row>
    <row r="72" spans="1:4">
      <c r="A72" s="329"/>
      <c r="B72" s="329"/>
      <c r="C72" s="329"/>
      <c r="D72" s="329"/>
    </row>
    <row r="73" spans="1:4">
      <c r="A73" s="329"/>
      <c r="B73" s="329"/>
      <c r="C73" s="329"/>
      <c r="D73" s="329"/>
    </row>
    <row r="74" spans="1:4">
      <c r="A74" s="329"/>
      <c r="B74" s="329"/>
      <c r="C74" s="329"/>
      <c r="D74" s="329"/>
    </row>
    <row r="75" spans="1:4">
      <c r="A75" s="329"/>
      <c r="B75" s="329"/>
      <c r="C75" s="329"/>
      <c r="D75" s="329"/>
    </row>
    <row r="76" spans="1:4">
      <c r="A76" s="329"/>
      <c r="B76" s="329"/>
      <c r="C76" s="329"/>
      <c r="D76" s="329"/>
    </row>
    <row r="77" spans="1:4">
      <c r="A77" s="329"/>
      <c r="B77" s="329"/>
      <c r="C77" s="329"/>
      <c r="D77" s="329"/>
    </row>
    <row r="78" spans="1:4">
      <c r="A78" s="329"/>
      <c r="B78" s="329"/>
      <c r="C78" s="329"/>
      <c r="D78" s="329"/>
    </row>
  </sheetData>
  <mergeCells count="70">
    <mergeCell ref="A76:D76"/>
    <mergeCell ref="A77:D77"/>
    <mergeCell ref="A78:D78"/>
    <mergeCell ref="A39:C39"/>
    <mergeCell ref="A71:D71"/>
    <mergeCell ref="A72:D72"/>
    <mergeCell ref="A73:D73"/>
    <mergeCell ref="A74:D74"/>
    <mergeCell ref="A75:D75"/>
    <mergeCell ref="A66:D66"/>
    <mergeCell ref="A67:D67"/>
    <mergeCell ref="A68:D68"/>
    <mergeCell ref="A69:D69"/>
    <mergeCell ref="A70:D70"/>
    <mergeCell ref="A61:D61"/>
    <mergeCell ref="A62:D62"/>
    <mergeCell ref="A63:D63"/>
    <mergeCell ref="A64:D64"/>
    <mergeCell ref="A65:D65"/>
    <mergeCell ref="A56:D56"/>
    <mergeCell ref="A57:D57"/>
    <mergeCell ref="A58:D58"/>
    <mergeCell ref="A59:D59"/>
    <mergeCell ref="A60:D60"/>
    <mergeCell ref="A51:D51"/>
    <mergeCell ref="A52:D52"/>
    <mergeCell ref="A53:D53"/>
    <mergeCell ref="A54:D54"/>
    <mergeCell ref="A55:D55"/>
    <mergeCell ref="A46:D46"/>
    <mergeCell ref="A47:D47"/>
    <mergeCell ref="A48:D48"/>
    <mergeCell ref="A49:D49"/>
    <mergeCell ref="A50:D50"/>
    <mergeCell ref="A34:D3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8">
    <tabColor rgb="FF00B050"/>
  </sheetPr>
  <dimension ref="A5:C32"/>
  <sheetViews>
    <sheetView tabSelected="1" view="pageBreakPreview" topLeftCell="A5" zoomScale="160" zoomScaleNormal="100" zoomScaleSheetLayoutView="160" workbookViewId="0">
      <selection activeCell="A19" sqref="A19"/>
    </sheetView>
  </sheetViews>
  <sheetFormatPr defaultColWidth="0" defaultRowHeight="15.75" zeroHeight="1"/>
  <cols>
    <col min="1" max="1" width="26" style="4" customWidth="1"/>
    <col min="2" max="2" width="15.28515625" style="4" customWidth="1"/>
    <col min="3" max="3" width="34.5703125" style="4" customWidth="1"/>
    <col min="4" max="16384" width="9.140625" style="4" hidden="1"/>
  </cols>
  <sheetData>
    <row r="5" spans="1:3"/>
    <row r="6" spans="1:3" ht="17.25" customHeight="1">
      <c r="C6" s="9" t="str">
        <f>malumot!B156</f>
        <v>«CLEVER MIKROMOLIYA TASHKILOTI» MChJ</v>
      </c>
    </row>
    <row r="7" spans="1:3" ht="33" customHeight="1">
      <c r="A7" s="142"/>
      <c r="B7" s="142"/>
      <c r="C7" s="138" t="str">
        <f>""&amp;malumot!A158&amp;" "&amp;malumot!B158&amp;"ga"</f>
        <v>Samarqand filiali boshlig'i S.Asrorovga</v>
      </c>
    </row>
    <row r="8" spans="1:3">
      <c r="A8" s="129"/>
      <c r="B8" s="129"/>
      <c r="C8" s="138" t="str">
        <f>""&amp;malumot!B119&amp;"dan"</f>
        <v>DJURAKULOVA S.A.dan</v>
      </c>
    </row>
    <row r="9" spans="1:3" ht="15.75" hidden="1" customHeight="1">
      <c r="C9" s="5" t="str">
        <f>malumot!B119</f>
        <v>DJURAKULOVA S.A.</v>
      </c>
    </row>
    <row r="10" spans="1:3" ht="15.75" hidden="1" customHeight="1">
      <c r="C10" s="5" t="str">
        <f>malumot!C119</f>
        <v>DJURAKULOVA SANAM ASHUROVNA</v>
      </c>
    </row>
    <row r="11" spans="1:3" ht="15.75" hidden="1" customHeight="1">
      <c r="C11" s="129" t="s">
        <v>268</v>
      </c>
    </row>
    <row r="12" spans="1:3"/>
    <row r="13" spans="1:3" ht="115.5" customHeight="1">
      <c r="A13" s="358" t="str">
        <f>IF(malumot!B111="Avtotransport",A14,A15)</f>
        <v>DJURAKULOVA SANAM ASHUROVNA tomonidan so’ralayotgan 24 (Yigirma to'rt  ) oy muddatga, 40 000 000 (qirq million so'm) miqdoridagi mikroqarzning ta’minoti sifatida menga mulk huquqi asosida tegishli bo’lgan  LACETTI, kuzov turi - YENGIL SEDAN, kuzov raqami XWB5M31BDBA256320 TASH KUR GENTRA, dvigatel raqami 2132251, shassi raqami - RAKAMSIZ, rangi -  QORA CHERNIY, ishlab chiqarilgan yili - 2011, avtotransport vositasini qabul qilishingizni so’rayman:</v>
      </c>
      <c r="B13" s="358"/>
      <c r="C13" s="358"/>
    </row>
    <row r="14" spans="1:3" ht="124.5" hidden="1" customHeight="1">
      <c r="A14" s="358" t="str">
        <f>""&amp;malumot!B12&amp;" tomonidan so’ralayotgan "&amp;malumot!B81&amp;" ("&amp;malumot!B82&amp;") oy muddatga, "&amp;FIXED(malumot!B75,0)&amp;" ("&amp;malumot!B76&amp;") miqdoridagi "&amp;malumot!B65&amp;"ning ta’minoti sifatida menga mulk huquqi asosida tegishli bo’lgan  "&amp;malumot!B133&amp;", "&amp;malumot!B135&amp;", "&amp;malumot!B138&amp;", "&amp;malumot!B141&amp;", avtotransport vositasini qabul qilishingizni so’rayman:"</f>
        <v>DJURAKULOVA SANAM ASHUROVNA tomonidan so’ralayotgan 24 (Yigirma to'rt  ) oy muddatga, 40 000 000 (qirq million so'm) miqdoridagi mikroqarzning ta’minoti sifatida menga mulk huquqi asosida tegishli bo’lgan  LACETTI, kuzov turi - YENGIL SEDAN, kuzov raqami XWB5M31BDBA256320 TASH KUR GENTRA, dvigatel raqami 2132251, shassi raqami - RAKAMSIZ, rangi -  QORA CHERNIY, ishlab chiqarilgan yili - 2011, avtotransport vositasini qabul qilishingizni so’rayman:</v>
      </c>
      <c r="B14" s="358"/>
      <c r="C14" s="358"/>
    </row>
    <row r="15" spans="1:3" ht="116.25" hidden="1" customHeight="1">
      <c r="A15" s="358" t="str">
        <f>""&amp;malumot!B12&amp;" tomonidan so’ralayotgan "&amp;malumot!B81&amp;" ("&amp;malumot!B82&amp;") oy muddatga, "&amp;FIXED(malumot!B75,0)&amp;" ("&amp;malumot!B76&amp;") miqdoridagi "&amp;malumot!B65&amp;"ning ta’minoti sifatida menga mulk huquqi asosida tegishli bo’lgan  "&amp;malumot!C134&amp;", umumiy maydoni "&amp;malumot!C138&amp;" va yashash maydoni "&amp;malumot!C141&amp;"  "&amp;malumot!C131&amp;" manzilda joylashgan ko'chmas mulkni qabul qilishingizni so’rayman:"</f>
        <v>DJURAKULOVA SANAM ASHUROVNA tomonidan so’ralayotgan 24 (Yigirma to'rt  ) oy muddatga, 40 000 000 (qirq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58"/>
      <c r="C15" s="358"/>
    </row>
    <row r="16" spans="1:3"/>
    <row r="17" spans="1:3"/>
    <row r="18" spans="1:3">
      <c r="C18" s="5" t="s">
        <v>267</v>
      </c>
    </row>
    <row r="19" spans="1:3" ht="18.75" customHeight="1">
      <c r="A19" s="4" t="str">
        <f>+IF(malumot!B99="ha",malumot!B7,malumot!B114)</f>
        <v>DJURAKULOVA S.A.</v>
      </c>
      <c r="C19" s="49" t="str">
        <f>malumot!B2</f>
        <v>10.04.2025</v>
      </c>
    </row>
    <row r="20" spans="1:3">
      <c r="A20" s="166" t="str">
        <f>IF(malumot!B100=malumot!D100,CONCATENATE(A28," ",A32,A26),"")</f>
        <v/>
      </c>
      <c r="B20" s="166"/>
      <c r="C20" s="166"/>
    </row>
    <row r="21" spans="1:3">
      <c r="A21" s="165"/>
      <c r="B21" s="165"/>
      <c r="C21" s="165"/>
    </row>
    <row r="22" spans="1:3">
      <c r="A22" s="165"/>
      <c r="B22" s="165"/>
      <c r="C22" s="165"/>
    </row>
    <row r="23" spans="1:3">
      <c r="A23" s="131" t="str">
        <f>malumot!A158</f>
        <v>Samarqand filiali boshlig'i</v>
      </c>
      <c r="B23" s="131"/>
      <c r="C23" s="138" t="str">
        <f>malumot!B158</f>
        <v>S.Asrorov</v>
      </c>
    </row>
    <row r="24" spans="1:3">
      <c r="A24" s="131"/>
      <c r="B24" s="131"/>
      <c r="C24" s="138"/>
    </row>
    <row r="25" spans="1:3">
      <c r="A25" s="4" t="s">
        <v>24</v>
      </c>
    </row>
    <row r="26" spans="1:3" hidden="1">
      <c r="A26" s="4" t="str">
        <f>" xususiy faoliyat ko'rsatuvchi notarius tomonidan "&amp;malumot!B104&amp;" "&amp;malumot!B105&amp;" berilgan ishonchnomaga asosan "</f>
        <v xml:space="preserve"> xususiy faoliyat ko'rsatuvchi notarius tomonidan   berilgan ishonchnomaga asosan </v>
      </c>
    </row>
    <row r="28" spans="1:3" hidden="1">
      <c r="A28" s="4" t="str">
        <f>"№"&amp;malumot!B106&amp; ""</f>
        <v>№</v>
      </c>
    </row>
    <row r="29" spans="1:3" hidden="1">
      <c r="A29" s="4">
        <f>malumot!B108</f>
        <v>0</v>
      </c>
    </row>
    <row r="30" spans="1:3" hidden="1">
      <c r="A30" s="4" t="str">
        <f>TEXT(A29,"ДД.ММ.ГГГГ")</f>
        <v>00.01.1900</v>
      </c>
    </row>
    <row r="31" spans="1:3" hidden="1">
      <c r="A31" s="4" t="s">
        <v>377</v>
      </c>
    </row>
    <row r="32" spans="1:3" hidden="1">
      <c r="A32" s="4" t="str">
        <f>CONCATENATE(A30,A31)</f>
        <v>00.01.1900 sanasidan</v>
      </c>
    </row>
  </sheetData>
  <mergeCells count="3">
    <mergeCell ref="A13:C13"/>
    <mergeCell ref="A14:C14"/>
    <mergeCell ref="A15:C15"/>
  </mergeCells>
  <pageMargins left="0.7" right="0.7" top="0.75" bottom="0.75" header="0.3" footer="0.3"/>
  <pageSetup paperSize="9" orientation="portrait"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0" customWidth="1"/>
    <col min="2" max="2" width="21.28515625" style="10" customWidth="1"/>
    <col min="3" max="3" width="19.140625" style="10" customWidth="1"/>
    <col min="4" max="5" width="21.28515625" style="10" customWidth="1"/>
    <col min="6" max="16384" width="9.140625" style="10"/>
  </cols>
  <sheetData>
    <row r="2" spans="1:5">
      <c r="A2" s="91" t="s">
        <v>46</v>
      </c>
    </row>
    <row r="3" spans="1:5">
      <c r="A3" s="91" t="s">
        <v>47</v>
      </c>
    </row>
    <row r="6" spans="1:5" ht="20.25" customHeight="1">
      <c r="E6" s="92" t="s">
        <v>33</v>
      </c>
    </row>
    <row r="7" spans="1:5">
      <c r="E7" s="92" t="s">
        <v>48</v>
      </c>
    </row>
    <row r="9" spans="1:5" ht="107.25" customHeight="1">
      <c r="A9" s="361"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"&amp;IF(malumot!B111=malumot!C111,"автотранспортного средство марки "&amp;malumot!B133&amp;" принадлежащее на правах собственности "&amp;malumot!B125&amp;"","недвижимого имущества в виде "&amp;malumot!C134&amp;", общей площадью - "&amp;malumot!C138&amp;" и жилой площадью - "&amp;malumot!C141&amp;", расположенного по адресу: "&amp;malumot!C131&amp;", принадлежащее на правах собственности "&amp;malumot!C125&amp;".")</f>
        <v xml:space="preserve">          Между ООО «Clever Mikrokredit Tashkiloti» и DJURAKULOVA SANAM ASHUROVNA  (паспорт: AB 0252157 SAMARQAND VILOYATI SAMARQAND SHAHAR IIB tomonidan 29.06.2015 yilda berilgan) заключен договор микрозайма 10 aprel 2025 y.dan №745-SM, на сумму 40 000 000,00 (qirq million so'm) сум, сроком на 24 (Yigirma to'rt  ) месяцев. В качестве своевременного исполнения обязательств по договору Микрозайма 10 aprel 2025 y.dan №745-SM планирует предоставить нижеследующее автотранспортного средство марки LACETTI принадлежащее на правах собственности DJURAKULOVA S.A.</v>
      </c>
      <c r="B9" s="361"/>
      <c r="C9" s="361"/>
      <c r="D9" s="361"/>
      <c r="E9" s="361"/>
    </row>
    <row r="11" spans="1:5" ht="28.5">
      <c r="A11" s="33" t="str">
        <f>buyruq!A19</f>
        <v>Nomi</v>
      </c>
      <c r="B11" s="33" t="str">
        <f>buyruq!B19</f>
        <v>Kuzov turi  va kuzov raqami*</v>
      </c>
      <c r="C11" s="33" t="str">
        <f>buyruq!C19</f>
        <v>Dvigatel va shassi raqami*</v>
      </c>
      <c r="D11" s="33" t="str">
        <f>buyruq!D19</f>
        <v>Ishlab chiqarilgan yili va rangi*</v>
      </c>
      <c r="E11" s="33" t="str">
        <f>buyruq!E19</f>
        <v>Kelishilgan garov qiymati, so'm</v>
      </c>
    </row>
    <row r="12" spans="1:5" ht="73.5" customHeight="1">
      <c r="A12" s="33" t="str">
        <f>buyruq!A20</f>
        <v>LACETTI</v>
      </c>
      <c r="B12" s="33" t="str">
        <f>buyruq!B20</f>
        <v>kuzov turi - YENGIL SEDAN, kuzov raqami XWB5M31BDBA256320 TASH KUR GENTRA</v>
      </c>
      <c r="C12" s="33" t="str">
        <f>buyruq!C20</f>
        <v>dvigatel raqami 2132251, shassi raqami - RAKAMSIZ</v>
      </c>
      <c r="D12" s="33" t="str">
        <f>buyruq!D20</f>
        <v>rangi -  QORA CHERNIY, ishlab chiqarilgan yili - 2011</v>
      </c>
      <c r="E12" s="33" t="str">
        <f>buyruq!E20</f>
        <v>56 000 000,00 
(ellik olti million so'm)</v>
      </c>
    </row>
    <row r="13" spans="1:5">
      <c r="A13" s="365" t="str">
        <f>buyruq!A21:E21</f>
        <v>-* avtotransport egasi: DJURAKULOVA S.A.</v>
      </c>
      <c r="B13" s="365"/>
      <c r="C13" s="365"/>
      <c r="D13" s="365"/>
      <c r="E13" s="365"/>
    </row>
    <row r="14" spans="1:5">
      <c r="A14" s="365" t="str">
        <f>buyruq!A22:E22</f>
        <v>-* texnik pasport: AAG 4271140 05.07.2024y.</v>
      </c>
      <c r="B14" s="365"/>
      <c r="C14" s="365"/>
      <c r="D14" s="365"/>
      <c r="E14" s="365"/>
    </row>
    <row r="15" spans="1:5">
      <c r="A15" s="365" t="str">
        <f>buyruq!A23:E23</f>
        <v>-* roʻyxatdan oʻtgan manzili/garaj manzili: SAMARQAND VILOYATI SAMARQAND SHAHAR BOG'ISARIY MAHALLASI SPITAMENSHOX KO'CHASI 252 UY</v>
      </c>
      <c r="B15" s="365"/>
      <c r="C15" s="365"/>
      <c r="D15" s="365"/>
      <c r="E15" s="365"/>
    </row>
    <row r="16" spans="1:5">
      <c r="A16" s="365" t="str">
        <f>buyruq!A24:E24</f>
        <v>-* davlat raqami: 30O259OA</v>
      </c>
      <c r="B16" s="365"/>
      <c r="C16" s="365"/>
      <c r="D16" s="365"/>
      <c r="E16" s="365"/>
    </row>
    <row r="17" spans="1:5" ht="3" customHeight="1"/>
    <row r="19" spans="1:5" ht="59.25" hidden="1" customHeight="1">
      <c r="A19" s="33" t="str">
        <f>dalolatnoma!A32</f>
        <v>Наименование</v>
      </c>
      <c r="B19" s="33" t="str">
        <f>dalolatnoma!B32</f>
        <v>Полезная площадь</v>
      </c>
      <c r="C19" s="33" t="str">
        <f>dalolatnoma!C32</f>
        <v>Жилая площадь</v>
      </c>
      <c r="D19" s="33" t="str">
        <f>dalolatnoma!D32</f>
        <v>Общая площадь</v>
      </c>
      <c r="E19" s="33" t="str">
        <f>dalolatnoma!E32</f>
        <v>Согласованная залоговая стоимость, сум</v>
      </c>
    </row>
    <row r="20" spans="1:5" ht="17.25" hidden="1" customHeight="1">
      <c r="A20" s="12" t="e">
        <f>dalolatnoma!A33</f>
        <v>#REF!</v>
      </c>
      <c r="B20" s="12" t="e">
        <f>dalolatnoma!B33</f>
        <v>#REF!</v>
      </c>
      <c r="C20" s="12" t="e">
        <f>dalolatnoma!C33</f>
        <v>#REF!</v>
      </c>
      <c r="D20" s="12" t="e">
        <f>dalolatnoma!D33</f>
        <v>#REF!</v>
      </c>
      <c r="E20" s="325" t="str">
        <f>""&amp;FIXED(malumot!C144,2)&amp;" ("&amp;malumot!C145&amp;")"</f>
        <v>56 000 000,00 (ellik olti million so'm)</v>
      </c>
    </row>
    <row r="21" spans="1:5" ht="17.25" hidden="1" customHeight="1">
      <c r="A21" s="12">
        <f>dalolatnoma!A34</f>
        <v>0</v>
      </c>
      <c r="B21" s="12">
        <f>dalolatnoma!B34</f>
        <v>0</v>
      </c>
      <c r="C21" s="12">
        <f>dalolatnoma!C34</f>
        <v>0</v>
      </c>
      <c r="D21" s="12">
        <f>dalolatnoma!D34</f>
        <v>0</v>
      </c>
      <c r="E21" s="326"/>
    </row>
    <row r="22" spans="1:5" ht="17.25" hidden="1" customHeight="1">
      <c r="A22" s="12" t="e">
        <f>dalolatnoma!A35</f>
        <v>#REF!</v>
      </c>
      <c r="B22" s="12" t="e">
        <f>dalolatnoma!B35</f>
        <v>#REF!</v>
      </c>
      <c r="C22" s="12" t="e">
        <f>dalolatnoma!C35</f>
        <v>#REF!</v>
      </c>
      <c r="D22" s="12" t="e">
        <f>dalolatnoma!D35</f>
        <v>#REF!</v>
      </c>
      <c r="E22" s="326"/>
    </row>
    <row r="23" spans="1:5" ht="17.25" hidden="1" customHeight="1">
      <c r="A23" s="12" t="e">
        <f>dalolatnoma!A36</f>
        <v>#REF!</v>
      </c>
      <c r="B23" s="12" t="e">
        <f>dalolatnoma!B36</f>
        <v>#REF!</v>
      </c>
      <c r="C23" s="12" t="e">
        <f>dalolatnoma!C36</f>
        <v>#REF!</v>
      </c>
      <c r="D23" s="12" t="e">
        <f>dalolatnoma!D36</f>
        <v>#REF!</v>
      </c>
      <c r="E23" s="326"/>
    </row>
    <row r="24" spans="1:5" ht="17.25" hidden="1" customHeight="1">
      <c r="A24" s="12" t="e">
        <f>dalolatnoma!A37</f>
        <v>#REF!</v>
      </c>
      <c r="B24" s="12" t="e">
        <f>dalolatnoma!B37</f>
        <v>#REF!</v>
      </c>
      <c r="C24" s="12" t="e">
        <f>dalolatnoma!C37</f>
        <v>#REF!</v>
      </c>
      <c r="D24" s="12" t="e">
        <f>dalolatnoma!D37</f>
        <v>#REF!</v>
      </c>
      <c r="E24" s="326"/>
    </row>
    <row r="25" spans="1:5" ht="15.75" hidden="1" customHeight="1">
      <c r="A25" s="12" t="e">
        <f>dalolatnoma!A38</f>
        <v>#REF!</v>
      </c>
      <c r="B25" s="12" t="e">
        <f>dalolatnoma!B38</f>
        <v>#REF!</v>
      </c>
      <c r="C25" s="12" t="e">
        <f>dalolatnoma!C38</f>
        <v>#REF!</v>
      </c>
      <c r="D25" s="12" t="e">
        <f>dalolatnoma!D38</f>
        <v>#REF!</v>
      </c>
      <c r="E25" s="326"/>
    </row>
    <row r="26" spans="1:5" ht="17.25" hidden="1" customHeight="1">
      <c r="A26" s="12" t="e">
        <f>dalolatnoma!A39</f>
        <v>#REF!</v>
      </c>
      <c r="B26" s="12" t="e">
        <f>dalolatnoma!B39</f>
        <v>#REF!</v>
      </c>
      <c r="C26" s="12" t="e">
        <f>dalolatnoma!C39</f>
        <v>#REF!</v>
      </c>
      <c r="D26" s="12" t="e">
        <f>dalolatnoma!D39</f>
        <v>#REF!</v>
      </c>
      <c r="E26" s="326"/>
    </row>
    <row r="27" spans="1:5" ht="17.25" hidden="1" customHeight="1">
      <c r="A27" s="12" t="e">
        <f>dalolatnoma!A40</f>
        <v>#REF!</v>
      </c>
      <c r="B27" s="12" t="e">
        <f>dalolatnoma!B40</f>
        <v>#REF!</v>
      </c>
      <c r="C27" s="12" t="e">
        <f>dalolatnoma!C40</f>
        <v>#REF!</v>
      </c>
      <c r="D27" s="12" t="e">
        <f>dalolatnoma!D40</f>
        <v>#REF!</v>
      </c>
      <c r="E27" s="326"/>
    </row>
    <row r="28" spans="1:5" ht="17.25" hidden="1" customHeight="1">
      <c r="A28" s="12" t="e">
        <f>dalolatnoma!A41</f>
        <v>#REF!</v>
      </c>
      <c r="B28" s="12" t="e">
        <f>dalolatnoma!B41</f>
        <v>#REF!</v>
      </c>
      <c r="C28" s="12" t="e">
        <f>dalolatnoma!C41</f>
        <v>#REF!</v>
      </c>
      <c r="D28" s="12" t="e">
        <f>dalolatnoma!D41</f>
        <v>#REF!</v>
      </c>
      <c r="E28" s="326"/>
    </row>
    <row r="29" spans="1:5" ht="17.25" hidden="1" customHeight="1">
      <c r="A29" s="12" t="e">
        <f>dalolatnoma!A42</f>
        <v>#REF!</v>
      </c>
      <c r="B29" s="12" t="e">
        <f>dalolatnoma!B42</f>
        <v>#REF!</v>
      </c>
      <c r="C29" s="12" t="e">
        <f>dalolatnoma!C42</f>
        <v>#REF!</v>
      </c>
      <c r="D29" s="12" t="e">
        <f>dalolatnoma!D42</f>
        <v>#REF!</v>
      </c>
      <c r="E29" s="326"/>
    </row>
    <row r="30" spans="1:5" ht="17.25" hidden="1" customHeight="1">
      <c r="A30" s="12" t="e">
        <f>dalolatnoma!A43</f>
        <v>#REF!</v>
      </c>
      <c r="B30" s="12" t="e">
        <f>dalolatnoma!B43</f>
        <v>#REF!</v>
      </c>
      <c r="C30" s="12" t="e">
        <f>dalolatnoma!C43</f>
        <v>#REF!</v>
      </c>
      <c r="D30" s="12" t="e">
        <f>dalolatnoma!D43</f>
        <v>#REF!</v>
      </c>
      <c r="E30" s="327"/>
    </row>
    <row r="31" spans="1:5" ht="17.25" hidden="1" customHeight="1">
      <c r="A31" s="12" t="e">
        <f>dalolatnoma!A44</f>
        <v>#REF!</v>
      </c>
      <c r="B31" s="12" t="e">
        <f>dalolatnoma!B44</f>
        <v>#REF!</v>
      </c>
      <c r="C31" s="12" t="e">
        <f>dalolatnoma!C44</f>
        <v>#REF!</v>
      </c>
      <c r="D31" s="12" t="e">
        <f>dalolatnoma!D44</f>
        <v>#REF!</v>
      </c>
      <c r="E31" s="12" t="str">
        <f>dalolatnoma!E44</f>
        <v>56 000 000,00</v>
      </c>
    </row>
    <row r="32" spans="1:5" ht="18.75" hidden="1" customHeight="1">
      <c r="A32" s="361" t="e">
        <f>_xlfn.SINGLE(dalolatnoma!#REF!)</f>
        <v>#REF!</v>
      </c>
      <c r="B32" s="361"/>
      <c r="C32" s="361"/>
      <c r="D32" s="361"/>
      <c r="E32" s="361"/>
    </row>
    <row r="33" spans="1:5" ht="24.75" hidden="1" customHeight="1">
      <c r="A33" s="361" t="e">
        <f>_xlfn.SINGLE(dalolatnoma!#REF!)</f>
        <v>#REF!</v>
      </c>
      <c r="B33" s="361"/>
      <c r="C33" s="361"/>
      <c r="D33" s="361"/>
      <c r="E33" s="361"/>
    </row>
    <row r="34" spans="1:5" ht="30.75" hidden="1" customHeight="1">
      <c r="A34" s="361" t="e">
        <f>_xlfn.SINGLE(dalolatnoma!#REF!)</f>
        <v>#REF!</v>
      </c>
      <c r="B34" s="361"/>
      <c r="C34" s="361"/>
      <c r="D34" s="361"/>
      <c r="E34" s="361"/>
    </row>
    <row r="35" spans="1:5" ht="15" hidden="1" customHeight="1">
      <c r="A35" s="361" t="e">
        <f>_xlfn.SINGLE(dalolatnoma!#REF!)</f>
        <v>#REF!</v>
      </c>
      <c r="B35" s="361"/>
      <c r="C35" s="361"/>
      <c r="D35" s="361"/>
      <c r="E35" s="361"/>
    </row>
    <row r="36" spans="1:5">
      <c r="A36" s="17"/>
      <c r="B36" s="17"/>
      <c r="C36" s="17"/>
      <c r="D36" s="17"/>
      <c r="E36" s="17"/>
    </row>
    <row r="37" spans="1:5" s="113" customFormat="1" ht="51" customHeight="1">
      <c r="A37" s="364"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64"/>
      <c r="C37" s="364"/>
      <c r="D37" s="364"/>
      <c r="E37" s="364"/>
    </row>
    <row r="38" spans="1:5" ht="40.5" customHeight="1">
      <c r="A38" s="361" t="str">
        <f>dalolatnoma!A47:E47</f>
        <v>Shu bilan birga, garov predmetining kelishilgan garov qiymati deganda ushbu mulk garov sifatida taqdim etilgan/qabul qilingan qiymati tushuniladi.</v>
      </c>
      <c r="B38" s="361"/>
      <c r="C38" s="361"/>
      <c r="D38" s="361"/>
      <c r="E38" s="361"/>
    </row>
    <row r="39" spans="1:5" ht="39" customHeight="1">
      <c r="A39" s="36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10 aprel 2025 y.dan №745-SM, при сохранении запрета.</v>
      </c>
      <c r="B39" s="361"/>
      <c r="C39" s="361"/>
      <c r="D39" s="361"/>
      <c r="E39" s="361"/>
    </row>
    <row r="40" spans="1:5">
      <c r="A40" s="362"/>
      <c r="B40" s="362"/>
      <c r="C40" s="362"/>
      <c r="D40" s="362"/>
      <c r="E40" s="362"/>
    </row>
    <row r="41" spans="1:5">
      <c r="A41" s="363" t="s">
        <v>34</v>
      </c>
      <c r="B41" s="363"/>
      <c r="C41" s="363"/>
      <c r="D41" s="363"/>
      <c r="E41" s="363"/>
    </row>
    <row r="42" spans="1:5">
      <c r="A42" s="362"/>
      <c r="B42" s="362"/>
      <c r="C42" s="362"/>
      <c r="D42" s="362"/>
      <c r="E42" s="362"/>
    </row>
    <row r="43" spans="1:5">
      <c r="A43" s="363" t="s">
        <v>35</v>
      </c>
      <c r="B43" s="363"/>
      <c r="C43" s="363"/>
      <c r="D43" s="363"/>
      <c r="E43" s="363"/>
    </row>
    <row r="44" spans="1:5" ht="28.5" customHeight="1">
      <c r="A44" s="360" t="s">
        <v>36</v>
      </c>
      <c r="B44" s="360"/>
      <c r="C44" s="360"/>
      <c r="D44" s="360"/>
      <c r="E44" s="93"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5"/>
  <sheetViews>
    <sheetView view="pageBreakPreview" zoomScaleNormal="100" zoomScaleSheetLayoutView="100" workbookViewId="0">
      <selection activeCell="A28" sqref="A28:XFD28"/>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9" width="9.140625" style="19" hidden="1" customWidth="1"/>
    <col min="10" max="10" width="9.140625" style="19" customWidth="1"/>
    <col min="11" max="11" width="0.5703125" style="19" customWidth="1"/>
    <col min="12" max="16384" width="9.140625" style="19"/>
  </cols>
  <sheetData>
    <row r="1" spans="1:9">
      <c r="A1" s="26"/>
      <c r="B1" s="26"/>
      <c r="C1" s="26"/>
      <c r="D1" s="26"/>
      <c r="E1" s="26"/>
      <c r="F1" s="26"/>
      <c r="G1" s="26"/>
      <c r="H1" s="26"/>
      <c r="I1" s="26"/>
    </row>
    <row r="2" spans="1:9">
      <c r="A2" s="373" t="str">
        <f>""&amp;" "&amp;malumot!B74&amp;"-sonli "&amp;" "&amp;malumot!C64&amp;" shartnomasi bo‘yicha
 garovga qo‘yilgan mol-mulkni tekshirish bo’yicha "&amp;malumot!B5&amp;" bilan tuzilgan dalolatnomasi"</f>
        <v xml:space="preserve"> 10 aprel 2025 y.dan №745-SM-sonli  Mikroqarz shartnomasi bo‘yicha
 garovga qo‘yilgan mol-mulkni tekshirish bo’yicha DJURAKULOVA SANAM ASHUROVNA bilan tuzilgan dalolatnomasi</v>
      </c>
      <c r="B2" s="373"/>
      <c r="C2" s="373"/>
      <c r="D2" s="373"/>
      <c r="E2" s="373"/>
      <c r="F2" s="373"/>
      <c r="G2" s="373"/>
      <c r="H2" s="373"/>
      <c r="I2" s="26"/>
    </row>
    <row r="3" spans="1:9">
      <c r="A3" s="373"/>
      <c r="B3" s="373"/>
      <c r="C3" s="373"/>
      <c r="D3" s="373"/>
      <c r="E3" s="373"/>
      <c r="F3" s="373"/>
      <c r="G3" s="373"/>
      <c r="H3" s="373"/>
      <c r="I3" s="26"/>
    </row>
    <row r="5" spans="1:9">
      <c r="A5" s="19" t="s">
        <v>198</v>
      </c>
      <c r="F5" s="130"/>
      <c r="H5" s="119" t="str">
        <f>TEXT(malumot!D2,"ДД.ММ.ГГГГ")</f>
        <v>07.10.2025</v>
      </c>
    </row>
    <row r="7" spans="1:9" ht="45" customHeight="1">
      <c r="A7" s="372" t="str">
        <f>"      Men, “СLEVER MIKROMOLYA TASHKILOTI” "&amp;malumot!A158&amp;"i "&amp;malumot!B158&amp;", jismoniy shaxs "&amp;" "&amp;malumot!B5&amp;" "&amp;" "&amp;malumot!B74&amp;"-sonli "&amp;malumot!B65&amp;" shartnomasi bo‘yicha garovga qo‘yilgan mol-mulkni ko‘zdan kechirdim"</f>
        <v xml:space="preserve">      Men, “СLEVER MIKROMOLYA TASHKILOTI” Samarqand filiali boshlig'ii S.Asrorov, jismoniy shaxs  DJURAKULOVA SANAM ASHUROVNA  10 aprel 2025 y.dan №745-SM-sonli mikroqarz shartnomasi bo‘yicha garovga qo‘yilgan mol-mulkni ko‘zdan kechirdim</v>
      </c>
      <c r="B7" s="372"/>
      <c r="C7" s="372"/>
      <c r="D7" s="372"/>
      <c r="E7" s="372"/>
      <c r="F7" s="372"/>
      <c r="G7" s="372"/>
      <c r="H7" s="372"/>
    </row>
    <row r="8" spans="1:9" ht="19.5" customHeight="1">
      <c r="A8" s="367" t="s">
        <v>269</v>
      </c>
      <c r="B8" s="367"/>
      <c r="C8" s="367"/>
      <c r="D8" s="367"/>
      <c r="E8" s="367"/>
      <c r="F8" s="367"/>
      <c r="G8" s="367"/>
      <c r="H8" s="367"/>
    </row>
    <row r="9" spans="1:9" s="120" customFormat="1" ht="32.25" customHeight="1">
      <c r="A9" s="368" t="str">
        <f>dalolatnoma!A20</f>
        <v>Nomi</v>
      </c>
      <c r="B9" s="369"/>
      <c r="C9" s="368" t="str">
        <f>dalolatnoma!B20</f>
        <v>Kuzov turi  va kuzov raqami*</v>
      </c>
      <c r="D9" s="369"/>
      <c r="E9" s="368" t="str">
        <f>dalolatnoma!D20</f>
        <v>Dvigatel va shassi raqami*</v>
      </c>
      <c r="F9" s="369"/>
      <c r="G9" s="368" t="str">
        <f>dalolatnoma!E20</f>
        <v>Ishlab chiqarilgan yili va rangi**</v>
      </c>
      <c r="H9" s="369"/>
    </row>
    <row r="10" spans="1:9" s="118" customFormat="1" ht="58.5" customHeight="1">
      <c r="A10" s="370" t="str">
        <f>dalolatnoma!A21</f>
        <v>LACETTI</v>
      </c>
      <c r="B10" s="370"/>
      <c r="C10" s="370" t="str">
        <f>dalolatnoma!B21</f>
        <v>kuzov turi - YENGIL SEDAN, kuzov raqami XWB5M31BDBA256320 TASH KUR GENTRA</v>
      </c>
      <c r="D10" s="370"/>
      <c r="E10" s="370" t="str">
        <f>dalolatnoma!D21</f>
        <v>dvigatel raqami 2132251, shassi raqami - RAKAMSIZ</v>
      </c>
      <c r="F10" s="370"/>
      <c r="G10" s="370" t="str">
        <f>dalolatnoma!E21</f>
        <v>rangi -  QORA CHERNIY, ishlab chiqarilgan yili - 2011</v>
      </c>
      <c r="H10" s="370"/>
    </row>
    <row r="11" spans="1:9" ht="19.5" customHeight="1">
      <c r="A11" s="371" t="str">
        <f>dalolatnoma!A22:E22</f>
        <v>-* avtotransport egasi: DJURAKULOVA S.A.</v>
      </c>
      <c r="B11" s="371"/>
      <c r="C11" s="371"/>
      <c r="D11" s="371"/>
      <c r="E11" s="371"/>
      <c r="F11" s="371"/>
      <c r="G11" s="371"/>
      <c r="H11" s="371"/>
    </row>
    <row r="12" spans="1:9" ht="19.5" customHeight="1">
      <c r="A12" s="371" t="str">
        <f>dalolatnoma!A23:E23</f>
        <v>-* texnik pasport: AAG 4271140 05.07.2024y.</v>
      </c>
      <c r="B12" s="371"/>
      <c r="C12" s="371"/>
      <c r="D12" s="371"/>
      <c r="E12" s="371"/>
      <c r="F12" s="371"/>
      <c r="G12" s="371"/>
      <c r="H12" s="371"/>
    </row>
    <row r="13" spans="1:9" ht="19.5" customHeight="1">
      <c r="A13" s="371" t="str">
        <f>dalolatnoma!A24:E24</f>
        <v>-* roʻyxatdan oʻtgan manzili/garaj manzili: SAMARQAND VILOYATI SAMARQAND SHAHAR BOG'ISARIY MAHALLASI SPITAMENSHOX KO'CHASI 252 UY</v>
      </c>
      <c r="B13" s="371"/>
      <c r="C13" s="371"/>
      <c r="D13" s="371"/>
      <c r="E13" s="371"/>
      <c r="F13" s="371"/>
      <c r="G13" s="371"/>
      <c r="H13" s="371"/>
    </row>
    <row r="14" spans="1:9" ht="19.5" customHeight="1">
      <c r="A14" s="371" t="str">
        <f>dalolatnoma!A25:E25</f>
        <v>-* davlat raqami: 30O259OA</v>
      </c>
      <c r="B14" s="371"/>
      <c r="C14" s="371"/>
      <c r="D14" s="371"/>
      <c r="E14" s="371"/>
      <c r="F14" s="371"/>
      <c r="G14" s="371"/>
      <c r="H14" s="371"/>
    </row>
    <row r="15" spans="1:9" ht="33.75" customHeight="1">
      <c r="A15" s="374" t="str">
        <f>+"Shu bilan birga, yuqoridagi mulkning kelishilgan garov qiymati "&amp;dalolatnoma!E30</f>
        <v>Shu bilan birga, yuqoridagi mulkning kelishilgan garov qiymati 56 000 000,00 
(ellik olti million so'm)</v>
      </c>
      <c r="B15" s="374"/>
      <c r="C15" s="374"/>
      <c r="D15" s="374"/>
      <c r="E15" s="374"/>
      <c r="F15" s="374"/>
      <c r="G15" s="374"/>
      <c r="H15" s="374"/>
    </row>
    <row r="17" spans="1:8" ht="27" customHeight="1">
      <c r="A17" s="366" t="s">
        <v>270</v>
      </c>
      <c r="B17" s="366"/>
      <c r="C17" s="366"/>
      <c r="D17" s="366"/>
      <c r="E17" s="366"/>
      <c r="F17" s="366"/>
      <c r="G17" s="366"/>
      <c r="H17" s="366"/>
    </row>
    <row r="21" spans="1:8" s="26" customFormat="1"/>
    <row r="22" spans="1:8" s="26" customFormat="1">
      <c r="A22" s="26" t="str">
        <f>malumot!A158</f>
        <v>Samarqand filiali boshlig'i</v>
      </c>
      <c r="H22" s="121" t="str">
        <f>malumot!B158</f>
        <v>S.Asrorov</v>
      </c>
    </row>
    <row r="23" spans="1:8" s="26" customFormat="1">
      <c r="H23" s="121"/>
    </row>
    <row r="24" spans="1:8" s="26" customFormat="1">
      <c r="H24" s="121"/>
    </row>
    <row r="25" spans="1:8" s="26" customFormat="1">
      <c r="H25" s="121"/>
    </row>
    <row r="26" spans="1:8" s="26" customFormat="1">
      <c r="H26" s="121"/>
    </row>
    <row r="27" spans="1:8" s="26" customFormat="1" ht="16.5" customHeight="1">
      <c r="A27" s="26" t="s">
        <v>271</v>
      </c>
      <c r="H27" s="26" t="str">
        <f>malumot!B168</f>
        <v>J.Karimov</v>
      </c>
    </row>
    <row r="28" spans="1:8" s="26" customFormat="1"/>
    <row r="29" spans="1:8" s="26" customFormat="1"/>
    <row r="30" spans="1:8" s="26" customFormat="1"/>
    <row r="31" spans="1:8" s="26" customFormat="1">
      <c r="A31" s="26" t="s">
        <v>272</v>
      </c>
      <c r="H31" s="121" t="str">
        <f>malumot!B7</f>
        <v>DJURAKULOVA S.A.</v>
      </c>
    </row>
    <row r="32" spans="1:8" s="26" customFormat="1"/>
    <row r="33" s="26" customFormat="1"/>
    <row r="34" s="26" customFormat="1"/>
    <row r="35" s="26"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34"/>
  <sheetViews>
    <sheetView view="pageBreakPreview" zoomScale="115" zoomScaleNormal="100" zoomScaleSheetLayoutView="115" workbookViewId="0">
      <selection activeCell="A25" sqref="A25:XFD25"/>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73" t="str">
        <f>""&amp;" "&amp;malumot!B74&amp;"-sonli "&amp;" "&amp;malumot!C64&amp;" shartnomasi bo‘yicha
 garovga qo‘yilgan mol-mulkni tekshirish bo’yicha "&amp;malumot!B5&amp;" bilan tuzilgan dalolatnomasi"</f>
        <v xml:space="preserve"> 10 aprel 2025 y.dan №745-SM-sonli  Mikroqarz shartnomasi bo‘yicha
 garovga qo‘yilgan mol-mulkni tekshirish bo’yicha DJURAKULOVA SANAM ASHUROVNA bilan tuzilgan dalolatnomasi</v>
      </c>
      <c r="B2" s="373"/>
      <c r="C2" s="373"/>
      <c r="D2" s="373"/>
      <c r="E2" s="373"/>
      <c r="F2" s="373"/>
      <c r="G2" s="373"/>
      <c r="H2" s="373"/>
      <c r="I2" s="26"/>
    </row>
    <row r="3" spans="1:9">
      <c r="A3" s="373"/>
      <c r="B3" s="373"/>
      <c r="C3" s="373"/>
      <c r="D3" s="373"/>
      <c r="E3" s="373"/>
      <c r="F3" s="373"/>
      <c r="G3" s="373"/>
      <c r="H3" s="373"/>
      <c r="I3" s="26"/>
    </row>
    <row r="5" spans="1:9">
      <c r="A5" s="19" t="s">
        <v>198</v>
      </c>
      <c r="H5" s="119" t="str">
        <f>TEXT(+malumot!B2+360,"ДД.ММ.ГГГГ")</f>
        <v>05.04.2026</v>
      </c>
    </row>
    <row r="7" spans="1:9" ht="45" customHeight="1">
      <c r="A7" s="372" t="str">
        <f>"      Men, "&amp;malumot!B155&amp;" "&amp;malumot!A158&amp;"i "&amp;malumot!B158&amp;", jismoniy shaxs "&amp;" "&amp;malumot!B5&amp;" "&amp;" "&amp;malumot!B74&amp;"-sonli "&amp;malumot!C64&amp;" shartnomasi bo‘yicha garovga qo‘yilgan mol-mulkni ko‘zdan kechirdim"</f>
        <v xml:space="preserve">      Men, «CLEVER MIKROMOLIYA TASHKILOTI» MChJ Samarqand filiali boshlig'ii S.Asrorov, jismoniy shaxs  DJURAKULOVA SANAM ASHUROVNA  10 aprel 2025 y.dan №745-SM-sonli Mikroqarz shartnomasi bo‘yicha garovga qo‘yilgan mol-mulkni ko‘zdan kechirdim</v>
      </c>
      <c r="B7" s="372"/>
      <c r="C7" s="372"/>
      <c r="D7" s="372"/>
      <c r="E7" s="372"/>
      <c r="F7" s="372"/>
      <c r="G7" s="372"/>
      <c r="H7" s="372"/>
    </row>
    <row r="8" spans="1:9" ht="19.5" customHeight="1">
      <c r="A8" s="367" t="s">
        <v>269</v>
      </c>
      <c r="B8" s="367"/>
      <c r="C8" s="367"/>
      <c r="D8" s="367"/>
      <c r="E8" s="367"/>
      <c r="F8" s="367"/>
      <c r="G8" s="367"/>
      <c r="H8" s="367"/>
    </row>
    <row r="9" spans="1:9" s="120" customFormat="1" ht="32.25" customHeight="1">
      <c r="A9" s="368" t="str">
        <f>akt_monitoring_1!A9</f>
        <v>Nomi</v>
      </c>
      <c r="B9" s="369"/>
      <c r="C9" s="368" t="str">
        <f>akt_monitoring_1!C9</f>
        <v>Kuzov turi  va kuzov raqami*</v>
      </c>
      <c r="D9" s="369"/>
      <c r="E9" s="368" t="str">
        <f>akt_monitoring_1!E9</f>
        <v>Dvigatel va shassi raqami*</v>
      </c>
      <c r="F9" s="369"/>
      <c r="G9" s="368" t="str">
        <f>akt_monitoring_1!G9</f>
        <v>Ishlab chiqarilgan yili va rangi**</v>
      </c>
      <c r="H9" s="369"/>
    </row>
    <row r="10" spans="1:9" s="118" customFormat="1" ht="58.5" customHeight="1">
      <c r="A10" s="370" t="str">
        <f>akt_monitoring_1!A10</f>
        <v>LACETTI</v>
      </c>
      <c r="B10" s="370"/>
      <c r="C10" s="370" t="str">
        <f>akt_monitoring_1!C10</f>
        <v>kuzov turi - YENGIL SEDAN, kuzov raqami XWB5M31BDBA256320 TASH KUR GENTRA</v>
      </c>
      <c r="D10" s="370"/>
      <c r="E10" s="370" t="str">
        <f>akt_monitoring_1!E10</f>
        <v>dvigatel raqami 2132251, shassi raqami - RAKAMSIZ</v>
      </c>
      <c r="F10" s="370"/>
      <c r="G10" s="370" t="str">
        <f>akt_monitoring_1!G10</f>
        <v>rangi -  QORA CHERNIY, ishlab chiqarilgan yili - 2011</v>
      </c>
      <c r="H10" s="370"/>
    </row>
    <row r="11" spans="1:9" ht="19.5" customHeight="1">
      <c r="A11" s="371" t="str">
        <f>dalolatnoma!A22:E22</f>
        <v>-* avtotransport egasi: DJURAKULOVA S.A.</v>
      </c>
      <c r="B11" s="371"/>
      <c r="C11" s="371"/>
      <c r="D11" s="371"/>
      <c r="E11" s="371"/>
      <c r="F11" s="371"/>
      <c r="G11" s="371"/>
      <c r="H11" s="371"/>
    </row>
    <row r="12" spans="1:9" ht="19.5" customHeight="1">
      <c r="A12" s="371" t="str">
        <f>dalolatnoma!A23:E23</f>
        <v>-* texnik pasport: AAG 4271140 05.07.2024y.</v>
      </c>
      <c r="B12" s="371"/>
      <c r="C12" s="371"/>
      <c r="D12" s="371"/>
      <c r="E12" s="371"/>
      <c r="F12" s="371"/>
      <c r="G12" s="371"/>
      <c r="H12" s="371"/>
    </row>
    <row r="13" spans="1:9" ht="19.5" customHeight="1">
      <c r="A13" s="371" t="str">
        <f>dalolatnoma!A24:E24</f>
        <v>-* roʻyxatdan oʻtgan manzili/garaj manzili: SAMARQAND VILOYATI SAMARQAND SHAHAR BOG'ISARIY MAHALLASI SPITAMENSHOX KO'CHASI 252 UY</v>
      </c>
      <c r="B13" s="371"/>
      <c r="C13" s="371"/>
      <c r="D13" s="371"/>
      <c r="E13" s="371"/>
      <c r="F13" s="371"/>
      <c r="G13" s="371"/>
      <c r="H13" s="371"/>
    </row>
    <row r="14" spans="1:9" ht="19.5" customHeight="1">
      <c r="A14" s="371" t="str">
        <f>dalolatnoma!A25:E25</f>
        <v>-* davlat raqami: 30O259OA</v>
      </c>
      <c r="B14" s="371"/>
      <c r="C14" s="371"/>
      <c r="D14" s="371"/>
      <c r="E14" s="371"/>
      <c r="F14" s="371"/>
      <c r="G14" s="371"/>
      <c r="H14" s="371"/>
    </row>
    <row r="15" spans="1:9" ht="33.75" customHeight="1">
      <c r="A15" s="374" t="str">
        <f>+"Shu bilan birga, yuqoridagi mulkning kelishilgan garov qiymati "&amp;dalolatnoma!E30</f>
        <v>Shu bilan birga, yuqoridagi mulkning kelishilgan garov qiymati 56 000 000,00 
(ellik olti million so'm)</v>
      </c>
      <c r="B15" s="374"/>
      <c r="C15" s="374"/>
      <c r="D15" s="374"/>
      <c r="E15" s="374"/>
      <c r="F15" s="374"/>
      <c r="G15" s="374"/>
      <c r="H15" s="374"/>
    </row>
    <row r="17" spans="1:8" ht="35.25" customHeight="1">
      <c r="A17" s="366" t="s">
        <v>270</v>
      </c>
      <c r="B17" s="366"/>
      <c r="C17" s="366"/>
      <c r="D17" s="366"/>
      <c r="E17" s="366"/>
      <c r="F17" s="366"/>
      <c r="G17" s="366"/>
      <c r="H17" s="366"/>
    </row>
    <row r="21" spans="1:8" s="26" customFormat="1"/>
    <row r="22" spans="1:8" s="26" customFormat="1">
      <c r="A22" s="26" t="str">
        <f>malumot!A158</f>
        <v>Samarqand filiali boshlig'i</v>
      </c>
      <c r="H22" s="121" t="str">
        <f>malumot!B158</f>
        <v>S.Asrorov</v>
      </c>
    </row>
    <row r="23" spans="1:8" s="26" customFormat="1">
      <c r="H23" s="121"/>
    </row>
    <row r="24" spans="1:8" s="26" customFormat="1">
      <c r="H24" s="121"/>
    </row>
    <row r="25" spans="1:8" s="26" customFormat="1">
      <c r="H25" s="121"/>
    </row>
    <row r="26" spans="1:8" s="26" customFormat="1">
      <c r="H26" s="121"/>
    </row>
    <row r="27" spans="1:8" s="26" customFormat="1" ht="16.5" customHeight="1">
      <c r="A27" s="26" t="s">
        <v>271</v>
      </c>
      <c r="H27" s="26" t="str">
        <f>malumot!B168</f>
        <v>J.Karimov</v>
      </c>
    </row>
    <row r="28" spans="1:8" s="26" customFormat="1"/>
    <row r="29" spans="1:8" s="26" customFormat="1"/>
    <row r="30" spans="1:8" s="26" customFormat="1"/>
    <row r="31" spans="1:8" s="26" customFormat="1">
      <c r="A31" s="26" t="s">
        <v>272</v>
      </c>
      <c r="H31" s="121" t="str">
        <f>malumot!B7</f>
        <v>DJURAKULOVA S.A.</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B1" zoomScaleNormal="100" zoomScaleSheetLayoutView="100" workbookViewId="0">
      <selection activeCell="X49" sqref="X4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73" t="str">
        <f>""&amp;" "&amp;malumot!B74&amp;"-sonli "&amp;" "&amp;malumot!C64&amp;" shartnomasi bo‘yicha
 garovga qo‘yilgan mol-mulkni tekshirish bo’yicha "&amp;malumot!B5&amp;" bilan tuzilgan dalolatnomasi"</f>
        <v xml:space="preserve"> 10 aprel 2025 y.dan №745-SM-sonli  Mikroqarz shartnomasi bo‘yicha
 garovga qo‘yilgan mol-mulkni tekshirish bo’yicha DJURAKULOVA SANAM ASHUROVNA bilan tuzilgan dalolatnomasi</v>
      </c>
      <c r="B2" s="373"/>
      <c r="C2" s="373"/>
      <c r="D2" s="373"/>
      <c r="E2" s="373"/>
      <c r="F2" s="373"/>
      <c r="G2" s="373"/>
      <c r="H2" s="373"/>
      <c r="I2" s="26"/>
    </row>
    <row r="3" spans="1:9">
      <c r="A3" s="373"/>
      <c r="B3" s="373"/>
      <c r="C3" s="373"/>
      <c r="D3" s="373"/>
      <c r="E3" s="373"/>
      <c r="F3" s="373"/>
      <c r="G3" s="373"/>
      <c r="H3" s="373"/>
      <c r="I3" s="26"/>
    </row>
    <row r="5" spans="1:9">
      <c r="A5" s="19" t="s">
        <v>198</v>
      </c>
      <c r="H5" s="119" t="str">
        <f>TEXT(+malumot!B2+540,"ДД.ММ.ГГГГ")</f>
        <v>02.10.2026</v>
      </c>
    </row>
    <row r="7" spans="1:9" ht="45" customHeight="1">
      <c r="A7" s="372" t="str">
        <f>"      Men, "&amp;malumot!B155&amp;" "&amp;malumot!A158&amp;"i "&amp;malumot!B158&amp;", jismoniy shaxs "&amp;" "&amp;malumot!B5&amp;" "&amp;" "&amp;malumot!B74&amp;"-sonli "&amp;malumot!C64&amp;" shartnomasi bo‘yicha garovga qo‘yilgan mol-mulkni ko‘zdan kechirdim"</f>
        <v xml:space="preserve">      Men, «CLEVER MIKROMOLIYA TASHKILOTI» MChJ Samarqand filiali boshlig'ii S.Asrorov, jismoniy shaxs  DJURAKULOVA SANAM ASHUROVNA  10 aprel 2025 y.dan №745-SM-sonli Mikroqarz shartnomasi bo‘yicha garovga qo‘yilgan mol-mulkni ko‘zdan kechirdim</v>
      </c>
      <c r="B7" s="372"/>
      <c r="C7" s="372"/>
      <c r="D7" s="372"/>
      <c r="E7" s="372"/>
      <c r="F7" s="372"/>
      <c r="G7" s="372"/>
      <c r="H7" s="372"/>
    </row>
    <row r="8" spans="1:9" ht="19.5" customHeight="1">
      <c r="A8" s="367" t="s">
        <v>269</v>
      </c>
      <c r="B8" s="367"/>
      <c r="C8" s="367"/>
      <c r="D8" s="367"/>
      <c r="E8" s="367"/>
      <c r="F8" s="367"/>
      <c r="G8" s="367"/>
      <c r="H8" s="367"/>
    </row>
    <row r="9" spans="1:9" s="120" customFormat="1" ht="32.25" customHeight="1">
      <c r="A9" s="368" t="str">
        <f>akt_monitoring_1!A9</f>
        <v>Nomi</v>
      </c>
      <c r="B9" s="369"/>
      <c r="C9" s="368" t="str">
        <f>akt_monitoring_1!C9</f>
        <v>Kuzov turi  va kuzov raqami*</v>
      </c>
      <c r="D9" s="369"/>
      <c r="E9" s="368" t="str">
        <f>akt_monitoring_1!E9</f>
        <v>Dvigatel va shassi raqami*</v>
      </c>
      <c r="F9" s="369"/>
      <c r="G9" s="368" t="str">
        <f>akt_monitoring_1!G9</f>
        <v>Ishlab chiqarilgan yili va rangi**</v>
      </c>
      <c r="H9" s="369"/>
    </row>
    <row r="10" spans="1:9" s="118" customFormat="1" ht="58.5" customHeight="1">
      <c r="A10" s="375" t="str">
        <f>akt_monitoring_1!A10</f>
        <v>LACETTI</v>
      </c>
      <c r="B10" s="376"/>
      <c r="C10" s="375" t="str">
        <f>akt_monitoring_1!C10</f>
        <v>kuzov turi - YENGIL SEDAN, kuzov raqami XWB5M31BDBA256320 TASH KUR GENTRA</v>
      </c>
      <c r="D10" s="376"/>
      <c r="E10" s="375" t="str">
        <f>akt_monitoring_1!E10</f>
        <v>dvigatel raqami 2132251, shassi raqami - RAKAMSIZ</v>
      </c>
      <c r="F10" s="376"/>
      <c r="G10" s="375" t="str">
        <f>akt_monitoring_1!G10</f>
        <v>rangi -  QORA CHERNIY, ishlab chiqarilgan yili - 2011</v>
      </c>
      <c r="H10" s="376"/>
    </row>
    <row r="11" spans="1:9" ht="19.5" customHeight="1">
      <c r="A11" s="371" t="str">
        <f>dalolatnoma!A22:E22</f>
        <v>-* avtotransport egasi: DJURAKULOVA S.A.</v>
      </c>
      <c r="B11" s="371"/>
      <c r="C11" s="371"/>
      <c r="D11" s="371"/>
      <c r="E11" s="371"/>
      <c r="F11" s="371"/>
      <c r="G11" s="371"/>
      <c r="H11" s="371"/>
    </row>
    <row r="12" spans="1:9" ht="19.5" customHeight="1">
      <c r="A12" s="371" t="str">
        <f>dalolatnoma!A23:E23</f>
        <v>-* texnik pasport: AAG 4271140 05.07.2024y.</v>
      </c>
      <c r="B12" s="371"/>
      <c r="C12" s="371"/>
      <c r="D12" s="371"/>
      <c r="E12" s="371"/>
      <c r="F12" s="371"/>
      <c r="G12" s="371"/>
      <c r="H12" s="371"/>
    </row>
    <row r="13" spans="1:9" ht="19.5" customHeight="1">
      <c r="A13" s="371" t="str">
        <f>dalolatnoma!A24:E24</f>
        <v>-* roʻyxatdan oʻtgan manzili/garaj manzili: SAMARQAND VILOYATI SAMARQAND SHAHAR BOG'ISARIY MAHALLASI SPITAMENSHOX KO'CHASI 252 UY</v>
      </c>
      <c r="B13" s="371"/>
      <c r="C13" s="371"/>
      <c r="D13" s="371"/>
      <c r="E13" s="371"/>
      <c r="F13" s="371"/>
      <c r="G13" s="371"/>
      <c r="H13" s="371"/>
    </row>
    <row r="14" spans="1:9" ht="19.5" customHeight="1">
      <c r="A14" s="371" t="str">
        <f>dalolatnoma!A25:E25</f>
        <v>-* davlat raqami: 30O259OA</v>
      </c>
      <c r="B14" s="371"/>
      <c r="C14" s="371"/>
      <c r="D14" s="371"/>
      <c r="E14" s="371"/>
      <c r="F14" s="371"/>
      <c r="G14" s="371"/>
      <c r="H14" s="371"/>
    </row>
    <row r="15" spans="1:9" ht="33.75" customHeight="1">
      <c r="A15" s="374" t="str">
        <f>+"Shu bilan birga, yuqoridagi mulkning kelishilgan garov qiymati "&amp;dalolatnoma!E30</f>
        <v>Shu bilan birga, yuqoridagi mulkning kelishilgan garov qiymati 56 000 000,00 
(ellik olti million so'm)</v>
      </c>
      <c r="B15" s="374"/>
      <c r="C15" s="374"/>
      <c r="D15" s="374"/>
      <c r="E15" s="374"/>
      <c r="F15" s="374"/>
      <c r="G15" s="374"/>
      <c r="H15" s="374"/>
    </row>
    <row r="17" spans="1:8" s="118" customFormat="1" ht="32.25" customHeight="1">
      <c r="A17" s="366" t="s">
        <v>270</v>
      </c>
      <c r="B17" s="366"/>
      <c r="C17" s="366"/>
      <c r="D17" s="366"/>
      <c r="E17" s="366"/>
      <c r="F17" s="366"/>
      <c r="G17" s="366"/>
      <c r="H17" s="366"/>
    </row>
    <row r="21" spans="1:8" s="26" customFormat="1"/>
    <row r="22" spans="1:8" s="26" customFormat="1">
      <c r="A22" s="26" t="str">
        <f>malumot!A158</f>
        <v>Samarqand filiali boshlig'i</v>
      </c>
      <c r="H22" s="121" t="str">
        <f>malumot!B158</f>
        <v>S.Asrorov</v>
      </c>
    </row>
    <row r="23" spans="1:8" s="26" customFormat="1">
      <c r="H23" s="121"/>
    </row>
    <row r="24" spans="1:8" s="26" customFormat="1">
      <c r="H24" s="121"/>
    </row>
    <row r="25" spans="1:8" s="26" customFormat="1">
      <c r="H25" s="121"/>
    </row>
    <row r="26" spans="1:8" s="26" customFormat="1">
      <c r="H26" s="121"/>
    </row>
    <row r="27" spans="1:8" s="26" customFormat="1" ht="16.5" customHeight="1">
      <c r="A27" s="26" t="s">
        <v>271</v>
      </c>
      <c r="H27" s="26" t="str">
        <f>malumot!B168</f>
        <v>J.Karimov</v>
      </c>
    </row>
    <row r="28" spans="1:8" s="26" customFormat="1"/>
    <row r="29" spans="1:8" s="26" customFormat="1"/>
    <row r="30" spans="1:8" s="26" customFormat="1"/>
    <row r="31" spans="1:8" s="26" customFormat="1">
      <c r="A31" s="26" t="s">
        <v>272</v>
      </c>
      <c r="H31" s="121" t="str">
        <f>malumot!B7</f>
        <v>DJURAKULOVA S.A.</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zoomScaleNormal="100" zoomScaleSheetLayoutView="100" workbookViewId="0">
      <selection activeCell="F39" sqref="F3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73" t="str">
        <f>""&amp;" "&amp;malumot!B74&amp;"-sonli "&amp;" "&amp;malumot!C64&amp;" shartnomasi bo‘yicha
 garovga qo‘yilgan mol-mulkni tekshirish bo’yicha "&amp;malumot!B5&amp;" bilan tuzilgan dalolatnomasi"</f>
        <v xml:space="preserve"> 10 aprel 2025 y.dan №745-SM-sonli  Mikroqarz shartnomasi bo‘yicha
 garovga qo‘yilgan mol-mulkni tekshirish bo’yicha DJURAKULOVA SANAM ASHUROVNA bilan tuzilgan dalolatnomasi</v>
      </c>
      <c r="B2" s="373"/>
      <c r="C2" s="373"/>
      <c r="D2" s="373"/>
      <c r="E2" s="373"/>
      <c r="F2" s="373"/>
      <c r="G2" s="373"/>
      <c r="H2" s="373"/>
      <c r="I2" s="26"/>
    </row>
    <row r="3" spans="1:9">
      <c r="A3" s="373"/>
      <c r="B3" s="373"/>
      <c r="C3" s="373"/>
      <c r="D3" s="373"/>
      <c r="E3" s="373"/>
      <c r="F3" s="373"/>
      <c r="G3" s="373"/>
      <c r="H3" s="373"/>
      <c r="I3" s="26"/>
    </row>
    <row r="5" spans="1:9">
      <c r="A5" s="19" t="s">
        <v>198</v>
      </c>
      <c r="H5" s="119" t="str">
        <f>TEXT(+malumot!B2+720,"ДД.ММ.ГГГГ")</f>
        <v>31.03.2027</v>
      </c>
    </row>
    <row r="7" spans="1:9" ht="45" customHeight="1">
      <c r="A7" s="372" t="str">
        <f>"      Men, "&amp;malumot!B155&amp;" "&amp;malumot!A158&amp;"i "&amp;malumot!B158&amp;", jismoniy shaxs "&amp;" "&amp;malumot!B5&amp;" "&amp;" "&amp;malumot!B74&amp;"-sonli "&amp;malumot!C64&amp;" shartnomasi bo‘yicha garovga qo‘yilgan mol-mulkni ko‘zdan kechirdim"</f>
        <v xml:space="preserve">      Men, «CLEVER MIKROMOLIYA TASHKILOTI» MChJ Samarqand filiali boshlig'ii S.Asrorov, jismoniy shaxs  DJURAKULOVA SANAM ASHUROVNA  10 aprel 2025 y.dan №745-SM-sonli Mikroqarz shartnomasi bo‘yicha garovga qo‘yilgan mol-mulkni ko‘zdan kechirdim</v>
      </c>
      <c r="B7" s="372"/>
      <c r="C7" s="372"/>
      <c r="D7" s="372"/>
      <c r="E7" s="372"/>
      <c r="F7" s="372"/>
      <c r="G7" s="372"/>
      <c r="H7" s="372"/>
    </row>
    <row r="8" spans="1:9" ht="19.5" customHeight="1">
      <c r="A8" s="367" t="s">
        <v>269</v>
      </c>
      <c r="B8" s="367"/>
      <c r="C8" s="367"/>
      <c r="D8" s="367"/>
      <c r="E8" s="367"/>
      <c r="F8" s="367"/>
      <c r="G8" s="367"/>
      <c r="H8" s="367"/>
    </row>
    <row r="9" spans="1:9" s="120" customFormat="1" ht="32.25" customHeight="1">
      <c r="A9" s="368" t="str">
        <f>akt_monitoring_1!A9</f>
        <v>Nomi</v>
      </c>
      <c r="B9" s="369"/>
      <c r="C9" s="368" t="str">
        <f>akt_monitoring_1!C9</f>
        <v>Kuzov turi  va kuzov raqami*</v>
      </c>
      <c r="D9" s="369"/>
      <c r="E9" s="368" t="str">
        <f>akt_monitoring_1!E9</f>
        <v>Dvigatel va shassi raqami*</v>
      </c>
      <c r="F9" s="369"/>
      <c r="G9" s="368" t="str">
        <f>akt_monitoring_1!G9</f>
        <v>Ishlab chiqarilgan yili va rangi**</v>
      </c>
      <c r="H9" s="369"/>
    </row>
    <row r="10" spans="1:9" s="118" customFormat="1" ht="58.5" customHeight="1">
      <c r="A10" s="370" t="str">
        <f>akt_monitoring_1!A10</f>
        <v>LACETTI</v>
      </c>
      <c r="B10" s="370"/>
      <c r="C10" s="370" t="str">
        <f>akt_monitoring_1!C10</f>
        <v>kuzov turi - YENGIL SEDAN, kuzov raqami XWB5M31BDBA256320 TASH KUR GENTRA</v>
      </c>
      <c r="D10" s="370"/>
      <c r="E10" s="370" t="str">
        <f>akt_monitoring_1!E10</f>
        <v>dvigatel raqami 2132251, shassi raqami - RAKAMSIZ</v>
      </c>
      <c r="F10" s="370"/>
      <c r="G10" s="370" t="str">
        <f>akt_monitoring_1!G10</f>
        <v>rangi -  QORA CHERNIY, ishlab chiqarilgan yili - 2011</v>
      </c>
      <c r="H10" s="370"/>
    </row>
    <row r="11" spans="1:9" ht="19.5" customHeight="1">
      <c r="A11" s="371" t="str">
        <f>dalolatnoma!A22:E22</f>
        <v>-* avtotransport egasi: DJURAKULOVA S.A.</v>
      </c>
      <c r="B11" s="371"/>
      <c r="C11" s="371"/>
      <c r="D11" s="371"/>
      <c r="E11" s="371"/>
      <c r="F11" s="371"/>
      <c r="G11" s="371"/>
      <c r="H11" s="371"/>
    </row>
    <row r="12" spans="1:9" ht="19.5" customHeight="1">
      <c r="A12" s="371" t="str">
        <f>dalolatnoma!A23:E23</f>
        <v>-* texnik pasport: AAG 4271140 05.07.2024y.</v>
      </c>
      <c r="B12" s="371"/>
      <c r="C12" s="371"/>
      <c r="D12" s="371"/>
      <c r="E12" s="371"/>
      <c r="F12" s="371"/>
      <c r="G12" s="371"/>
      <c r="H12" s="371"/>
    </row>
    <row r="13" spans="1:9" ht="19.5" customHeight="1">
      <c r="A13" s="371" t="str">
        <f>dalolatnoma!A24:E24</f>
        <v>-* roʻyxatdan oʻtgan manzili/garaj manzili: SAMARQAND VILOYATI SAMARQAND SHAHAR BOG'ISARIY MAHALLASI SPITAMENSHOX KO'CHASI 252 UY</v>
      </c>
      <c r="B13" s="371"/>
      <c r="C13" s="371"/>
      <c r="D13" s="371"/>
      <c r="E13" s="371"/>
      <c r="F13" s="371"/>
      <c r="G13" s="371"/>
      <c r="H13" s="371"/>
    </row>
    <row r="14" spans="1:9" ht="19.5" customHeight="1">
      <c r="A14" s="371" t="str">
        <f>dalolatnoma!A25:E25</f>
        <v>-* davlat raqami: 30O259OA</v>
      </c>
      <c r="B14" s="371"/>
      <c r="C14" s="371"/>
      <c r="D14" s="371"/>
      <c r="E14" s="371"/>
      <c r="F14" s="371"/>
      <c r="G14" s="371"/>
      <c r="H14" s="371"/>
    </row>
    <row r="15" spans="1:9" ht="33.75" customHeight="1">
      <c r="A15" s="374" t="str">
        <f>+"Shu bilan birga, yuqoridagi mulkning kelishilgan garov qiymati "&amp;dalolatnoma!E30</f>
        <v>Shu bilan birga, yuqoridagi mulkning kelishilgan garov qiymati 56 000 000,00 
(ellik olti million so'm)</v>
      </c>
      <c r="B15" s="374"/>
      <c r="C15" s="374"/>
      <c r="D15" s="374"/>
      <c r="E15" s="374"/>
      <c r="F15" s="374"/>
      <c r="G15" s="374"/>
      <c r="H15" s="374"/>
    </row>
    <row r="17" spans="1:8" ht="28.5" customHeight="1">
      <c r="A17" s="366" t="s">
        <v>270</v>
      </c>
      <c r="B17" s="366"/>
      <c r="C17" s="366"/>
      <c r="D17" s="366"/>
      <c r="E17" s="366"/>
      <c r="F17" s="366"/>
      <c r="G17" s="366"/>
      <c r="H17" s="366"/>
    </row>
    <row r="21" spans="1:8" s="26" customFormat="1"/>
    <row r="22" spans="1:8" s="26" customFormat="1">
      <c r="A22" s="26" t="str">
        <f>malumot!A158</f>
        <v>Samarqand filiali boshlig'i</v>
      </c>
      <c r="H22" s="121" t="str">
        <f>malumot!B158</f>
        <v>S.Asrorov</v>
      </c>
    </row>
    <row r="23" spans="1:8" s="26" customFormat="1">
      <c r="H23" s="121"/>
    </row>
    <row r="24" spans="1:8" s="26" customFormat="1">
      <c r="H24" s="121"/>
    </row>
    <row r="25" spans="1:8" s="26" customFormat="1">
      <c r="H25" s="121"/>
    </row>
    <row r="26" spans="1:8" s="26" customFormat="1">
      <c r="H26" s="121"/>
    </row>
    <row r="27" spans="1:8" s="26" customFormat="1" ht="16.5" customHeight="1">
      <c r="A27" s="26" t="s">
        <v>271</v>
      </c>
      <c r="H27" s="26" t="str">
        <f>malumot!B168</f>
        <v>J.Karimov</v>
      </c>
    </row>
    <row r="28" spans="1:8" s="26" customFormat="1"/>
    <row r="29" spans="1:8" s="26" customFormat="1"/>
    <row r="30" spans="1:8" s="26" customFormat="1"/>
    <row r="31" spans="1:8" s="26" customFormat="1">
      <c r="A31" s="26" t="s">
        <v>272</v>
      </c>
      <c r="H31" s="121" t="str">
        <f>malumot!B7</f>
        <v>DJURAKULOVA S.A.</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topLeftCell="A10" zoomScale="130" zoomScaleNormal="130" workbookViewId="0">
      <selection activeCell="C20" sqref="C20"/>
    </sheetView>
  </sheetViews>
  <sheetFormatPr defaultColWidth="16.85546875" defaultRowHeight="15"/>
  <cols>
    <col min="1" max="1" width="16" style="10" customWidth="1"/>
    <col min="2" max="2" width="21.140625" style="10" customWidth="1"/>
    <col min="3" max="3" width="23.85546875" style="10" customWidth="1"/>
    <col min="4" max="4" width="26" style="10" customWidth="1"/>
    <col min="5" max="16384" width="16.85546875" style="10"/>
  </cols>
  <sheetData>
    <row r="1" spans="1:4">
      <c r="B1" s="224" t="s">
        <v>406</v>
      </c>
      <c r="C1" s="222"/>
      <c r="D1" s="222"/>
    </row>
    <row r="2" spans="1:4">
      <c r="B2" s="223" t="s">
        <v>407</v>
      </c>
      <c r="C2" s="162"/>
      <c r="D2" s="162"/>
    </row>
    <row r="3" spans="1:4">
      <c r="B3" s="223" t="s">
        <v>408</v>
      </c>
      <c r="C3" s="162"/>
      <c r="D3" s="162"/>
    </row>
    <row r="4" spans="1:4">
      <c r="B4" s="223" t="s">
        <v>409</v>
      </c>
      <c r="C4" s="162"/>
      <c r="D4" s="162"/>
    </row>
    <row r="6" spans="1:4">
      <c r="A6" s="230">
        <f>malumot!B109</f>
        <v>0</v>
      </c>
      <c r="D6" s="31" t="s">
        <v>411</v>
      </c>
    </row>
    <row r="7" spans="1:4">
      <c r="A7" s="229">
        <f>malumot!B110</f>
        <v>0</v>
      </c>
      <c r="D7" s="31" t="s">
        <v>410</v>
      </c>
    </row>
    <row r="8" spans="1:4">
      <c r="A8" s="229"/>
    </row>
    <row r="9" spans="1:4" ht="87.75" customHeight="1">
      <c r="A9" s="288" t="str">
        <f>"      “CLEVER mikromoliya tashkiloti” MCHJ va " &amp; malumot!B5 &amp; " (pasport: " &amp;malumot!B16 &amp; ", " &amp;malumot!B20 &amp;")" &amp; " o‘rtasida " &amp;malumot!B2 &amp; " yildagi " &amp;malumot!B1 &amp; "-sonli" &amp; notarius!B78 &amp; ", "&amp; malumot!B75 &amp; " (" &amp;malumot!B76 &amp;")" &amp; "miqdorida mikroqarz shartnomasi imzolangan. Mikroqarz shartnomasi bo‘yicha majburiyatlarni o‘z vaqtida bajarish uchun Qarz oluvchi quyidagi mulkni taqdim etdi, xususan:"</f>
        <v xml:space="preserve">      “CLEVER mikromoliya tashkiloti” MCHJ va DJURAKULOVA SANAM ASHUROVNA (pasport: AB 0252157, SAMARQAND VILOYATI SAMARQAND SHAHAR IIB tomonidan 29.06.2015 yilda berilgan) o‘rtasida 10.04.2025 yildagi №745-SM-sonli, 40000000 (qirq million so'm)miqdorida mikroqarz shartnomasi imzolangan. Mikroqarz shartnomasi bo‘yicha majburiyatlarni o‘z vaqtida bajarish uchun Qarz oluvchi quyidagi mulkni taqdim etdi, xususan:</v>
      </c>
      <c r="B9" s="288"/>
      <c r="C9" s="288"/>
      <c r="D9" s="288"/>
    </row>
    <row r="11" spans="1:4" ht="30" customHeight="1">
      <c r="A11" s="33" t="s">
        <v>201</v>
      </c>
      <c r="B11" s="33" t="str">
        <f>IF(malumot!B111=malumot!C111,"Kuzov turi  va kuzov raqami*","Foydali maydoni")</f>
        <v>Kuzov turi  va kuzov raqami*</v>
      </c>
      <c r="C11" s="33" t="str">
        <f>IF(malumot!B111=malumot!C111,"Dvigatel va shassi raqami*","Yashash maydoni")</f>
        <v>Dvigatel va shassi raqami*</v>
      </c>
      <c r="D11" s="33" t="str">
        <f>IF(malumot!B111=malumot!C111,"Ishlab chiqarilgan yili va rangi**","Umumiy maydoni")</f>
        <v>Ishlab chiqarilgan yili va rangi**</v>
      </c>
    </row>
    <row r="12" spans="1:4" ht="76.5" customHeight="1">
      <c r="A12" s="221" t="str">
        <f>IF(malumot!B111=malumot!C111,malumot!B133,malumot!C133)</f>
        <v>LACETTI</v>
      </c>
      <c r="B12" s="221" t="str">
        <f>IF(malumot!B111=malumot!C111,malumot!B135,CONCATENATE(malumot!F138," ","kv.m"))</f>
        <v>kuzov turi - YENGIL SEDAN, kuzov raqami XWB5M31BDBA256320 TASH KUR GENTRA</v>
      </c>
      <c r="C12" s="221" t="str">
        <f>IF(malumot!B111=malumot!C111,malumot!B138,malumot!E141)</f>
        <v>dvigatel raqami 2132251, shassi raqami - RAKAMSIZ</v>
      </c>
      <c r="D12" s="221" t="str">
        <f>IF(malumot!B111=malumot!C111,malumot!B141,malumot!E138)</f>
        <v>rangi -  QORA CHERNIY, ishlab chiqarilgan yili - 2011</v>
      </c>
    </row>
    <row r="13" spans="1:4" ht="19.5" customHeight="1">
      <c r="A13" s="379" t="str">
        <f>"-* "&amp;IF(malumot!B111=malumot!C111,"avtotransport "&amp;"egasi: "&amp;malumot!B125&amp;"","ko'chmas mulk"&amp;" egasi: "&amp;malumot!B125&amp;"")</f>
        <v>-* avtotransport egasi: DJURAKULOVA S.A.</v>
      </c>
      <c r="B13" s="379"/>
      <c r="C13" s="379"/>
      <c r="D13" s="379"/>
    </row>
    <row r="14" spans="1:4">
      <c r="A14" s="377" t="str">
        <f>IF(malumot!B111=malumot!C111,"-* texnik pasport: "&amp;malumot!B132&amp;"","-* reest raqami: "&amp;malumot!C132&amp;"")</f>
        <v>-* texnik pasport: AAG 4271140 05.07.2024y.</v>
      </c>
      <c r="B14" s="377"/>
      <c r="C14" s="377"/>
      <c r="D14" s="377"/>
    </row>
    <row r="15" spans="1:4">
      <c r="A15" s="377" t="str">
        <f>IF(malumot!B111=malumot!C111,"-* davlat raqami: "&amp;malumot!B134&amp;"","-* manzili: "&amp;malumot!C131&amp;"")</f>
        <v>-* davlat raqami: 30O259OA</v>
      </c>
      <c r="B15" s="377"/>
      <c r="C15" s="377"/>
      <c r="D15" s="377"/>
    </row>
    <row r="16" spans="1:4" s="226" customFormat="1">
      <c r="A16" s="227" t="str">
        <f>"-* garov shartnomasi bo'yicha (reestr № " &amp;malumot!B106&amp; " , " &amp;malumot!B107&amp; " yil)"</f>
        <v>-* garov shartnomasi bo'yicha (reestr №  ,  yil)</v>
      </c>
      <c r="B16" s="225"/>
      <c r="C16" s="225"/>
      <c r="D16" s="225"/>
    </row>
    <row r="17" spans="1:4" s="226" customFormat="1">
      <c r="A17" s="225"/>
      <c r="B17" s="225"/>
      <c r="C17" s="225"/>
      <c r="D17" s="225"/>
    </row>
    <row r="18" spans="1:4" ht="51.75" customHeight="1">
      <c r="A18" s="378" t="s">
        <v>412</v>
      </c>
      <c r="B18" s="378"/>
      <c r="C18" s="378"/>
      <c r="D18" s="378"/>
    </row>
    <row r="20" spans="1:4">
      <c r="C20" s="231"/>
    </row>
    <row r="21" spans="1:4">
      <c r="A21" s="170" t="s">
        <v>413</v>
      </c>
    </row>
    <row r="22" spans="1:4">
      <c r="A22" s="170" t="s">
        <v>419</v>
      </c>
      <c r="D22" s="220" t="s">
        <v>385</v>
      </c>
    </row>
    <row r="26" spans="1:4">
      <c r="A26" s="10" t="s">
        <v>414</v>
      </c>
    </row>
    <row r="27" spans="1:4">
      <c r="A27" s="10" t="s">
        <v>415</v>
      </c>
    </row>
    <row r="29" spans="1:4" ht="45.75" customHeight="1">
      <c r="A29" s="288" t="s">
        <v>416</v>
      </c>
      <c r="B29" s="288"/>
      <c r="C29" s="288"/>
      <c r="D29" s="288"/>
    </row>
  </sheetData>
  <mergeCells count="6">
    <mergeCell ref="A15:D15"/>
    <mergeCell ref="A29:D29"/>
    <mergeCell ref="A9:D9"/>
    <mergeCell ref="A18:D18"/>
    <mergeCell ref="A13:D13"/>
    <mergeCell ref="A14:D14"/>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1">
    <tabColor rgb="FF00B050"/>
  </sheetPr>
  <dimension ref="A2:H33"/>
  <sheetViews>
    <sheetView view="pageBreakPreview" topLeftCell="A4" zoomScaleNormal="100" zoomScaleSheetLayoutView="100" workbookViewId="0">
      <selection activeCell="C5" sqref="C5:E5"/>
    </sheetView>
  </sheetViews>
  <sheetFormatPr defaultColWidth="9.140625" defaultRowHeight="15.75"/>
  <cols>
    <col min="1" max="2" width="17.42578125" style="105" customWidth="1"/>
    <col min="3" max="3" width="29.85546875" style="105" customWidth="1"/>
    <col min="4" max="4" width="18.140625" style="105" customWidth="1"/>
    <col min="5" max="5" width="6.5703125" style="105" customWidth="1"/>
    <col min="6" max="16384" width="9.140625" style="105"/>
  </cols>
  <sheetData>
    <row r="2" spans="1:5">
      <c r="A2" s="384" t="s">
        <v>232</v>
      </c>
      <c r="B2" s="384"/>
      <c r="C2" s="384"/>
      <c r="D2" s="384"/>
      <c r="E2" s="384"/>
    </row>
    <row r="3" spans="1:5">
      <c r="E3" s="104" t="str">
        <f>malumot!B68</f>
        <v>10 aprel 2025 y.</v>
      </c>
    </row>
    <row r="5" spans="1:5" s="106" customFormat="1" ht="27" customHeight="1">
      <c r="A5" s="388" t="s">
        <v>233</v>
      </c>
      <c r="B5" s="389"/>
      <c r="C5" s="385" t="str">
        <f>malumot!B8</f>
        <v>DJURAKULOVA SANAM ASHUROVNA</v>
      </c>
      <c r="D5" s="386"/>
      <c r="E5" s="387"/>
    </row>
    <row r="7" spans="1:5" ht="15.75" customHeight="1">
      <c r="A7" s="390" t="s">
        <v>348</v>
      </c>
      <c r="B7" s="391"/>
      <c r="C7" s="392"/>
      <c r="D7" s="107" t="s">
        <v>130</v>
      </c>
      <c r="E7" s="107"/>
    </row>
    <row r="8" spans="1:5">
      <c r="A8" s="393"/>
      <c r="B8" s="394"/>
      <c r="C8" s="395"/>
      <c r="D8" s="107" t="s">
        <v>237</v>
      </c>
      <c r="E8" s="107"/>
    </row>
    <row r="9" spans="1:5" ht="15.75" customHeight="1">
      <c r="A9" s="381" t="s">
        <v>234</v>
      </c>
      <c r="B9" s="381"/>
      <c r="C9" s="381"/>
      <c r="D9" s="107" t="s">
        <v>130</v>
      </c>
      <c r="E9" s="107"/>
    </row>
    <row r="10" spans="1:5">
      <c r="A10" s="381"/>
      <c r="B10" s="381"/>
      <c r="C10" s="381"/>
      <c r="D10" s="107" t="s">
        <v>237</v>
      </c>
      <c r="E10" s="107"/>
    </row>
    <row r="11" spans="1:5" ht="15.75" customHeight="1">
      <c r="A11" s="381" t="s">
        <v>235</v>
      </c>
      <c r="B11" s="381"/>
      <c r="C11" s="381"/>
      <c r="D11" s="107" t="s">
        <v>130</v>
      </c>
      <c r="E11" s="107"/>
    </row>
    <row r="12" spans="1:5">
      <c r="A12" s="381"/>
      <c r="B12" s="381"/>
      <c r="C12" s="381"/>
      <c r="D12" s="107" t="s">
        <v>237</v>
      </c>
      <c r="E12" s="107"/>
    </row>
    <row r="13" spans="1:5" ht="34.5" customHeight="1">
      <c r="A13" s="382" t="s">
        <v>236</v>
      </c>
      <c r="B13" s="382"/>
      <c r="C13" s="382"/>
      <c r="D13" s="382"/>
      <c r="E13" s="382"/>
    </row>
    <row r="14" spans="1:5" ht="16.5" thickBot="1">
      <c r="A14" s="383"/>
      <c r="B14" s="383"/>
      <c r="C14" s="383"/>
      <c r="D14" s="383"/>
      <c r="E14" s="383"/>
    </row>
    <row r="15" spans="1:5" ht="16.5" thickBot="1">
      <c r="A15" s="383"/>
      <c r="B15" s="383"/>
      <c r="C15" s="383"/>
      <c r="D15" s="383"/>
      <c r="E15" s="383"/>
    </row>
    <row r="16" spans="1:5" ht="16.5" thickBot="1">
      <c r="A16" s="383"/>
      <c r="B16" s="383"/>
      <c r="C16" s="383"/>
      <c r="D16" s="383"/>
      <c r="E16" s="383"/>
    </row>
    <row r="18" spans="1:8" ht="18.75" customHeight="1">
      <c r="A18" s="381" t="s">
        <v>238</v>
      </c>
      <c r="B18" s="381"/>
      <c r="C18" s="381"/>
      <c r="D18" s="107" t="s">
        <v>130</v>
      </c>
      <c r="E18" s="107"/>
    </row>
    <row r="19" spans="1:8" ht="18.75" customHeight="1">
      <c r="A19" s="381"/>
      <c r="B19" s="381"/>
      <c r="C19" s="381"/>
      <c r="D19" s="107" t="s">
        <v>237</v>
      </c>
      <c r="E19" s="107"/>
    </row>
    <row r="20" spans="1:8" ht="29.25" customHeight="1">
      <c r="A20" s="381" t="s">
        <v>239</v>
      </c>
      <c r="B20" s="381"/>
      <c r="C20" s="381"/>
      <c r="D20" s="107" t="s">
        <v>130</v>
      </c>
      <c r="E20" s="107"/>
    </row>
    <row r="21" spans="1:8" ht="29.25" customHeight="1">
      <c r="A21" s="381"/>
      <c r="B21" s="381"/>
      <c r="C21" s="381"/>
      <c r="D21" s="107" t="s">
        <v>237</v>
      </c>
      <c r="E21" s="107"/>
    </row>
    <row r="23" spans="1:8" ht="15.75" customHeight="1">
      <c r="A23" s="382" t="s">
        <v>240</v>
      </c>
      <c r="B23" s="382"/>
      <c r="C23" s="382"/>
      <c r="D23" s="382"/>
      <c r="E23" s="382"/>
    </row>
    <row r="24" spans="1:8" ht="16.5" thickBot="1">
      <c r="A24" s="383"/>
      <c r="B24" s="383"/>
      <c r="C24" s="383"/>
      <c r="D24" s="383"/>
      <c r="E24" s="383"/>
    </row>
    <row r="25" spans="1:8" ht="16.5" thickBot="1">
      <c r="A25" s="383"/>
      <c r="B25" s="383"/>
      <c r="C25" s="383"/>
      <c r="D25" s="383"/>
      <c r="E25" s="383"/>
    </row>
    <row r="26" spans="1:8" ht="16.5" thickBot="1">
      <c r="A26" s="383"/>
      <c r="B26" s="383"/>
      <c r="C26" s="383"/>
      <c r="D26" s="383"/>
      <c r="E26" s="383"/>
    </row>
    <row r="28" spans="1:8" ht="78.75" customHeight="1">
      <c r="A28" s="380" t="s">
        <v>241</v>
      </c>
      <c r="B28" s="380"/>
      <c r="C28" s="380"/>
      <c r="D28" s="380"/>
      <c r="E28" s="380"/>
    </row>
    <row r="30" spans="1:8" ht="33" customHeight="1">
      <c r="A30" s="380" t="s">
        <v>242</v>
      </c>
      <c r="B30" s="380"/>
      <c r="C30" s="380"/>
      <c r="D30" s="380"/>
      <c r="E30" s="380"/>
      <c r="F30" s="108"/>
      <c r="G30" s="108"/>
      <c r="H30" s="108"/>
    </row>
    <row r="33" spans="1:5" ht="16.5" thickBot="1">
      <c r="A33" s="109" t="str">
        <f>C5</f>
        <v>DJURAKULOVA SANAM ASHUROVNA</v>
      </c>
      <c r="D33" s="110"/>
      <c r="E33" s="111"/>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grafik</vt:lpstr>
      <vt:lpstr>dalolatnoma</vt:lpstr>
      <vt:lpstr>ariza</vt:lpstr>
      <vt:lpstr>muqova</vt:lpstr>
      <vt:lpstr>mijoz_anketasi</vt:lpstr>
      <vt:lpstr>majburiyatnoma</vt:lpstr>
      <vt:lpstr>kredit_ariza</vt:lpstr>
      <vt:lpstr>garov_ariza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Zulayxo Usmanova</cp:lastModifiedBy>
  <cp:lastPrinted>2025-04-05T04:53:56Z</cp:lastPrinted>
  <dcterms:created xsi:type="dcterms:W3CDTF">2015-06-05T18:19:34Z</dcterms:created>
  <dcterms:modified xsi:type="dcterms:W3CDTF">2025-04-10T06:56:58Z</dcterms:modified>
</cp:coreProperties>
</file>