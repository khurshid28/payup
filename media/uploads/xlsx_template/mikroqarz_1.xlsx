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C:\Users\Admin\PycharmProjects\payup\media\"/>
    </mc:Choice>
  </mc:AlternateContent>
  <xr:revisionPtr revIDLastSave="0" documentId="13_ncr:1_{027F7557-B0E5-40A6-9475-583520D416D7}" xr6:coauthVersionLast="47" xr6:coauthVersionMax="47" xr10:uidLastSave="{00000000-0000-0000-0000-000000000000}"/>
  <bookViews>
    <workbookView xWindow="-120" yWindow="-120" windowWidth="29040" windowHeight="15840" tabRatio="915" activeTab="10" xr2:uid="{00000000-000D-0000-FFFF-FFFF00000000}"/>
  </bookViews>
  <sheets>
    <sheet name="malumot" sheetId="1" r:id="rId1"/>
    <sheet name="shartnoma" sheetId="19" r:id="rId2"/>
    <sheet name="buyruq" sheetId="8" r:id="rId3"/>
    <sheet name="bayonnoma" sheetId="23" r:id="rId4"/>
    <sheet name="График дифференц" sheetId="15" state="hidden" r:id="rId5"/>
    <sheet name="Данные для послед. Залога" sheetId="21" state="hidden" r:id="rId6"/>
    <sheet name="График аннуитет." sheetId="12" state="hidden" r:id="rId7"/>
    <sheet name="xulosa" sheetId="3" r:id="rId8"/>
    <sheet name="dalolatnoma" sheetId="7" r:id="rId9"/>
    <sheet name="grafik" sheetId="16" r:id="rId10"/>
    <sheet name="ariza" sheetId="30" r:id="rId11"/>
    <sheet name="muqova" sheetId="9" r:id="rId12"/>
    <sheet name="mijoz_anketasi" sheetId="4" r:id="rId13"/>
    <sheet name="majburiyatnoma" sheetId="24" r:id="rId14"/>
    <sheet name="Анкета 2" sheetId="22" r:id="rId15"/>
    <sheet name="Кредитная заявка" sheetId="2" r:id="rId16"/>
    <sheet name="заявление залогодателя" sheetId="13" r:id="rId17"/>
    <sheet name="Письмо" sheetId="20" state="hidden" r:id="rId18"/>
    <sheet name=" Акт мониторинга 1" sheetId="26" r:id="rId19"/>
    <sheet name=" Акт мониторинга 2" sheetId="27" r:id="rId20"/>
    <sheet name=" Акт мониторинга 3" sheetId="28" r:id="rId21"/>
    <sheet name=" Акт мониторинга 4" sheetId="29" r:id="rId22"/>
  </sheets>
  <externalReferences>
    <externalReference r:id="rId23"/>
  </externalReferences>
  <definedNames>
    <definedName name="mos">'[1]Общие данные'!$C$23:$D$23</definedName>
    <definedName name="mulk">'[1]Общие данные'!$C$24:$W$24</definedName>
    <definedName name="_xlnm.Print_Area" localSheetId="10">ariza!$A$1:$D$17</definedName>
    <definedName name="_xlnm.Print_Area" localSheetId="3">bayonnoma!$A$1:$E$41</definedName>
    <definedName name="_xlnm.Print_Area" localSheetId="2">buyruq!$A$1:$E$29</definedName>
    <definedName name="_xlnm.Print_Area" localSheetId="8">dalolatnoma!$A$1:$E$60</definedName>
    <definedName name="_xlnm.Print_Area" localSheetId="9">grafik!$A$1:$F$63</definedName>
    <definedName name="_xlnm.Print_Area" localSheetId="12">mijoz_anketasi!$A$1:$F$36</definedName>
    <definedName name="_xlnm.Print_Area" localSheetId="11">muqova!$A$1:$G$42</definedName>
    <definedName name="_xlnm.Print_Area" localSheetId="1">shartnoma!$A$1:$B$133</definedName>
    <definedName name="_xlnm.Print_Area" localSheetId="7">xulosa!$A$1:$E$58</definedName>
    <definedName name="_xlnm.Print_Area" localSheetId="6">'График аннуитет.'!$A$1:$F$63</definedName>
    <definedName name="_xlnm.Print_Area" localSheetId="16">'заявление залогодателя'!$A$3:$B$20</definedName>
    <definedName name="_xlnm.Print_Area" localSheetId="15">'Кредитная заявка'!$A$1:$D$40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2" i="19" l="1"/>
  <c r="B60" i="16"/>
  <c r="B59" i="16"/>
  <c r="E52" i="7"/>
  <c r="B37" i="23"/>
  <c r="B38" i="23"/>
  <c r="D38" i="23"/>
  <c r="B39" i="23"/>
  <c r="D39" i="23"/>
  <c r="A9" i="30"/>
  <c r="A10" i="30"/>
  <c r="B10" i="30"/>
  <c r="A11" i="30"/>
  <c r="B11" i="30"/>
  <c r="A12" i="30"/>
  <c r="B12" i="30"/>
  <c r="A13" i="30"/>
  <c r="B13" i="30"/>
  <c r="A14" i="30"/>
  <c r="B14" i="30"/>
  <c r="C4" i="30"/>
  <c r="C5" i="30"/>
  <c r="C1" i="30"/>
  <c r="A16" i="30"/>
  <c r="A128" i="19"/>
  <c r="B54" i="3"/>
  <c r="C56" i="3"/>
  <c r="C55" i="3"/>
  <c r="C54" i="3"/>
  <c r="B56" i="3"/>
  <c r="B55" i="3"/>
  <c r="B139" i="1" l="1"/>
  <c r="B133" i="1" l="1"/>
  <c r="B65" i="1" l="1"/>
  <c r="F27" i="4"/>
  <c r="A21" i="3" s="1"/>
  <c r="D59" i="7"/>
  <c r="A126" i="19"/>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22" i="1"/>
  <c r="C128" i="1" s="1"/>
  <c r="C120" i="1"/>
  <c r="C126" i="1" s="1"/>
  <c r="C119" i="1"/>
  <c r="C125" i="1" s="1"/>
  <c r="C118" i="1"/>
  <c r="C124" i="1" s="1"/>
  <c r="C117" i="1"/>
  <c r="C123" i="1" s="1"/>
  <c r="A62" i="7"/>
  <c r="A61" i="7"/>
  <c r="F61" i="7"/>
  <c r="A25" i="7"/>
  <c r="A23" i="7"/>
  <c r="H24" i="27" l="1"/>
  <c r="A9" i="26"/>
  <c r="A9" i="29" s="1"/>
  <c r="A9" i="27" l="1"/>
  <c r="A9" i="28"/>
  <c r="I132" i="1"/>
  <c r="A48" i="3"/>
  <c r="A35" i="3"/>
  <c r="E30" i="3"/>
  <c r="A30" i="3"/>
  <c r="A33" i="3"/>
  <c r="D29" i="7" l="1"/>
  <c r="D30" i="3" s="1"/>
  <c r="F136" i="1"/>
  <c r="E139" i="1"/>
  <c r="E136" i="1"/>
  <c r="D20" i="7"/>
  <c r="E20" i="7"/>
  <c r="G9" i="26" s="1"/>
  <c r="B20" i="7"/>
  <c r="G9" i="28" l="1"/>
  <c r="G9" i="27"/>
  <c r="G9" i="29"/>
  <c r="B29" i="7"/>
  <c r="B30" i="3" s="1"/>
  <c r="C9" i="26"/>
  <c r="C29" i="7"/>
  <c r="C30" i="3" s="1"/>
  <c r="E9" i="26"/>
  <c r="E9" i="29" l="1"/>
  <c r="E9" i="28"/>
  <c r="E9" i="27"/>
  <c r="C9" i="29"/>
  <c r="C9" i="28"/>
  <c r="C9" i="27"/>
  <c r="B76" i="1"/>
  <c r="H24" i="29" l="1"/>
  <c r="H24" i="28"/>
  <c r="A22" i="26"/>
  <c r="H24" i="26"/>
  <c r="A51" i="3"/>
  <c r="A37" i="3"/>
  <c r="A1" i="3"/>
  <c r="D17" i="23"/>
  <c r="E17" i="23" s="1"/>
  <c r="A1" i="23"/>
  <c r="D58" i="16"/>
  <c r="A116" i="1" l="1"/>
  <c r="A115" i="1"/>
  <c r="A114" i="1"/>
  <c r="A113" i="1"/>
  <c r="C22" i="1"/>
  <c r="H9" i="23"/>
  <c r="A57" i="16"/>
  <c r="A18" i="23" l="1"/>
  <c r="A7" i="23"/>
  <c r="B49" i="1"/>
  <c r="B59" i="1" s="1"/>
  <c r="A16" i="4" l="1"/>
  <c r="A17" i="4"/>
  <c r="A7" i="24"/>
  <c r="B27" i="1"/>
  <c r="B119" i="19" s="1"/>
  <c r="B34" i="1"/>
  <c r="B122" i="1"/>
  <c r="B128" i="1" s="1"/>
  <c r="A24" i="7" s="1"/>
  <c r="A34" i="3" s="1"/>
  <c r="B120" i="1"/>
  <c r="B119" i="1"/>
  <c r="B118" i="1"/>
  <c r="D62" i="7" s="1"/>
  <c r="B117"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23" i="1"/>
  <c r="A22" i="7" s="1"/>
  <c r="B124" i="1"/>
  <c r="A18" i="8" l="1"/>
  <c r="A32" i="3"/>
  <c r="H7" i="23"/>
  <c r="A2" i="23" s="1"/>
  <c r="B126" i="1" l="1"/>
  <c r="B125" i="1"/>
  <c r="A120" i="19" l="1"/>
  <c r="A53" i="16" s="1"/>
  <c r="A30" i="4"/>
  <c r="D55" i="16"/>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B24" i="9" l="1"/>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70" i="1"/>
  <c r="H132" i="1"/>
  <c r="I131" i="1"/>
  <c r="F131" i="1" s="1"/>
  <c r="H131" i="1"/>
  <c r="C131" i="1"/>
  <c r="B9" i="1"/>
  <c r="B8" i="1"/>
  <c r="B142" i="1"/>
  <c r="B143" i="1" s="1"/>
  <c r="E21" i="7"/>
  <c r="B136" i="1"/>
  <c r="D21" i="7" s="1"/>
  <c r="E10" i="26" s="1"/>
  <c r="B21" i="7"/>
  <c r="C10" i="26" s="1"/>
  <c r="B11" i="1" l="1"/>
  <c r="B13" i="1" s="1"/>
  <c r="G10" i="26"/>
  <c r="D30" i="7"/>
  <c r="D31" i="3" s="1"/>
  <c r="E10" i="28"/>
  <c r="E10" i="27"/>
  <c r="E10" i="29"/>
  <c r="C10" i="28"/>
  <c r="C10" i="27"/>
  <c r="C10" i="29"/>
  <c r="C132" i="1"/>
  <c r="A17" i="7" s="1"/>
  <c r="A21" i="7"/>
  <c r="A10" i="26" s="1"/>
  <c r="C143" i="1"/>
  <c r="B144" i="1"/>
  <c r="A6" i="2"/>
  <c r="E30" i="7"/>
  <c r="E31" i="3" s="1"/>
  <c r="A48" i="7"/>
  <c r="A15" i="7"/>
  <c r="E131" i="1"/>
  <c r="A27" i="3"/>
  <c r="B9" i="13"/>
  <c r="A20" i="3"/>
  <c r="A27" i="2"/>
  <c r="A28" i="2"/>
  <c r="F132" i="1"/>
  <c r="E132"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8" i="1"/>
  <c r="R130" i="1" l="1"/>
  <c r="R131" i="1" s="1"/>
  <c r="N132" i="1" s="1"/>
  <c r="A25" i="13"/>
  <c r="A26" i="13" s="1"/>
  <c r="A28" i="13" s="1"/>
  <c r="A20" i="13" s="1"/>
  <c r="C63" i="7" s="1"/>
  <c r="Q130" i="1"/>
  <c r="Q131" i="1" s="1"/>
  <c r="N131" i="1" s="1"/>
  <c r="B24" i="4" l="1"/>
  <c r="B67" i="1" l="1"/>
  <c r="C78" i="1" s="1"/>
  <c r="C79" i="1" s="1"/>
  <c r="C80" i="1" s="1"/>
  <c r="B79" i="1" s="1"/>
  <c r="B80" i="1" s="1"/>
  <c r="B151" i="1" l="1"/>
  <c r="B149" i="1"/>
  <c r="C18" i="1" l="1"/>
  <c r="B20" i="1" l="1"/>
  <c r="C20" i="1"/>
  <c r="A5" i="19" s="1"/>
  <c r="C121" i="1" l="1"/>
  <c r="B121" i="19"/>
  <c r="C6" i="30"/>
  <c r="B121" i="1"/>
  <c r="B127" i="1" s="1"/>
  <c r="C127" i="1"/>
  <c r="D53" i="16"/>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42"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50"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71" i="1"/>
  <c r="A4" i="8" s="1"/>
  <c r="B148"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34" i="20"/>
  <c r="A35" i="20"/>
  <c r="C148" i="1"/>
  <c r="A9" i="20" l="1"/>
  <c r="N129" i="1"/>
  <c r="E44" i="7"/>
  <c r="E31" i="20" s="1"/>
  <c r="A23" i="2" l="1"/>
  <c r="A32" i="20"/>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C13" i="16"/>
  <c r="C12" i="16"/>
  <c r="C11" i="16"/>
  <c r="C10" i="16"/>
  <c r="B90" i="1" l="1"/>
  <c r="F8" i="12" s="1"/>
  <c r="F45" i="16"/>
  <c r="D45" i="16"/>
  <c r="E45" i="16"/>
  <c r="C63" i="1"/>
  <c r="C60" i="1" s="1"/>
  <c r="A23" i="3" l="1"/>
  <c r="A22" i="3" s="1"/>
  <c r="A24" i="3"/>
  <c r="D8" i="12"/>
  <c r="F9" i="12"/>
  <c r="F10" i="12" l="1"/>
  <c r="C9" i="12"/>
  <c r="E9" i="12" l="1"/>
  <c r="F11" i="12"/>
  <c r="F12" i="12" l="1"/>
  <c r="D9" i="12"/>
  <c r="C10" i="12" l="1"/>
  <c r="F13" i="12"/>
  <c r="F14" i="12" l="1"/>
  <c r="E10" i="12"/>
  <c r="D10" i="12" l="1"/>
  <c r="F15" i="12"/>
  <c r="F16" i="12" l="1"/>
  <c r="C11" i="12"/>
  <c r="E11" i="12" l="1"/>
  <c r="F17" i="12"/>
  <c r="F18" i="12" l="1"/>
  <c r="D11" i="12"/>
  <c r="C12" i="12" l="1"/>
  <c r="F19" i="12"/>
  <c r="F20" i="12" l="1"/>
  <c r="E12" i="12"/>
  <c r="D12" i="12" l="1"/>
  <c r="F21" i="12"/>
  <c r="F22" i="12" l="1"/>
  <c r="C13" i="12"/>
  <c r="E13" i="12" l="1"/>
  <c r="F23" i="12"/>
  <c r="F24" i="12" l="1"/>
  <c r="D13" i="12"/>
  <c r="C14" i="12" s="1"/>
  <c r="E14" i="12" l="1"/>
  <c r="D14" i="12" s="1"/>
  <c r="C15" i="12" s="1"/>
  <c r="F25" i="12"/>
  <c r="E15" i="12" l="1"/>
  <c r="D15" i="12" s="1"/>
  <c r="C16" i="12" s="1"/>
  <c r="F26" i="12"/>
  <c r="E16" i="12" l="1"/>
  <c r="D16" i="12" s="1"/>
  <c r="C17" i="12" s="1"/>
  <c r="F27" i="12"/>
  <c r="E17" i="12" l="1"/>
  <c r="D17" i="12" s="1"/>
  <c r="C18" i="12" s="1"/>
  <c r="F28" i="12"/>
  <c r="E18" i="12" l="1"/>
  <c r="D18" i="12" s="1"/>
  <c r="C19" i="12" s="1"/>
  <c r="F29" i="12"/>
  <c r="E19" i="12" l="1"/>
  <c r="D19" i="12" s="1"/>
  <c r="C20" i="12" s="1"/>
  <c r="F30" i="12"/>
  <c r="E20" i="12" l="1"/>
  <c r="D20" i="12" s="1"/>
  <c r="C21" i="12" s="1"/>
  <c r="F31" i="12"/>
  <c r="E21" i="12" l="1"/>
  <c r="D21" i="12" s="1"/>
  <c r="C22" i="12" s="1"/>
  <c r="F32" i="12"/>
  <c r="E22" i="12" l="1"/>
  <c r="D22" i="12" s="1"/>
  <c r="C23" i="12" s="1"/>
  <c r="F33" i="12"/>
  <c r="F34" i="12" l="1"/>
  <c r="E23" i="12"/>
  <c r="D23" i="12" s="1"/>
  <c r="C24" i="12" s="1"/>
  <c r="E24" i="12" l="1"/>
  <c r="D24" i="12" s="1"/>
  <c r="C25" i="12" s="1"/>
  <c r="F35" i="12"/>
  <c r="E25" i="12" l="1"/>
  <c r="D25" i="12" s="1"/>
  <c r="C26" i="12" s="1"/>
  <c r="F36" i="12"/>
  <c r="F37" i="12" l="1"/>
  <c r="E26" i="12"/>
  <c r="D26" i="12" s="1"/>
  <c r="C27" i="12" s="1"/>
  <c r="E27" i="12" l="1"/>
  <c r="D27" i="12" s="1"/>
  <c r="C28" i="12" s="1"/>
  <c r="F38" i="12"/>
  <c r="E28" i="12" l="1"/>
  <c r="D28" i="12" s="1"/>
  <c r="C29" i="12" s="1"/>
  <c r="F39" i="12"/>
  <c r="E29" i="12" l="1"/>
  <c r="D29" i="12" s="1"/>
  <c r="C30" i="12" s="1"/>
  <c r="F40" i="12"/>
  <c r="E30" i="12" l="1"/>
  <c r="D30" i="12" s="1"/>
  <c r="C31" i="12" s="1"/>
  <c r="F41" i="12"/>
  <c r="E31" i="12" l="1"/>
  <c r="D31" i="12" s="1"/>
  <c r="C32" i="12" s="1"/>
  <c r="F42" i="12"/>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D40" i="12" s="1"/>
  <c r="C41" i="12" s="1"/>
  <c r="E41" i="12" l="1"/>
  <c r="D41" i="12" s="1"/>
  <c r="C42" i="12" s="1"/>
  <c r="E42" i="12" l="1"/>
  <c r="D42" i="12" s="1"/>
  <c r="C43" i="12" s="1"/>
  <c r="E43" i="12" l="1"/>
  <c r="E44" i="12" s="1"/>
  <c r="D43" i="12"/>
  <c r="F43" i="12" l="1"/>
  <c r="F44" i="12" s="1"/>
  <c r="D44" i="12"/>
  <c r="B39" i="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<sst xmlns="http://schemas.openxmlformats.org/spreadsheetml/2006/main" count="604" uniqueCount="444">
  <si>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</si>
  <si>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</si>
  <si>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</si>
  <si>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</si>
  <si>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</si>
  <si>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</si>
  <si>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</si>
  <si>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</si>
  <si>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</si>
  <si>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</si>
  <si>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</si>
  <si>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</si>
  <si>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</si>
  <si>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</si>
  <si>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</si>
  <si>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</si>
  <si>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</si>
  <si>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</si>
  <si>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</si>
  <si>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</si>
  <si>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</si>
  <si>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</si>
  <si>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</si>
  <si>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</si>
  <si>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</si>
  <si>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</si>
  <si>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</si>
  <si>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</si>
  <si>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</si>
  <si>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</si>
  <si>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</si>
  <si>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</si>
  <si>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</si>
  <si>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</si>
  <si>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</si>
  <si>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</si>
  <si>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</si>
  <si>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</si>
  <si>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</si>
  <si>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</si>
  <si>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</si>
  <si>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</si>
  <si>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</si>
  <si>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</si>
  <si>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</si>
  <si>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</si>
  <si>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</si>
  <si>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</si>
  <si>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</si>
  <si>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</si>
  <si>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</si>
  <si>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</si>
  <si>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</si>
  <si>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</si>
  <si>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</si>
  <si>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</si>
  <si>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</si>
  <si>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</si>
  <si>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</si>
  <si>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</si>
  <si>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</si>
  <si>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</si>
  <si>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</si>
  <si>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</si>
  <si>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</si>
  <si>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</si>
  <si>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</si>
  <si>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</si>
  <si>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</si>
  <si>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</si>
  <si>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</si>
  <si>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</si>
  <si>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</si>
  <si>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</si>
  <si>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</si>
  <si>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</si>
  <si>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</si>
  <si>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</si>
  <si>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</si>
  <si>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</si>
  <si>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</si>
  <si>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</si>
  <si>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</si>
  <si>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</si>
  <si>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</si>
  <si>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</si>
  <si>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</si>
  <si>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</si>
  <si>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</si>
  <si>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</si>
  <si>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</si>
  <si>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</si>
  <si>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</si>
  <si>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</si>
  <si>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</si>
  <si>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</si>
  <si>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</si>
  <si>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</si>
  <si>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</si>
  <si>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</si>
  <si>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</si>
  <si>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</si>
  <si>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</si>
  <si>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</si>
  <si>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</si>
  <si>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</si>
  <si>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</si>
  <si>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</si>
  <si>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</si>
  <si>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</si>
  <si>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</si>
  <si>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</si>
  <si>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</si>
  <si>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</si>
  <si>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</si>
  <si>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</si>
  <si>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</si>
  <si>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</si>
  <si>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</si>
  <si>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</si>
  <si>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</si>
  <si>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</si>
  <si>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</si>
  <si>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</si>
  <si>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</si>
  <si>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</si>
  <si>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</si>
  <si>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</si>
  <si>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</si>
  <si>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</si>
  <si>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</si>
  <si>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</si>
  <si>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</si>
  <si>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</si>
  <si>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</si>
  <si>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</si>
  <si>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</si>
  <si>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</si>
  <si>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</si>
  <si>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</si>
  <si>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</si>
  <si>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</si>
  <si>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</si>
  <si>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</si>
  <si>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</si>
  <si>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</si>
  <si>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</si>
  <si>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</si>
  <si>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</si>
  <si>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</si>
  <si>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</si>
  <si>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</si>
  <si>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</si>
  <si>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</si>
  <si>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</si>
  <si>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</si>
  <si>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</si>
  <si>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</si>
  <si>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</si>
  <si>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</si>
  <si>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</si>
  <si>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</si>
  <si>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</si>
  <si>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</si>
  <si>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</si>
  <si>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</si>
  <si>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</si>
  <si>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</si>
  <si>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</si>
  <si>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</si>
  <si>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</si>
  <si>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</si>
  <si>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</si>
  <si>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</si>
  <si>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</si>
  <si>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</si>
  <si>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</si>
  <si>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</si>
  <si>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</si>
  <si>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</si>
  <si>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</si>
  <si>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</si>
  <si>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</si>
  <si>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</si>
  <si>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</si>
  <si>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</si>
  <si>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</si>
  <si>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</si>
  <si>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</si>
  <si>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</si>
  <si>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</si>
  <si>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</si>
  <si>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</si>
  <si>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</si>
  <si>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</si>
  <si>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</si>
  <si>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</si>
  <si>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</si>
  <si>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</si>
  <si>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</si>
  <si>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</si>
  <si>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</si>
  <si>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</si>
  <si>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</si>
  <si>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</si>
  <si>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</si>
  <si>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</si>
  <si>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</si>
  <si>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</si>
  <si>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</si>
  <si>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</si>
  <si>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</si>
  <si>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</si>
  <si>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</si>
  <si>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</si>
  <si>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</si>
  <si>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</si>
  <si>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</si>
  <si>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</si>
  <si>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</si>
  <si>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</si>
  <si>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</si>
  <si>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</si>
  <si>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</si>
  <si>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</si>
  <si>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</si>
  <si>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</si>
  <si>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</si>
  <si>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</si>
  <si>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</si>
  <si>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</si>
  <si>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</si>
  <si>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</si>
  <si>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</si>
  <si>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</si>
  <si>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</si>
  <si>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</si>
  <si>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</si>
  <si>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</si>
  <si>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</si>
  <si>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</si>
  <si>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</si>
  <si>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</si>
  <si>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</si>
  <si>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</si>
  <si>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</si>
  <si>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</si>
  <si>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</si>
  <si>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</si>
  <si>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</si>
  <si>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</si>
  <si>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</si>
  <si>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</si>
  <si>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</si>
  <si>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</si>
  <si>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</si>
  <si>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</si>
  <si>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</si>
  <si>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</si>
  <si>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</si>
  <si>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</si>
  <si>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</si>
  <si>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</si>
  <si>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</si>
  <si>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</si>
  <si>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</si>
  <si>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</si>
  <si>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</si>
  <si>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</si>
  <si>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</si>
  <si>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</si>
  <si>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</si>
  <si>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</si>
  <si>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</si>
  <si>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</si>
  <si>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</si>
  <si>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</si>
  <si>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</si>
  <si>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</si>
  <si>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</si>
  <si>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</si>
  <si>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</si>
  <si>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</si>
  <si>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</si>
  <si>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</si>
  <si>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</si>
  <si>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</si>
  <si>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</si>
  <si>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</si>
  <si>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</si>
  <si>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</si>
  <si>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</si>
  <si>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</si>
  <si>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</si>
  <si>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</si>
  <si>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</si>
  <si>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</si>
  <si>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</si>
  <si>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</si>
  <si>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</si>
  <si>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</si>
  <si>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</si>
  <si>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</si>
  <si>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</si>
  <si>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</si>
  <si>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</si>
  <si>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</si>
  <si>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</si>
  <si>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</si>
  <si>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</si>
  <si>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</si>
  <si>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</si>
  <si>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</si>
  <si>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</si>
  <si>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</si>
  <si>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</si>
  <si>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</si>
  <si>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</si>
  <si>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</si>
  <si>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</si>
  <si>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</si>
  <si>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</si>
  <si>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</si>
  <si>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</si>
  <si>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</si>
  <si>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</si>
  <si>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</si>
  <si>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</si>
  <si>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</si>
  <si>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</si>
  <si>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</si>
  <si>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</si>
  <si>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</si>
  <si>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</si>
  <si>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</si>
  <si>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</si>
  <si>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</si>
  <si>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</si>
  <si>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</si>
  <si>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</si>
  <si>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</si>
  <si>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</si>
  <si>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</si>
  <si>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</si>
  <si>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</si>
  <si>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</si>
  <si>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</si>
  <si>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</si>
  <si>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</si>
  <si>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</si>
  <si>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</si>
  <si>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</si>
  <si>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</si>
  <si>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</si>
  <si>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</si>
  <si>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</si>
  <si>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</si>
  <si>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</si>
  <si>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</si>
  <si>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</si>
  <si>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</si>
  <si>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</si>
  <si>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</si>
  <si>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</si>
  <si>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</si>
  <si>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</si>
  <si>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</si>
  <si>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</si>
  <si>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</si>
  <si>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</si>
  <si>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</si>
  <si>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</si>
  <si>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</si>
  <si>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</si>
  <si>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</si>
  <si>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</si>
  <si>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</si>
  <si>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</si>
  <si>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</si>
  <si>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</si>
  <si>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</si>
  <si>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</si>
  <si>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</si>
  <si>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</si>
  <si>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</si>
  <si>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</si>
  <si>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</si>
  <si>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</si>
  <si>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</si>
  <si>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</si>
  <si>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</si>
  <si>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</si>
  <si>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</si>
  <si>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</si>
  <si>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</si>
  <si>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</si>
  <si>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</si>
  <si>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</si>
  <si>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</si>
  <si>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</si>
  <si>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</si>
  <si>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</si>
  <si>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</si>
  <si>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</si>
  <si>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</si>
  <si>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</si>
  <si>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</si>
  <si>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</si>
  <si>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</si>
  <si>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</si>
  <si>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</si>
  <si>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</si>
  <si>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</si>
  <si>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</si>
  <si>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</si>
  <si>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</si>
  <si>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</si>
  <si>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</si>
  <si>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</si>
  <si>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Olmaliq filiali boshlig'i</t>
  </si>
  <si>
    <t>Yerjanov Vladimir Yusupovich</t>
  </si>
  <si>
    <t>V. Yerjanov</t>
  </si>
  <si>
    <t>B. Mominov</t>
  </si>
  <si>
    <t>N. Abduraximov</t>
  </si>
  <si>
    <t>B. Jumanazarov</t>
  </si>
  <si>
    <t>Imzolaganlar ro'yxati:</t>
  </si>
  <si>
    <t>Ijrochi direktor:</t>
  </si>
  <si>
    <t>№ 23-AL</t>
  </si>
  <si>
    <t>N.Abduraximovga</t>
  </si>
  <si>
    <t>ARIZA</t>
  </si>
  <si>
    <t xml:space="preserve"> Mikroqarz shartnomasining bir nusxasini oldim ____________</t>
  </si>
  <si>
    <t>A.A.NUTFULLAYEV</t>
  </si>
  <si>
    <t>Mijoz plastik kartasi parametrlari</t>
  </si>
  <si>
    <t xml:space="preserve">00873 </t>
  </si>
  <si>
    <t xml:space="preserve">2312 0000 7000 1200 0000 </t>
  </si>
  <si>
    <t>«Asaka bank» AJ</t>
  </si>
  <si>
    <t>201589828</t>
  </si>
  <si>
    <t>8600 1309 0209 3006</t>
  </si>
  <si>
    <t>Karta raqami:</t>
  </si>
  <si>
    <t>Bank nomi:</t>
  </si>
  <si>
    <t>H/r:</t>
  </si>
  <si>
    <t>MFO:</t>
  </si>
  <si>
    <t>STIR:</t>
  </si>
  <si>
    <t>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</si>
</sst>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5">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
      <sz val="8"/>
      <name val="Calibri"/>
      <family val="2"/>
      <scheme val="minor"/>
    </font>
    <font>
      <b/>
      <u/>
      <sz val="12"/>
      <name val="Times New Roman"/>
      <family val="1"/>
      <charset val="204"/>
    </font>
    <font>
      <b/>
      <sz val="12"/>
      <name val="Times New Roman"/>
      <family val="1"/>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theme="9"/>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right style="thin">
        <color indexed="64"/>
      </right>
      <top/>
      <bottom/>
      <diagonal/>
    </border>
  </borders>
  <cellStyleXfs count="1786">
    <xf numFmtId="0" fontId="0"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55" fillId="0" borderId="0">
      <alignment vertical="center"/>
    </xf>
    <xf numFmtId="0" fontId="55" fillId="0" borderId="0">
      <alignment vertical="center"/>
    </xf>
    <xf numFmtId="43" fontId="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1"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0" fontId="60" fillId="0" borderId="0"/>
    <xf numFmtId="170" fontId="59" fillId="0" borderId="0" applyFont="0" applyFill="0" applyBorder="0" applyAlignment="0" applyProtection="0"/>
    <xf numFmtId="0" fontId="60" fillId="0" borderId="0"/>
    <xf numFmtId="0" fontId="60" fillId="0" borderId="0"/>
    <xf numFmtId="0" fontId="60"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9" fontId="5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cellStyleXfs>
  <cellXfs count="402">
    <xf numFmtId="0" fontId="0" fillId="0" borderId="0" xfId="0"/>
    <xf numFmtId="0" fontId="7" fillId="0" borderId="1" xfId="0" applyFont="1" applyBorder="1" applyAlignment="1">
      <alignment vertical="center" wrapText="1"/>
    </xf>
    <xf numFmtId="49" fontId="7" fillId="0" borderId="1" xfId="0" applyNumberFormat="1" applyFont="1" applyBorder="1" applyAlignment="1">
      <alignment vertical="center" wrapText="1"/>
    </xf>
    <xf numFmtId="0" fontId="8" fillId="2" borderId="1" xfId="0" applyFont="1" applyFill="1" applyBorder="1" applyAlignment="1">
      <alignment vertical="center" wrapText="1"/>
    </xf>
    <xf numFmtId="165" fontId="7" fillId="0" borderId="1" xfId="0" applyNumberFormat="1" applyFont="1" applyBorder="1" applyAlignment="1">
      <alignment vertical="center" wrapText="1"/>
    </xf>
    <xf numFmtId="43" fontId="7" fillId="0" borderId="1" xfId="1" applyFont="1" applyBorder="1" applyAlignment="1">
      <alignment vertical="center" wrapText="1"/>
    </xf>
    <xf numFmtId="0" fontId="9" fillId="0" borderId="0" xfId="0" applyFont="1"/>
    <xf numFmtId="0" fontId="9" fillId="0" borderId="0" xfId="0" applyFont="1" applyAlignment="1">
      <alignment horizontal="right"/>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4" fillId="0" borderId="0" xfId="0" applyFont="1" applyAlignment="1" applyProtection="1">
      <alignment horizontal="center" vertical="top"/>
      <protection hidden="1"/>
    </xf>
    <xf numFmtId="0" fontId="12" fillId="0" borderId="0" xfId="0" applyFont="1" applyAlignment="1" applyProtection="1">
      <alignment horizontal="center" vertical="center"/>
      <protection hidden="1"/>
    </xf>
    <xf numFmtId="0" fontId="14" fillId="0" borderId="0" xfId="0" applyFont="1" applyAlignment="1" applyProtection="1">
      <alignment horizontal="center" vertical="center"/>
      <protection hidden="1"/>
    </xf>
    <xf numFmtId="0" fontId="10" fillId="0" borderId="0" xfId="0" applyFont="1"/>
    <xf numFmtId="0" fontId="10" fillId="0" borderId="0" xfId="0" applyFont="1" applyAlignment="1">
      <alignment horizontal="right"/>
    </xf>
    <xf numFmtId="0" fontId="15" fillId="0" borderId="0" xfId="0" applyFont="1"/>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xf numFmtId="0" fontId="15" fillId="0" borderId="0" xfId="0" applyFont="1" applyAlignment="1">
      <alignment horizontal="justify" vertical="top" wrapText="1"/>
    </xf>
    <xf numFmtId="0" fontId="15" fillId="0" borderId="0" xfId="0" applyFont="1" applyAlignment="1">
      <alignment wrapText="1"/>
    </xf>
    <xf numFmtId="164" fontId="7" fillId="0" borderId="1" xfId="0" applyNumberFormat="1" applyFont="1" applyBorder="1" applyAlignment="1">
      <alignment vertical="center" wrapText="1"/>
    </xf>
    <xf numFmtId="0" fontId="15" fillId="0" borderId="0" xfId="0" applyFont="1" applyAlignment="1">
      <alignment vertical="top" wrapText="1"/>
    </xf>
    <xf numFmtId="0" fontId="15" fillId="0" borderId="0" xfId="0" applyFont="1" applyAlignment="1">
      <alignment vertical="center" wrapText="1"/>
    </xf>
    <xf numFmtId="0" fontId="18" fillId="0" borderId="0" xfId="0" applyFont="1"/>
    <xf numFmtId="0" fontId="17" fillId="0" borderId="1" xfId="0" applyFont="1" applyBorder="1" applyAlignment="1">
      <alignment horizontal="center" vertical="center" wrapText="1"/>
    </xf>
    <xf numFmtId="0" fontId="17" fillId="0" borderId="0" xfId="0" applyFont="1" applyAlignment="1">
      <alignment horizontal="center" vertical="center" wrapText="1"/>
    </xf>
    <xf numFmtId="0" fontId="18" fillId="0" borderId="1" xfId="0" applyFont="1" applyBorder="1" applyAlignment="1">
      <alignment horizontal="center" vertical="top" wrapText="1"/>
    </xf>
    <xf numFmtId="43" fontId="18" fillId="0" borderId="1" xfId="1" applyFont="1" applyBorder="1" applyAlignment="1">
      <alignment horizontal="center" vertical="top" wrapText="1"/>
    </xf>
    <xf numFmtId="0" fontId="17" fillId="0" borderId="1" xfId="0" applyFont="1" applyBorder="1" applyAlignment="1">
      <alignment horizontal="center" vertical="top" wrapText="1"/>
    </xf>
    <xf numFmtId="43" fontId="17" fillId="0" borderId="1" xfId="0" applyNumberFormat="1" applyFont="1" applyBorder="1" applyAlignment="1">
      <alignment horizontal="center" vertical="top" wrapText="1"/>
    </xf>
    <xf numFmtId="0" fontId="17" fillId="0" borderId="0" xfId="0" applyFont="1"/>
    <xf numFmtId="0" fontId="9" fillId="0" borderId="0" xfId="0" applyFont="1" applyAlignment="1">
      <alignment horizontal="left"/>
    </xf>
    <xf numFmtId="14" fontId="15" fillId="0" borderId="1" xfId="0" applyNumberFormat="1" applyFont="1" applyBorder="1"/>
    <xf numFmtId="43" fontId="15" fillId="0" borderId="1" xfId="1" applyFont="1" applyBorder="1"/>
    <xf numFmtId="14" fontId="15" fillId="0" borderId="0" xfId="0" applyNumberFormat="1" applyFont="1"/>
    <xf numFmtId="43" fontId="15" fillId="0" borderId="0" xfId="1" applyFont="1" applyBorder="1"/>
    <xf numFmtId="0" fontId="16" fillId="0" borderId="0" xfId="0" applyFont="1"/>
    <xf numFmtId="0" fontId="16" fillId="0" borderId="0" xfId="0" applyFont="1" applyAlignment="1">
      <alignment horizontal="right"/>
    </xf>
    <xf numFmtId="0" fontId="16" fillId="0" borderId="1" xfId="0" applyFont="1" applyBorder="1" applyAlignment="1">
      <alignment horizontal="center" vertical="center" wrapText="1"/>
    </xf>
    <xf numFmtId="0" fontId="16" fillId="0" borderId="0" xfId="0" applyFont="1" applyAlignment="1">
      <alignment horizontal="center"/>
    </xf>
    <xf numFmtId="0" fontId="23" fillId="0" borderId="0" xfId="0" applyFont="1" applyAlignment="1">
      <alignment horizontal="center" wrapText="1"/>
    </xf>
    <xf numFmtId="0" fontId="15" fillId="0" borderId="0" xfId="0" applyFont="1" applyAlignment="1">
      <alignment horizontal="center" wrapText="1"/>
    </xf>
    <xf numFmtId="0" fontId="22" fillId="0" borderId="0" xfId="0" applyFont="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1" xfId="0" applyFont="1" applyBorder="1"/>
    <xf numFmtId="14" fontId="16" fillId="0" borderId="1" xfId="0" applyNumberFormat="1" applyFont="1" applyBorder="1"/>
    <xf numFmtId="43" fontId="16" fillId="0" borderId="1" xfId="1" applyFont="1" applyBorder="1"/>
    <xf numFmtId="0" fontId="7" fillId="4" borderId="1" xfId="0" applyFont="1" applyFill="1" applyBorder="1" applyAlignment="1">
      <alignment vertical="center" wrapText="1"/>
    </xf>
    <xf numFmtId="0" fontId="16" fillId="0" borderId="0" xfId="0" applyFont="1" applyAlignment="1">
      <alignment horizontal="center" vertical="center" wrapText="1"/>
    </xf>
    <xf numFmtId="43" fontId="28" fillId="0" borderId="1" xfId="1" applyFont="1" applyBorder="1"/>
    <xf numFmtId="43" fontId="7" fillId="4" borderId="1" xfId="1" applyFont="1" applyFill="1" applyBorder="1" applyAlignment="1">
      <alignment vertical="center" wrapText="1"/>
    </xf>
    <xf numFmtId="0" fontId="15" fillId="0" borderId="0" xfId="0" applyFont="1" applyAlignment="1">
      <alignment horizontal="left" vertical="top" wrapText="1"/>
    </xf>
    <xf numFmtId="0" fontId="15" fillId="0" borderId="8" xfId="0" applyFont="1" applyBorder="1" applyAlignment="1">
      <alignment wrapText="1"/>
    </xf>
    <xf numFmtId="0" fontId="15" fillId="0" borderId="9" xfId="0" applyFont="1" applyBorder="1" applyAlignment="1">
      <alignment wrapText="1"/>
    </xf>
    <xf numFmtId="49" fontId="9" fillId="0" borderId="0" xfId="0" applyNumberFormat="1" applyFont="1" applyAlignment="1">
      <alignment horizontal="right"/>
    </xf>
    <xf numFmtId="49" fontId="7" fillId="4" borderId="1" xfId="0" applyNumberFormat="1" applyFont="1" applyFill="1" applyBorder="1" applyAlignment="1">
      <alignment vertical="center" wrapText="1"/>
    </xf>
    <xf numFmtId="165" fontId="27" fillId="2" borderId="1" xfId="0" applyNumberFormat="1" applyFont="1" applyFill="1" applyBorder="1" applyAlignment="1">
      <alignment vertical="center" wrapText="1"/>
    </xf>
    <xf numFmtId="165" fontId="7" fillId="2" borderId="1" xfId="0" applyNumberFormat="1" applyFont="1" applyFill="1" applyBorder="1" applyAlignment="1">
      <alignment vertical="center" wrapText="1"/>
    </xf>
    <xf numFmtId="0" fontId="7"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2" fillId="4" borderId="1" xfId="0" applyFont="1" applyFill="1" applyBorder="1"/>
    <xf numFmtId="0" fontId="10" fillId="0" borderId="0" xfId="0" applyFont="1" applyAlignment="1">
      <alignment horizontal="center" vertical="center" wrapText="1"/>
    </xf>
    <xf numFmtId="0" fontId="10" fillId="0" borderId="0" xfId="0" applyFont="1" applyAlignment="1">
      <alignment horizontal="center"/>
    </xf>
    <xf numFmtId="0" fontId="9" fillId="0" borderId="0" xfId="0" applyFont="1" applyAlignment="1">
      <alignment horizontal="center" vertical="center"/>
    </xf>
    <xf numFmtId="43" fontId="7" fillId="4" borderId="3" xfId="1" applyFont="1" applyFill="1" applyBorder="1" applyAlignment="1">
      <alignment vertical="center" wrapText="1"/>
    </xf>
    <xf numFmtId="0" fontId="8" fillId="2" borderId="1" xfId="0" applyFont="1" applyFill="1" applyBorder="1" applyAlignment="1">
      <alignment horizontal="right" vertical="center" wrapText="1"/>
    </xf>
    <xf numFmtId="0" fontId="9" fillId="0" borderId="0" xfId="0" applyFont="1" applyAlignment="1">
      <alignment vertical="top" wrapText="1"/>
    </xf>
    <xf numFmtId="0" fontId="10" fillId="0" borderId="0" xfId="0" applyFont="1" applyAlignment="1">
      <alignment horizontal="center" wrapText="1"/>
    </xf>
    <xf numFmtId="0" fontId="9" fillId="0" borderId="0" xfId="0" applyFont="1" applyAlignment="1">
      <alignment vertical="top"/>
    </xf>
    <xf numFmtId="0" fontId="7" fillId="6" borderId="1" xfId="0" applyFont="1" applyFill="1" applyBorder="1" applyAlignment="1">
      <alignment vertical="center" wrapText="1"/>
    </xf>
    <xf numFmtId="165" fontId="7" fillId="2" borderId="1" xfId="0" applyNumberFormat="1" applyFont="1" applyFill="1" applyBorder="1" applyAlignment="1">
      <alignment horizontal="left" vertical="center" wrapText="1"/>
    </xf>
    <xf numFmtId="14" fontId="7" fillId="6" borderId="1" xfId="0" applyNumberFormat="1" applyFont="1" applyFill="1" applyBorder="1" applyAlignment="1">
      <alignment vertical="center" wrapText="1"/>
    </xf>
    <xf numFmtId="165" fontId="7" fillId="6" borderId="1" xfId="0" applyNumberFormat="1" applyFont="1" applyFill="1" applyBorder="1" applyAlignment="1">
      <alignment vertical="center" wrapText="1"/>
    </xf>
    <xf numFmtId="0" fontId="7" fillId="7" borderId="1" xfId="0" applyFont="1" applyFill="1" applyBorder="1" applyAlignment="1">
      <alignment vertical="center" wrapText="1"/>
    </xf>
    <xf numFmtId="9" fontId="7" fillId="7" borderId="1" xfId="0" applyNumberFormat="1" applyFont="1" applyFill="1" applyBorder="1" applyAlignment="1">
      <alignment vertical="center" wrapText="1"/>
    </xf>
    <xf numFmtId="49" fontId="7" fillId="7" borderId="1" xfId="1" applyNumberFormat="1" applyFont="1" applyFill="1" applyBorder="1" applyAlignment="1">
      <alignment vertical="center" wrapText="1"/>
    </xf>
    <xf numFmtId="40" fontId="7" fillId="7" borderId="1" xfId="1" applyNumberFormat="1" applyFont="1" applyFill="1" applyBorder="1" applyAlignment="1">
      <alignment vertical="center" wrapText="1"/>
    </xf>
    <xf numFmtId="0" fontId="8" fillId="2" borderId="1" xfId="0" applyFont="1" applyFill="1" applyBorder="1" applyAlignment="1">
      <alignment horizontal="center" vertical="center" wrapText="1"/>
    </xf>
    <xf numFmtId="49" fontId="7" fillId="4" borderId="1" xfId="0" applyNumberFormat="1" applyFont="1" applyFill="1" applyBorder="1" applyAlignment="1">
      <alignment horizontal="left" vertical="center" wrapText="1"/>
    </xf>
    <xf numFmtId="0" fontId="35" fillId="0" borderId="0" xfId="0" applyFont="1"/>
    <xf numFmtId="0" fontId="28" fillId="0" borderId="0" xfId="0" applyFont="1"/>
    <xf numFmtId="0" fontId="35" fillId="0" borderId="0" xfId="0" applyFont="1" applyAlignment="1">
      <alignment horizontal="right"/>
    </xf>
    <xf numFmtId="164" fontId="28" fillId="0" borderId="0" xfId="0" applyNumberFormat="1" applyFont="1"/>
    <xf numFmtId="166" fontId="28" fillId="0" borderId="0" xfId="0" applyNumberFormat="1" applyFont="1"/>
    <xf numFmtId="0" fontId="28" fillId="0" borderId="1" xfId="0" applyFont="1" applyBorder="1" applyAlignment="1">
      <alignment horizontal="center" vertical="center" wrapText="1"/>
    </xf>
    <xf numFmtId="0" fontId="28" fillId="0" borderId="0" xfId="0" applyFont="1" applyAlignment="1">
      <alignment horizontal="center" vertical="center" wrapText="1"/>
    </xf>
    <xf numFmtId="0" fontId="28" fillId="0" borderId="1" xfId="0" applyFont="1" applyBorder="1"/>
    <xf numFmtId="14" fontId="28" fillId="0" borderId="1" xfId="0" applyNumberFormat="1" applyFont="1" applyBorder="1"/>
    <xf numFmtId="167" fontId="28" fillId="0" borderId="0" xfId="0" applyNumberFormat="1" applyFont="1"/>
    <xf numFmtId="0" fontId="35" fillId="0" borderId="1" xfId="0" applyFont="1" applyBorder="1"/>
    <xf numFmtId="14" fontId="35" fillId="0" borderId="1" xfId="0" applyNumberFormat="1" applyFont="1" applyBorder="1"/>
    <xf numFmtId="43" fontId="35" fillId="0" borderId="1" xfId="1" applyFont="1" applyBorder="1"/>
    <xf numFmtId="14" fontId="28" fillId="0" borderId="0" xfId="0" applyNumberFormat="1" applyFont="1"/>
    <xf numFmtId="43" fontId="28" fillId="0" borderId="0" xfId="1" applyFont="1" applyBorder="1"/>
    <xf numFmtId="14" fontId="27" fillId="5" borderId="0" xfId="0" applyNumberFormat="1" applyFont="1" applyFill="1"/>
    <xf numFmtId="0" fontId="27" fillId="5" borderId="0" xfId="0" applyFont="1" applyFill="1"/>
    <xf numFmtId="0" fontId="27" fillId="0" borderId="0" xfId="0" applyFont="1"/>
    <xf numFmtId="168" fontId="38" fillId="5" borderId="0" xfId="0" applyNumberFormat="1" applyFont="1" applyFill="1"/>
    <xf numFmtId="0" fontId="27" fillId="4" borderId="0" xfId="0" applyFont="1" applyFill="1"/>
    <xf numFmtId="1" fontId="27" fillId="5" borderId="0" xfId="0" applyNumberFormat="1" applyFont="1" applyFill="1"/>
    <xf numFmtId="49" fontId="28"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43" fontId="15" fillId="0" borderId="1" xfId="1" applyFont="1" applyBorder="1" applyAlignment="1">
      <alignment horizontal="center"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7"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9" fillId="0" borderId="0" xfId="0" applyFont="1" applyAlignment="1">
      <alignment horizontal="right"/>
    </xf>
    <xf numFmtId="0" fontId="29" fillId="0" borderId="0" xfId="0" applyFont="1" applyAlignment="1">
      <alignment horizontal="justify"/>
    </xf>
    <xf numFmtId="0" fontId="29" fillId="0" borderId="0" xfId="0" applyFont="1" applyAlignment="1">
      <alignment horizontal="justify" vertical="center"/>
    </xf>
    <xf numFmtId="0" fontId="29" fillId="0" borderId="1" xfId="0" applyFont="1" applyBorder="1" applyAlignment="1">
      <alignment horizontal="justify"/>
    </xf>
    <xf numFmtId="0" fontId="29" fillId="0" borderId="0" xfId="0" applyFont="1" applyAlignment="1">
      <alignment horizontal="justify" vertical="center" wrapText="1"/>
    </xf>
    <xf numFmtId="0" fontId="29" fillId="0" borderId="0" xfId="0" applyFont="1" applyAlignment="1">
      <alignment horizontal="left"/>
    </xf>
    <xf numFmtId="0" fontId="29" fillId="0" borderId="11" xfId="0" applyFont="1" applyBorder="1" applyAlignment="1">
      <alignment horizontal="center"/>
    </xf>
    <xf numFmtId="0" fontId="29" fillId="0" borderId="0" xfId="0" applyFont="1" applyAlignment="1">
      <alignment horizontal="center"/>
    </xf>
    <xf numFmtId="0" fontId="7" fillId="3" borderId="1" xfId="0" applyFont="1" applyFill="1" applyBorder="1" applyAlignment="1">
      <alignment horizontal="center" vertical="center" wrapText="1"/>
    </xf>
    <xf numFmtId="0" fontId="15" fillId="0" borderId="0" xfId="0" applyFont="1" applyAlignment="1">
      <alignment vertical="top"/>
    </xf>
    <xf numFmtId="0" fontId="16" fillId="0" borderId="0" xfId="0" applyFont="1" applyAlignment="1">
      <alignment horizontal="left" vertical="center" wrapText="1"/>
    </xf>
    <xf numFmtId="0" fontId="16" fillId="0" borderId="0" xfId="0" applyFont="1" applyAlignment="1">
      <alignment horizontal="right" vertical="center" wrapText="1"/>
    </xf>
    <xf numFmtId="0" fontId="0" fillId="0" borderId="0" xfId="0" applyAlignment="1">
      <alignment horizontal="left" vertical="center"/>
    </xf>
    <xf numFmtId="0" fontId="15" fillId="0" borderId="0" xfId="0" applyFont="1" applyAlignment="1">
      <alignment horizontal="left" vertical="center" wrapText="1"/>
    </xf>
    <xf numFmtId="0" fontId="15" fillId="0" borderId="0" xfId="0" applyFont="1" applyAlignment="1">
      <alignment horizontal="right"/>
    </xf>
    <xf numFmtId="0" fontId="8" fillId="6" borderId="1" xfId="0" applyFont="1" applyFill="1" applyBorder="1" applyAlignment="1">
      <alignment horizontal="left" vertical="center" wrapText="1"/>
    </xf>
    <xf numFmtId="0" fontId="8" fillId="6" borderId="1" xfId="0" applyFont="1" applyFill="1" applyBorder="1" applyAlignment="1">
      <alignment vertical="center" wrapText="1"/>
    </xf>
    <xf numFmtId="0" fontId="11" fillId="4" borderId="1" xfId="0" applyFont="1" applyFill="1" applyBorder="1" applyAlignment="1">
      <alignment horizontal="center" vertical="center" wrapText="1"/>
    </xf>
    <xf numFmtId="0" fontId="18" fillId="0" borderId="0" xfId="0" applyFont="1" applyAlignment="1">
      <alignment wrapText="1"/>
    </xf>
    <xf numFmtId="165" fontId="18" fillId="0" borderId="0" xfId="0" applyNumberFormat="1" applyFont="1"/>
    <xf numFmtId="0" fontId="17" fillId="0" borderId="0" xfId="0" applyFont="1" applyAlignment="1">
      <alignment vertical="center" wrapText="1"/>
    </xf>
    <xf numFmtId="0" fontId="17" fillId="0" borderId="0" xfId="0" applyFont="1" applyAlignment="1">
      <alignment horizontal="left"/>
    </xf>
    <xf numFmtId="0" fontId="10" fillId="0" borderId="0" xfId="0" applyFont="1" applyAlignment="1">
      <alignment horizontal="left"/>
    </xf>
    <xf numFmtId="0" fontId="7" fillId="4" borderId="3" xfId="0" applyFont="1" applyFill="1" applyBorder="1" applyAlignment="1">
      <alignment vertical="center" wrapText="1"/>
    </xf>
    <xf numFmtId="49" fontId="11" fillId="4" borderId="1" xfId="0" applyNumberFormat="1" applyFont="1" applyFill="1" applyBorder="1" applyAlignment="1">
      <alignment horizontal="center" vertical="center" wrapText="1"/>
    </xf>
    <xf numFmtId="164" fontId="7" fillId="4" borderId="1" xfId="0" applyNumberFormat="1" applyFont="1" applyFill="1" applyBorder="1" applyAlignment="1">
      <alignment vertical="center" wrapText="1"/>
    </xf>
    <xf numFmtId="0" fontId="18" fillId="0" borderId="0" xfId="0" applyFont="1" applyAlignment="1">
      <alignment horizontal="center" vertical="top" wrapText="1"/>
    </xf>
    <xf numFmtId="0" fontId="43" fillId="2" borderId="1" xfId="0" applyFont="1" applyFill="1" applyBorder="1" applyAlignment="1">
      <alignment vertical="center" wrapText="1"/>
    </xf>
    <xf numFmtId="0" fontId="7" fillId="9" borderId="1" xfId="0" applyFont="1" applyFill="1" applyBorder="1" applyAlignment="1">
      <alignment vertical="center" wrapText="1"/>
    </xf>
    <xf numFmtId="0" fontId="5" fillId="0" borderId="0" xfId="0" applyFont="1"/>
    <xf numFmtId="0" fontId="44" fillId="0" borderId="0" xfId="0" applyFont="1" applyAlignment="1">
      <alignment vertical="center"/>
    </xf>
    <xf numFmtId="0" fontId="45" fillId="0" borderId="0" xfId="0" applyFont="1" applyAlignment="1">
      <alignment wrapText="1"/>
    </xf>
    <xf numFmtId="0" fontId="9" fillId="0" borderId="0" xfId="0" applyFont="1" applyAlignment="1">
      <alignment wrapText="1"/>
    </xf>
    <xf numFmtId="0" fontId="47" fillId="0" borderId="0" xfId="0" applyFont="1"/>
    <xf numFmtId="0" fontId="48" fillId="0" borderId="0" xfId="0" applyFont="1"/>
    <xf numFmtId="0" fontId="10" fillId="0" borderId="0" xfId="0" applyFont="1" applyAlignment="1">
      <alignment horizontal="left" vertical="center" wrapText="1"/>
    </xf>
    <xf numFmtId="0" fontId="9" fillId="0" borderId="0" xfId="0" applyFont="1" applyAlignment="1">
      <alignment horizontal="left" vertical="top" wrapText="1"/>
    </xf>
    <xf numFmtId="0" fontId="33" fillId="0" borderId="0" xfId="0" applyFont="1" applyAlignment="1">
      <alignment horizontal="left"/>
    </xf>
    <xf numFmtId="0" fontId="10" fillId="0" borderId="0" xfId="0" applyFont="1" applyAlignment="1">
      <alignment horizontal="left" vertical="top" wrapText="1"/>
    </xf>
    <xf numFmtId="49" fontId="9" fillId="0" borderId="0" xfId="0" applyNumberFormat="1" applyFont="1" applyAlignment="1">
      <alignment horizontal="left" vertical="top" wrapText="1"/>
    </xf>
    <xf numFmtId="0" fontId="7" fillId="5" borderId="1" xfId="0" applyFont="1" applyFill="1" applyBorder="1" applyAlignment="1">
      <alignment vertical="center" wrapText="1"/>
    </xf>
    <xf numFmtId="0" fontId="15" fillId="0" borderId="0" xfId="0" applyFont="1" applyAlignment="1">
      <alignment horizontal="left"/>
    </xf>
    <xf numFmtId="0" fontId="10" fillId="0" borderId="0" xfId="0" applyFont="1" applyAlignment="1">
      <alignment horizontal="right" wrapText="1"/>
    </xf>
    <xf numFmtId="14" fontId="7" fillId="3" borderId="1" xfId="0" applyNumberFormat="1" applyFont="1" applyFill="1" applyBorder="1" applyAlignment="1">
      <alignment horizontal="center" vertical="center" wrapText="1"/>
    </xf>
    <xf numFmtId="0" fontId="50" fillId="2" borderId="1" xfId="0" applyFont="1" applyFill="1" applyBorder="1" applyAlignment="1">
      <alignment horizontal="left" vertical="center" wrapText="1"/>
    </xf>
    <xf numFmtId="0" fontId="50" fillId="2" borderId="1" xfId="0" applyFont="1" applyFill="1" applyBorder="1" applyAlignment="1">
      <alignment vertical="center" wrapText="1"/>
    </xf>
    <xf numFmtId="0" fontId="9" fillId="0" borderId="0" xfId="0" applyFont="1" applyAlignment="1">
      <alignment horizontal="center"/>
    </xf>
    <xf numFmtId="0" fontId="30" fillId="4" borderId="1" xfId="0" applyFont="1" applyFill="1" applyBorder="1" applyAlignment="1">
      <alignment vertical="center" wrapText="1"/>
    </xf>
    <xf numFmtId="0" fontId="51" fillId="4" borderId="1" xfId="0" applyFont="1" applyFill="1" applyBorder="1" applyAlignment="1">
      <alignment vertical="center" wrapText="1"/>
    </xf>
    <xf numFmtId="0" fontId="53" fillId="4" borderId="1" xfId="0" applyFont="1" applyFill="1" applyBorder="1" applyAlignment="1">
      <alignment vertical="center" wrapText="1"/>
    </xf>
    <xf numFmtId="0" fontId="52" fillId="2" borderId="1" xfId="0" applyFont="1" applyFill="1" applyBorder="1" applyAlignment="1">
      <alignment vertical="center" wrapText="1"/>
    </xf>
    <xf numFmtId="0" fontId="10" fillId="0" borderId="0" xfId="0" applyFont="1" applyAlignment="1">
      <alignment wrapText="1"/>
    </xf>
    <xf numFmtId="0" fontId="50" fillId="10" borderId="2" xfId="0" applyFont="1" applyFill="1" applyBorder="1" applyAlignment="1">
      <alignment horizontal="left" vertical="center" wrapText="1"/>
    </xf>
    <xf numFmtId="0" fontId="50" fillId="10" borderId="24" xfId="0" applyFont="1" applyFill="1" applyBorder="1" applyAlignment="1">
      <alignment horizontal="left" vertical="center" wrapText="1"/>
    </xf>
    <xf numFmtId="43" fontId="53" fillId="4" borderId="1" xfId="1" applyFont="1" applyFill="1" applyBorder="1" applyAlignment="1">
      <alignment vertical="center" wrapText="1"/>
    </xf>
    <xf numFmtId="0" fontId="15" fillId="11" borderId="0" xfId="0" applyFont="1" applyFill="1"/>
    <xf numFmtId="0" fontId="7" fillId="10" borderId="0" xfId="0" applyFont="1" applyFill="1"/>
    <xf numFmtId="164" fontId="7" fillId="10" borderId="3" xfId="0" applyNumberFormat="1" applyFont="1" applyFill="1" applyBorder="1" applyAlignment="1">
      <alignment horizontal="left" vertical="top" wrapText="1"/>
    </xf>
    <xf numFmtId="14" fontId="7" fillId="10" borderId="0" xfId="0" applyNumberFormat="1" applyFont="1" applyFill="1"/>
    <xf numFmtId="0" fontId="56" fillId="10" borderId="16" xfId="0" applyFont="1" applyFill="1" applyBorder="1"/>
    <xf numFmtId="168" fontId="8" fillId="10" borderId="0" xfId="0" applyNumberFormat="1" applyFont="1" applyFill="1"/>
    <xf numFmtId="0" fontId="7" fillId="10" borderId="19" xfId="0" applyFont="1" applyFill="1" applyBorder="1"/>
    <xf numFmtId="0" fontId="7" fillId="10" borderId="20" xfId="0" applyFont="1" applyFill="1" applyBorder="1"/>
    <xf numFmtId="0" fontId="26" fillId="0" borderId="0" xfId="0" applyFont="1" applyAlignment="1">
      <alignment horizontal="left" vertical="top" wrapText="1"/>
    </xf>
    <xf numFmtId="0" fontId="8" fillId="10" borderId="0" xfId="0" applyFont="1" applyFill="1" applyAlignment="1">
      <alignment vertical="center" wrapText="1"/>
    </xf>
    <xf numFmtId="49" fontId="7" fillId="10" borderId="0" xfId="0" applyNumberFormat="1" applyFont="1" applyFill="1"/>
    <xf numFmtId="0" fontId="7" fillId="10" borderId="0" xfId="0" applyFont="1" applyFill="1" applyAlignment="1">
      <alignment vertical="center" wrapText="1"/>
    </xf>
    <xf numFmtId="49" fontId="57" fillId="4" borderId="1" xfId="0" applyNumberFormat="1" applyFont="1" applyFill="1" applyBorder="1" applyAlignment="1">
      <alignment vertical="center" wrapText="1"/>
    </xf>
    <xf numFmtId="169" fontId="58" fillId="4" borderId="1" xfId="0" applyNumberFormat="1" applyFont="1" applyFill="1" applyBorder="1" applyAlignment="1">
      <alignment vertical="center" wrapText="1"/>
    </xf>
    <xf numFmtId="0" fontId="30" fillId="10" borderId="0" xfId="0" applyFont="1" applyFill="1"/>
    <xf numFmtId="43" fontId="7" fillId="10" borderId="0" xfId="0" applyNumberFormat="1" applyFont="1" applyFill="1"/>
    <xf numFmtId="10" fontId="30" fillId="10" borderId="0" xfId="559" applyNumberFormat="1" applyFont="1" applyFill="1" applyAlignment="1">
      <alignment horizontal="center" vertical="center"/>
    </xf>
    <xf numFmtId="0" fontId="30" fillId="10" borderId="0" xfId="0" applyFont="1" applyFill="1" applyAlignment="1">
      <alignment horizontal="center" vertical="center"/>
    </xf>
    <xf numFmtId="169" fontId="11" fillId="2" borderId="1" xfId="0" applyNumberFormat="1" applyFont="1" applyFill="1" applyBorder="1" applyAlignment="1">
      <alignment horizontal="center" vertical="center" wrapText="1"/>
    </xf>
    <xf numFmtId="11" fontId="7" fillId="4" borderId="1" xfId="0" applyNumberFormat="1" applyFont="1" applyFill="1" applyBorder="1" applyAlignment="1">
      <alignment vertical="center" wrapText="1"/>
    </xf>
    <xf numFmtId="0" fontId="7" fillId="10" borderId="1" xfId="0" applyFont="1" applyFill="1" applyBorder="1"/>
    <xf numFmtId="0" fontId="7" fillId="10" borderId="1" xfId="0" applyFont="1" applyFill="1" applyBorder="1" applyAlignment="1">
      <alignment wrapText="1"/>
    </xf>
    <xf numFmtId="0" fontId="11" fillId="10"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xf>
    <xf numFmtId="0" fontId="7" fillId="10" borderId="1" xfId="0" applyFont="1" applyFill="1" applyBorder="1" applyAlignment="1">
      <alignment horizontal="left" vertical="center" wrapText="1"/>
    </xf>
    <xf numFmtId="0" fontId="7" fillId="10" borderId="1" xfId="0" applyFont="1" applyFill="1" applyBorder="1" applyAlignment="1">
      <alignment vertical="center" wrapText="1"/>
    </xf>
    <xf numFmtId="0" fontId="8" fillId="10" borderId="0" xfId="0" applyFont="1" applyFill="1" applyAlignment="1">
      <alignment vertical="center"/>
    </xf>
    <xf numFmtId="0" fontId="7" fillId="10" borderId="13" xfId="0" applyFont="1" applyFill="1" applyBorder="1" applyAlignment="1">
      <alignment vertical="center"/>
    </xf>
    <xf numFmtId="0" fontId="7" fillId="10" borderId="15" xfId="0" applyFont="1" applyFill="1" applyBorder="1" applyAlignment="1">
      <alignment vertical="center"/>
    </xf>
    <xf numFmtId="14" fontId="7" fillId="10" borderId="1" xfId="0" applyNumberFormat="1" applyFont="1" applyFill="1" applyBorder="1"/>
    <xf numFmtId="0" fontId="8" fillId="10" borderId="0" xfId="0" applyFont="1" applyFill="1"/>
    <xf numFmtId="49" fontId="7" fillId="10" borderId="1" xfId="0" applyNumberFormat="1" applyFont="1" applyFill="1" applyBorder="1"/>
    <xf numFmtId="0" fontId="8" fillId="10" borderId="0" xfId="0" applyFont="1" applyFill="1" applyAlignment="1">
      <alignment wrapText="1"/>
    </xf>
    <xf numFmtId="164" fontId="7" fillId="10" borderId="1" xfId="0" applyNumberFormat="1" applyFont="1" applyFill="1" applyBorder="1" applyAlignment="1">
      <alignment vertical="center" wrapText="1"/>
    </xf>
    <xf numFmtId="164" fontId="7" fillId="10" borderId="0" xfId="0" applyNumberFormat="1" applyFont="1" applyFill="1" applyAlignment="1">
      <alignment vertical="center" wrapText="1"/>
    </xf>
    <xf numFmtId="169" fontId="7" fillId="4" borderId="1" xfId="0" applyNumberFormat="1" applyFont="1" applyFill="1" applyBorder="1" applyAlignment="1">
      <alignment horizontal="left" vertical="top" wrapText="1"/>
    </xf>
    <xf numFmtId="49" fontId="30" fillId="4" borderId="1" xfId="0" applyNumberFormat="1" applyFont="1" applyFill="1" applyBorder="1" applyAlignment="1">
      <alignment vertical="center" wrapText="1"/>
    </xf>
    <xf numFmtId="0" fontId="16" fillId="0" borderId="0" xfId="0" applyFont="1" applyAlignment="1">
      <alignment horizontal="left" vertical="top" wrapText="1"/>
    </xf>
    <xf numFmtId="0" fontId="15" fillId="0" borderId="0" xfId="0" applyFont="1" applyAlignment="1">
      <alignment vertical="top"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16" fillId="0" borderId="0" xfId="0" applyFont="1" applyAlignment="1">
      <alignment horizontal="center" vertical="center" wrapText="1"/>
    </xf>
    <xf numFmtId="0" fontId="15" fillId="0" borderId="0" xfId="0" applyFont="1" applyAlignment="1">
      <alignment vertical="top" wrapText="1"/>
    </xf>
    <xf numFmtId="0" fontId="15" fillId="0" borderId="0" xfId="0" applyFont="1" applyAlignment="1">
      <alignment horizontal="left" vertical="center" wrapText="1"/>
    </xf>
    <xf numFmtId="0" fontId="15" fillId="0" borderId="0" xfId="0" applyFont="1" applyAlignment="1">
      <alignment horizontal="justify" vertical="top" wrapText="1"/>
    </xf>
    <xf numFmtId="0" fontId="15" fillId="0" borderId="0" xfId="0" applyFont="1" applyAlignment="1">
      <alignment vertical="top" wrapText="1"/>
    </xf>
    <xf numFmtId="0" fontId="16" fillId="0" borderId="0" xfId="0" applyFont="1" applyAlignment="1">
      <alignment wrapText="1"/>
    </xf>
    <xf numFmtId="0" fontId="8" fillId="2" borderId="1" xfId="0" applyFont="1" applyFill="1" applyBorder="1" applyAlignment="1">
      <alignment vertical="center"/>
    </xf>
    <xf numFmtId="0" fontId="15" fillId="0" borderId="0" xfId="0" applyFont="1" applyAlignment="1">
      <alignment vertical="center"/>
    </xf>
    <xf numFmtId="0" fontId="15" fillId="0" borderId="0" xfId="0" applyFont="1" applyAlignment="1">
      <alignment vertical="top" wrapText="1"/>
    </xf>
    <xf numFmtId="0" fontId="16" fillId="0" borderId="0" xfId="0" applyFont="1" applyAlignment="1">
      <alignment vertical="top"/>
    </xf>
    <xf numFmtId="0" fontId="9" fillId="0" borderId="25" xfId="0" applyFont="1" applyBorder="1"/>
    <xf numFmtId="0" fontId="19" fillId="0" borderId="25" xfId="0" applyFont="1" applyBorder="1" applyAlignment="1">
      <alignment horizontal="center"/>
    </xf>
    <xf numFmtId="0" fontId="10" fillId="0" borderId="25" xfId="0" applyFont="1" applyBorder="1" applyAlignment="1">
      <alignment horizontal="center" vertical="center"/>
    </xf>
    <xf numFmtId="0" fontId="9" fillId="0" borderId="25" xfId="0" applyFont="1" applyBorder="1" applyAlignment="1">
      <alignment horizontal="left" vertical="center" wrapText="1"/>
    </xf>
    <xf numFmtId="0" fontId="9" fillId="0" borderId="25" xfId="0" applyFont="1" applyBorder="1" applyAlignment="1">
      <alignment horizontal="left"/>
    </xf>
    <xf numFmtId="0" fontId="9" fillId="0" borderId="25" xfId="0" applyFont="1" applyBorder="1" applyAlignment="1">
      <alignment horizontal="left" vertical="center"/>
    </xf>
    <xf numFmtId="0" fontId="10" fillId="0" borderId="25" xfId="0" applyFont="1" applyBorder="1" applyAlignment="1">
      <alignment horizontal="center"/>
    </xf>
    <xf numFmtId="0" fontId="9" fillId="0" borderId="25" xfId="0" applyFont="1" applyBorder="1" applyAlignment="1">
      <alignment horizontal="center"/>
    </xf>
    <xf numFmtId="0" fontId="9" fillId="0" borderId="23" xfId="0" applyFont="1" applyBorder="1"/>
    <xf numFmtId="0" fontId="10" fillId="0" borderId="14" xfId="0" applyFont="1" applyBorder="1" applyAlignment="1">
      <alignment horizontal="right"/>
    </xf>
    <xf numFmtId="0" fontId="9" fillId="0" borderId="14" xfId="0" applyFont="1" applyBorder="1"/>
    <xf numFmtId="0" fontId="9" fillId="0" borderId="15" xfId="0" applyFont="1" applyBorder="1"/>
    <xf numFmtId="0" fontId="19" fillId="0" borderId="14" xfId="0" applyFont="1" applyBorder="1" applyAlignment="1">
      <alignment horizontal="center"/>
    </xf>
    <xf numFmtId="0" fontId="10" fillId="0" borderId="14" xfId="0" applyFont="1" applyBorder="1" applyAlignment="1">
      <alignment horizontal="center" wrapText="1"/>
    </xf>
    <xf numFmtId="0" fontId="9" fillId="0" borderId="14" xfId="0" applyFont="1" applyBorder="1" applyAlignment="1">
      <alignment horizontal="left" vertical="center" wrapText="1"/>
    </xf>
    <xf numFmtId="0" fontId="9" fillId="0" borderId="14" xfId="0" applyFont="1" applyBorder="1" applyAlignment="1">
      <alignment horizontal="left" wrapText="1"/>
    </xf>
    <xf numFmtId="0" fontId="9" fillId="5" borderId="14" xfId="0" applyFont="1" applyFill="1" applyBorder="1" applyAlignment="1">
      <alignment horizontal="left" wrapText="1"/>
    </xf>
    <xf numFmtId="0" fontId="9" fillId="0" borderId="14" xfId="0" applyFont="1" applyBorder="1" applyAlignment="1">
      <alignment horizontal="left"/>
    </xf>
    <xf numFmtId="0" fontId="9" fillId="0" borderId="0" xfId="0" applyFont="1" applyBorder="1"/>
    <xf numFmtId="0" fontId="8" fillId="2"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49" fontId="8" fillId="4" borderId="1" xfId="0" applyNumberFormat="1" applyFont="1" applyFill="1" applyBorder="1" applyAlignment="1">
      <alignment vertical="center" wrapText="1"/>
    </xf>
    <xf numFmtId="49" fontId="8" fillId="4" borderId="1" xfId="0" applyNumberFormat="1" applyFont="1" applyFill="1" applyBorder="1" applyAlignment="1">
      <alignment horizontal="left" vertical="center" wrapText="1"/>
    </xf>
    <xf numFmtId="0" fontId="9" fillId="0" borderId="0" xfId="0" applyFont="1" applyFill="1" applyBorder="1" applyAlignment="1">
      <alignment horizontal="left" vertical="center" wrapText="1"/>
    </xf>
    <xf numFmtId="0" fontId="9" fillId="0" borderId="0" xfId="0" applyFont="1" applyFill="1" applyAlignment="1">
      <alignment vertical="center" wrapText="1"/>
    </xf>
    <xf numFmtId="0" fontId="63" fillId="0" borderId="0" xfId="0" applyFont="1" applyAlignment="1" applyProtection="1">
      <alignment horizontal="center" vertical="center"/>
      <protection hidden="1"/>
    </xf>
    <xf numFmtId="0" fontId="64" fillId="0" borderId="0" xfId="0" applyFont="1" applyAlignment="1" applyProtection="1">
      <alignment horizontal="center" vertical="top"/>
      <protection hidden="1"/>
    </xf>
    <xf numFmtId="0" fontId="64" fillId="0" borderId="0" xfId="0" applyFont="1" applyAlignment="1" applyProtection="1">
      <alignment horizontal="center" vertical="center"/>
      <protection hidden="1"/>
    </xf>
    <xf numFmtId="0" fontId="16" fillId="0" borderId="0" xfId="0" applyFont="1" applyBorder="1" applyAlignment="1">
      <alignment vertical="center"/>
    </xf>
    <xf numFmtId="0" fontId="46" fillId="0" borderId="0" xfId="0" applyFont="1" applyBorder="1" applyAlignment="1">
      <alignment horizontal="center" wrapText="1"/>
    </xf>
    <xf numFmtId="0" fontId="31" fillId="0" borderId="0" xfId="0" applyFont="1" applyBorder="1" applyAlignment="1">
      <alignment horizontal="center" wrapText="1"/>
    </xf>
    <xf numFmtId="0" fontId="16" fillId="0" borderId="0" xfId="0" applyFont="1" applyAlignment="1">
      <alignment horizontal="left" vertical="top" wrapText="1"/>
    </xf>
    <xf numFmtId="0" fontId="15" fillId="0" borderId="0" xfId="0" applyFont="1" applyAlignment="1">
      <alignment vertical="top" wrapText="1"/>
    </xf>
    <xf numFmtId="0" fontId="16" fillId="0" borderId="0" xfId="0" applyFont="1" applyAlignment="1"/>
    <xf numFmtId="0" fontId="15" fillId="0" borderId="0" xfId="0" applyFont="1" applyAlignment="1">
      <alignment vertical="top" wrapText="1"/>
    </xf>
    <xf numFmtId="0" fontId="16" fillId="0" borderId="0" xfId="0" applyFont="1" applyBorder="1" applyAlignment="1">
      <alignment horizontal="left" vertical="center"/>
    </xf>
    <xf numFmtId="0" fontId="35" fillId="0" borderId="0" xfId="0" applyFont="1" applyBorder="1" applyAlignment="1">
      <alignment horizontal="left" vertical="center" wrapText="1"/>
    </xf>
    <xf numFmtId="0" fontId="16" fillId="0" borderId="0" xfId="0" applyFont="1" applyBorder="1" applyAlignment="1">
      <alignment horizontal="left" vertical="center" wrapText="1"/>
    </xf>
    <xf numFmtId="0" fontId="16" fillId="0" borderId="0" xfId="0" applyFont="1" applyAlignment="1">
      <alignment vertical="top" wrapText="1"/>
    </xf>
    <xf numFmtId="0" fontId="10" fillId="0" borderId="0" xfId="0" applyFont="1" applyBorder="1" applyAlignment="1">
      <alignment horizontal="right"/>
    </xf>
    <xf numFmtId="0" fontId="10" fillId="0" borderId="0" xfId="0" applyFont="1" applyBorder="1" applyAlignment="1">
      <alignment wrapText="1"/>
    </xf>
    <xf numFmtId="0" fontId="16" fillId="0" borderId="0" xfId="0" applyFont="1" applyFill="1" applyAlignment="1"/>
    <xf numFmtId="0" fontId="7" fillId="12" borderId="0" xfId="0" applyFont="1" applyFill="1"/>
    <xf numFmtId="0" fontId="7" fillId="12" borderId="1" xfId="0" applyFont="1" applyFill="1" applyBorder="1"/>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0" fillId="0" borderId="0" xfId="0" applyFont="1" applyAlignment="1">
      <alignment horizontal="center" vertical="center"/>
    </xf>
    <xf numFmtId="0" fontId="9" fillId="0" borderId="0" xfId="0" applyFont="1" applyAlignment="1">
      <alignment horizontal="left" vertical="top" wrapText="1"/>
    </xf>
    <xf numFmtId="0" fontId="29" fillId="0" borderId="0" xfId="0" applyFont="1" applyAlignment="1">
      <alignment horizontal="left" vertical="top" wrapText="1"/>
    </xf>
    <xf numFmtId="49" fontId="9" fillId="0" borderId="0" xfId="0" applyNumberFormat="1"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left" wrapText="1"/>
    </xf>
    <xf numFmtId="0" fontId="9" fillId="0" borderId="0" xfId="0" applyFont="1" applyAlignment="1">
      <alignment vertical="top" wrapText="1"/>
    </xf>
    <xf numFmtId="0" fontId="29" fillId="5" borderId="0" xfId="0" applyFont="1" applyFill="1" applyAlignment="1">
      <alignment horizontal="left" vertical="top" wrapText="1"/>
    </xf>
    <xf numFmtId="0" fontId="33" fillId="0" borderId="0" xfId="0" applyFont="1" applyAlignment="1">
      <alignment horizontal="center" vertical="top" wrapText="1"/>
    </xf>
    <xf numFmtId="0" fontId="10" fillId="0" borderId="0" xfId="0" applyFont="1" applyAlignment="1">
      <alignment horizontal="center" vertical="top" wrapText="1"/>
    </xf>
    <xf numFmtId="0" fontId="33" fillId="0" borderId="0" xfId="0" applyFont="1" applyAlignment="1">
      <alignment horizontal="left"/>
    </xf>
    <xf numFmtId="0" fontId="10" fillId="0" borderId="0" xfId="0" applyFont="1" applyAlignment="1">
      <alignment horizontal="center"/>
    </xf>
    <xf numFmtId="0" fontId="10" fillId="0" borderId="0" xfId="0" applyFont="1" applyAlignment="1">
      <alignment horizontal="center" wrapText="1"/>
    </xf>
    <xf numFmtId="0" fontId="9" fillId="0" borderId="14" xfId="0" applyFont="1" applyBorder="1" applyAlignment="1">
      <alignment horizontal="right" wrapText="1"/>
    </xf>
    <xf numFmtId="0" fontId="10" fillId="0" borderId="0" xfId="0" applyFont="1" applyBorder="1" applyAlignment="1">
      <alignment horizontal="center" wrapText="1"/>
    </xf>
    <xf numFmtId="0" fontId="15" fillId="0" borderId="0" xfId="0" applyFont="1" applyAlignment="1">
      <alignment horizontal="justify" vertical="top" wrapText="1"/>
    </xf>
    <xf numFmtId="0" fontId="16" fillId="0" borderId="0" xfId="0" applyFont="1" applyAlignment="1">
      <alignment horizontal="center" vertical="top" wrapText="1"/>
    </xf>
    <xf numFmtId="0" fontId="15" fillId="0" borderId="0" xfId="0" applyFont="1" applyAlignment="1">
      <alignment horizontal="left" vertical="top" wrapText="1"/>
    </xf>
    <xf numFmtId="0" fontId="28" fillId="0" borderId="0" xfId="0" applyFont="1" applyBorder="1" applyAlignment="1">
      <alignment horizontal="left" vertical="top" wrapText="1"/>
    </xf>
    <xf numFmtId="0" fontId="28" fillId="0" borderId="0" xfId="0" applyFont="1" applyBorder="1" applyAlignment="1">
      <alignment horizontal="left" vertical="center" wrapText="1"/>
    </xf>
    <xf numFmtId="0" fontId="15" fillId="0" borderId="0" xfId="0" applyFont="1" applyBorder="1" applyAlignment="1">
      <alignment horizontal="left" vertical="center" wrapText="1"/>
    </xf>
    <xf numFmtId="0" fontId="15" fillId="0" borderId="0" xfId="0" applyFont="1" applyAlignment="1">
      <alignment horizontal="left" vertical="center" wrapText="1"/>
    </xf>
    <xf numFmtId="0" fontId="46" fillId="0" borderId="0" xfId="0" applyFont="1" applyAlignment="1">
      <alignment horizontal="justify" vertical="top" wrapText="1"/>
    </xf>
    <xf numFmtId="0" fontId="16" fillId="0" borderId="0" xfId="0" applyFont="1" applyAlignment="1">
      <alignment horizontal="center" vertical="center" wrapText="1"/>
    </xf>
    <xf numFmtId="0" fontId="35" fillId="0" borderId="0" xfId="0" applyFont="1" applyAlignment="1">
      <alignment horizontal="center" vertical="center" wrapText="1"/>
    </xf>
    <xf numFmtId="0" fontId="28" fillId="0" borderId="0" xfId="0" applyFont="1" applyAlignment="1">
      <alignment horizontal="center"/>
    </xf>
    <xf numFmtId="0" fontId="28" fillId="0" borderId="0" xfId="0" applyFont="1" applyAlignment="1">
      <alignment horizontal="center" vertical="top" wrapText="1"/>
    </xf>
    <xf numFmtId="0" fontId="28" fillId="0" borderId="0" xfId="0" applyFont="1" applyAlignment="1">
      <alignment horizontal="left" wrapText="1"/>
    </xf>
    <xf numFmtId="0" fontId="37" fillId="0" borderId="0" xfId="0" applyFont="1" applyAlignment="1">
      <alignment horizontal="center" vertical="top" wrapText="1"/>
    </xf>
    <xf numFmtId="0" fontId="28" fillId="0" borderId="0" xfId="0" applyFont="1" applyAlignment="1">
      <alignment horizontal="center" wrapText="1"/>
    </xf>
    <xf numFmtId="0" fontId="35" fillId="0" borderId="0" xfId="0" applyFont="1" applyAlignment="1">
      <alignment horizontal="center" vertical="top" wrapText="1"/>
    </xf>
    <xf numFmtId="0" fontId="28"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right"/>
    </xf>
    <xf numFmtId="0" fontId="35" fillId="0" borderId="0" xfId="0" applyFont="1" applyAlignment="1">
      <alignment horizontal="center"/>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horizontal="center"/>
    </xf>
    <xf numFmtId="0" fontId="15" fillId="0" borderId="0" xfId="0" applyFont="1" applyAlignment="1">
      <alignment horizontal="center"/>
    </xf>
    <xf numFmtId="0" fontId="15" fillId="0" borderId="0" xfId="0" applyFont="1" applyAlignment="1">
      <alignment horizontal="center" vertical="top" wrapText="1"/>
    </xf>
    <xf numFmtId="0" fontId="15" fillId="0" borderId="0" xfId="0" applyFont="1" applyAlignment="1">
      <alignment horizontal="left" wrapText="1"/>
    </xf>
    <xf numFmtId="0" fontId="20" fillId="0" borderId="0" xfId="0" applyFont="1" applyAlignment="1">
      <alignment horizontal="center" vertical="top" wrapText="1"/>
    </xf>
    <xf numFmtId="0" fontId="15" fillId="0" borderId="0" xfId="0" applyFont="1" applyAlignment="1">
      <alignment horizontal="center" wrapText="1"/>
    </xf>
    <xf numFmtId="0" fontId="21" fillId="0" borderId="0" xfId="0" applyFont="1" applyAlignment="1">
      <alignment horizontal="center" vertical="center" wrapText="1"/>
    </xf>
    <xf numFmtId="0" fontId="16" fillId="0" borderId="0" xfId="0" applyFont="1" applyAlignment="1">
      <alignment horizontal="center" wrapText="1"/>
    </xf>
    <xf numFmtId="0" fontId="16" fillId="0" borderId="0" xfId="0" applyFont="1" applyAlignment="1">
      <alignment horizontal="right"/>
    </xf>
    <xf numFmtId="0" fontId="16" fillId="0" borderId="0" xfId="0" applyFont="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xf>
    <xf numFmtId="0" fontId="16" fillId="0" borderId="0" xfId="0" applyFont="1" applyAlignment="1">
      <alignment horizontal="left" vertical="top"/>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26" fillId="0" borderId="0" xfId="0" applyFont="1" applyAlignment="1">
      <alignment horizontal="right" vertical="top" wrapText="1"/>
    </xf>
    <xf numFmtId="0" fontId="16" fillId="0" borderId="0" xfId="0" applyFont="1" applyAlignment="1">
      <alignment horizontal="left" vertical="top"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0" fillId="0" borderId="0" xfId="0" applyFont="1" applyBorder="1" applyAlignment="1">
      <alignment horizontal="right" vertical="center" wrapText="1"/>
    </xf>
    <xf numFmtId="0" fontId="54" fillId="0" borderId="0" xfId="0" applyFont="1" applyAlignment="1">
      <alignment horizontal="center" wrapText="1"/>
    </xf>
    <xf numFmtId="0" fontId="16" fillId="0" borderId="0" xfId="0" applyFont="1" applyAlignment="1">
      <alignment horizontal="right" vertical="center" wrapText="1"/>
    </xf>
    <xf numFmtId="0" fontId="9" fillId="0" borderId="0" xfId="0" applyFont="1" applyAlignment="1">
      <alignment horizontal="justify" wrapText="1"/>
    </xf>
    <xf numFmtId="0" fontId="10" fillId="0" borderId="0" xfId="0" applyFont="1" applyAlignment="1">
      <alignment horizontal="left" vertical="top" wrapText="1"/>
    </xf>
    <xf numFmtId="0" fontId="10" fillId="0" borderId="0" xfId="0" applyFont="1" applyAlignment="1">
      <alignment horizontal="left" vertical="center" wrapText="1"/>
    </xf>
    <xf numFmtId="0" fontId="10" fillId="0" borderId="0" xfId="0" applyFont="1" applyAlignment="1">
      <alignment horizontal="right" vertical="center"/>
    </xf>
    <xf numFmtId="0" fontId="9" fillId="0" borderId="0" xfId="0" applyFont="1" applyFill="1" applyBorder="1" applyAlignment="1">
      <alignment horizontal="left" vertical="center" wrapText="1"/>
    </xf>
    <xf numFmtId="0" fontId="9" fillId="0" borderId="0" xfId="0" applyFont="1" applyAlignment="1">
      <alignment horizontal="left" vertical="center" wrapText="1"/>
    </xf>
    <xf numFmtId="0" fontId="16" fillId="0" borderId="10" xfId="0" applyFont="1" applyBorder="1" applyAlignment="1">
      <alignment horizontal="center" wrapText="1"/>
    </xf>
    <xf numFmtId="0" fontId="16" fillId="0" borderId="11" xfId="0" applyFont="1" applyBorder="1" applyAlignment="1">
      <alignment horizontal="center" wrapText="1"/>
    </xf>
    <xf numFmtId="0" fontId="16" fillId="0" borderId="12" xfId="0" applyFont="1" applyBorder="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8" xfId="0" applyFont="1" applyBorder="1" applyAlignment="1">
      <alignment horizontal="left" wrapText="1"/>
    </xf>
    <xf numFmtId="0" fontId="16" fillId="0" borderId="0" xfId="0" applyFont="1" applyAlignment="1">
      <alignment horizontal="left" wrapText="1"/>
    </xf>
    <xf numFmtId="0" fontId="16" fillId="0" borderId="9" xfId="0" applyFont="1" applyBorder="1" applyAlignment="1">
      <alignment horizontal="left" wrapText="1"/>
    </xf>
    <xf numFmtId="0" fontId="24" fillId="0" borderId="8" xfId="0" applyFont="1" applyBorder="1" applyAlignment="1">
      <alignment horizontal="center" wrapText="1"/>
    </xf>
    <xf numFmtId="0" fontId="24" fillId="0" borderId="0" xfId="0" applyFont="1" applyAlignment="1">
      <alignment horizontal="center" wrapText="1"/>
    </xf>
    <xf numFmtId="0" fontId="24" fillId="0" borderId="9" xfId="0" applyFont="1" applyBorder="1" applyAlignment="1">
      <alignment horizontal="center" wrapText="1"/>
    </xf>
    <xf numFmtId="0" fontId="25" fillId="0" borderId="5" xfId="0" applyFont="1" applyBorder="1" applyAlignment="1">
      <alignment horizontal="center" wrapText="1"/>
    </xf>
    <xf numFmtId="0" fontId="25" fillId="0" borderId="6" xfId="0" applyFont="1" applyBorder="1" applyAlignment="1">
      <alignment horizontal="center" wrapText="1"/>
    </xf>
    <xf numFmtId="0" fontId="25" fillId="0" borderId="7" xfId="0" applyFont="1" applyBorder="1" applyAlignment="1">
      <alignment horizontal="center" wrapText="1"/>
    </xf>
    <xf numFmtId="0" fontId="34" fillId="0" borderId="8" xfId="0" applyFont="1" applyBorder="1" applyAlignment="1">
      <alignment horizontal="center" wrapText="1"/>
    </xf>
    <xf numFmtId="0" fontId="34" fillId="0" borderId="0" xfId="0" applyFont="1" applyAlignment="1">
      <alignment horizontal="center" wrapText="1"/>
    </xf>
    <xf numFmtId="0" fontId="34" fillId="0" borderId="9" xfId="0" applyFont="1" applyBorder="1" applyAlignment="1">
      <alignment horizontal="center" wrapText="1"/>
    </xf>
    <xf numFmtId="0" fontId="18" fillId="0" borderId="0" xfId="0" applyFont="1" applyAlignment="1">
      <alignment horizontal="justify" vertical="top" wrapText="1"/>
    </xf>
    <xf numFmtId="0" fontId="17" fillId="0" borderId="0" xfId="0" applyFont="1" applyAlignment="1">
      <alignment horizontal="center" vertical="top" wrapText="1"/>
    </xf>
    <xf numFmtId="0" fontId="18" fillId="0" borderId="0" xfId="0" applyFont="1" applyAlignment="1">
      <alignment horizontal="left" vertical="top" wrapText="1"/>
    </xf>
    <xf numFmtId="0" fontId="18" fillId="0" borderId="0" xfId="0" applyFont="1" applyAlignment="1">
      <alignment horizontal="center" vertical="top" wrapText="1"/>
    </xf>
    <xf numFmtId="0" fontId="18" fillId="0" borderId="4" xfId="0" applyFont="1" applyBorder="1" applyAlignment="1">
      <alignment horizontal="center" vertical="top" wrapText="1"/>
    </xf>
    <xf numFmtId="49" fontId="18" fillId="0" borderId="0" xfId="0" applyNumberFormat="1" applyFont="1" applyAlignment="1">
      <alignment horizontal="center" vertical="center" wrapText="1"/>
    </xf>
    <xf numFmtId="0" fontId="15" fillId="0" borderId="0" xfId="0" applyFont="1" applyAlignment="1">
      <alignment horizontal="center" vertical="center"/>
    </xf>
    <xf numFmtId="49" fontId="15" fillId="0" borderId="0" xfId="0" applyNumberFormat="1" applyFont="1" applyAlignment="1">
      <alignment horizontal="justify" vertical="top" wrapText="1"/>
    </xf>
    <xf numFmtId="0" fontId="29" fillId="0" borderId="0" xfId="0" applyFont="1" applyAlignment="1">
      <alignment horizontal="justify" vertical="center" wrapText="1"/>
    </xf>
    <xf numFmtId="0" fontId="29" fillId="0" borderId="1" xfId="0" applyFont="1" applyBorder="1" applyAlignment="1">
      <alignment horizontal="justify" vertical="center" wrapText="1"/>
    </xf>
    <xf numFmtId="0" fontId="29" fillId="0" borderId="17" xfId="0" applyFont="1" applyBorder="1" applyAlignment="1">
      <alignment horizontal="justify" vertical="center" wrapText="1"/>
    </xf>
    <xf numFmtId="0" fontId="29" fillId="0" borderId="11" xfId="0" applyFont="1" applyBorder="1" applyAlignment="1">
      <alignment horizontal="justify"/>
    </xf>
    <xf numFmtId="0" fontId="29" fillId="0" borderId="0" xfId="0" applyFont="1" applyAlignment="1">
      <alignment horizontal="center"/>
    </xf>
    <xf numFmtId="0" fontId="29" fillId="0" borderId="3" xfId="0" applyFont="1" applyBorder="1" applyAlignment="1">
      <alignment horizontal="justify" vertical="center" wrapText="1"/>
    </xf>
    <xf numFmtId="0" fontId="29" fillId="0" borderId="18" xfId="0" applyFont="1" applyBorder="1" applyAlignment="1">
      <alignment horizontal="justify" vertical="center" wrapText="1"/>
    </xf>
    <xf numFmtId="0" fontId="29" fillId="0" borderId="2" xfId="0" applyFont="1" applyBorder="1" applyAlignment="1">
      <alignment horizontal="justify" vertical="center" wrapText="1"/>
    </xf>
    <xf numFmtId="0" fontId="29" fillId="0" borderId="3" xfId="0" applyFont="1" applyBorder="1" applyAlignment="1">
      <alignment horizontal="justify" vertical="center"/>
    </xf>
    <xf numFmtId="0" fontId="29" fillId="0" borderId="2" xfId="0" applyFont="1" applyBorder="1" applyAlignment="1">
      <alignment horizontal="justify" vertical="center"/>
    </xf>
    <xf numFmtId="0" fontId="29" fillId="0" borderId="21" xfId="0" applyFont="1" applyBorder="1" applyAlignment="1">
      <alignment horizontal="justify" vertical="center"/>
    </xf>
    <xf numFmtId="0" fontId="29" fillId="0" borderId="17" xfId="0" applyFont="1" applyBorder="1" applyAlignment="1">
      <alignment horizontal="justify" vertical="center"/>
    </xf>
    <xf numFmtId="0" fontId="29" fillId="0" borderId="22" xfId="0" applyFont="1" applyBorder="1" applyAlignment="1">
      <alignment horizontal="justify" vertical="center"/>
    </xf>
    <xf numFmtId="0" fontId="29" fillId="0" borderId="20" xfId="0" applyFont="1" applyBorder="1" applyAlignment="1">
      <alignment horizontal="justify" vertical="center"/>
    </xf>
    <xf numFmtId="0" fontId="29" fillId="0" borderId="4" xfId="0" applyFont="1" applyBorder="1" applyAlignment="1">
      <alignment horizontal="justify" vertical="center"/>
    </xf>
    <xf numFmtId="0" fontId="29" fillId="0" borderId="23" xfId="0" applyFont="1" applyBorder="1" applyAlignment="1">
      <alignment horizontal="justify" vertical="center"/>
    </xf>
    <xf numFmtId="0" fontId="10" fillId="0" borderId="0" xfId="0" applyFont="1" applyAlignment="1">
      <alignment horizontal="right" vertical="top" wrapText="1"/>
    </xf>
    <xf numFmtId="0" fontId="9" fillId="0" borderId="0" xfId="0" applyFont="1" applyAlignment="1">
      <alignment horizontal="justify" vertical="top" wrapText="1"/>
    </xf>
    <xf numFmtId="0" fontId="40" fillId="0" borderId="0" xfId="0" applyFont="1" applyAlignment="1">
      <alignment vertical="center" wrapText="1"/>
    </xf>
    <xf numFmtId="0" fontId="39" fillId="0" borderId="0" xfId="0" applyFont="1" applyAlignment="1">
      <alignment horizontal="justify" vertical="center" wrapText="1"/>
    </xf>
    <xf numFmtId="0" fontId="15" fillId="0" borderId="0" xfId="0" applyFont="1" applyAlignment="1">
      <alignment vertical="top" wrapText="1"/>
    </xf>
    <xf numFmtId="0" fontId="40" fillId="0" borderId="0" xfId="0" applyFont="1" applyAlignment="1">
      <alignment horizontal="justify" vertical="center" wrapText="1"/>
    </xf>
    <xf numFmtId="0" fontId="39" fillId="0" borderId="0" xfId="0" applyFont="1" applyAlignment="1">
      <alignment horizontal="justify" vertical="top" wrapText="1"/>
    </xf>
    <xf numFmtId="0" fontId="15" fillId="0" borderId="0" xfId="0" applyFont="1" applyAlignment="1">
      <alignment horizontal="left"/>
    </xf>
    <xf numFmtId="0" fontId="18" fillId="0" borderId="0" xfId="0" applyFont="1" applyAlignment="1">
      <alignment horizontal="left" wrapText="1"/>
    </xf>
    <xf numFmtId="0" fontId="17" fillId="0" borderId="4" xfId="0" applyFont="1" applyBorder="1" applyAlignment="1">
      <alignment horizontal="left" vertical="top"/>
    </xf>
    <xf numFmtId="0" fontId="17" fillId="8" borderId="3"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0" xfId="0" applyFont="1" applyAlignment="1">
      <alignment horizontal="left"/>
    </xf>
    <xf numFmtId="0" fontId="18" fillId="0" borderId="0" xfId="0" applyFont="1" applyAlignment="1">
      <alignment horizontal="justify" vertical="top" wrapText="1" readingOrder="1"/>
    </xf>
    <xf numFmtId="0" fontId="17" fillId="0" borderId="0" xfId="0" applyFont="1" applyAlignment="1">
      <alignment horizontal="center" wrapText="1"/>
    </xf>
    <xf numFmtId="0" fontId="42" fillId="0" borderId="0" xfId="0" applyFont="1" applyAlignment="1">
      <alignment horizontal="left" vertical="center" wrapText="1" readingOrder="1"/>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cellXfs>
  <cellStyles count="1786">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3" xfId="344" xr:uid="{00000000-0005-0000-0000-000007000000}"/>
    <cellStyle name="Обычный 10 3 2" xfId="583" xr:uid="{00000000-0005-0000-0000-00000800000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3" xfId="576" xr:uid="{00000000-0005-0000-0000-000012000000}"/>
    <cellStyle name="Обычный 11 2 4" xfId="1713" xr:uid="{00000000-0005-0000-0000-000013000000}"/>
    <cellStyle name="Обычный 11 3" xfId="345" xr:uid="{00000000-0005-0000-0000-000014000000}"/>
    <cellStyle name="Обычный 11 3 2" xfId="584" xr:uid="{00000000-0005-0000-0000-000015000000}"/>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3" xfId="569" xr:uid="{00000000-0005-0000-0000-000024000000}"/>
    <cellStyle name="Обычный 4 2 4" xfId="1706" xr:uid="{00000000-0005-0000-0000-000025000000}"/>
    <cellStyle name="Обычный 4 3" xfId="338" xr:uid="{00000000-0005-0000-0000-000026000000}"/>
    <cellStyle name="Обычный 4 3 2" xfId="577" xr:uid="{00000000-0005-0000-0000-00002700000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3" xfId="570" xr:uid="{00000000-0005-0000-0000-000031000000}"/>
    <cellStyle name="Обычный 5 2 4" xfId="1707" xr:uid="{00000000-0005-0000-0000-000032000000}"/>
    <cellStyle name="Обычный 5 3" xfId="339" xr:uid="{00000000-0005-0000-0000-000033000000}"/>
    <cellStyle name="Обычный 5 3 2" xfId="578" xr:uid="{00000000-0005-0000-0000-00003400000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3" xfId="571" xr:uid="{00000000-0005-0000-0000-00003E000000}"/>
    <cellStyle name="Обычный 6 2 4" xfId="1708" xr:uid="{00000000-0005-0000-0000-00003F000000}"/>
    <cellStyle name="Обычный 6 3" xfId="340" xr:uid="{00000000-0005-0000-0000-000040000000}"/>
    <cellStyle name="Обычный 6 3 2" xfId="579" xr:uid="{00000000-0005-0000-0000-000041000000}"/>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3" xfId="572" xr:uid="{00000000-0005-0000-0000-00004B000000}"/>
    <cellStyle name="Обычный 7 2 4" xfId="1709" xr:uid="{00000000-0005-0000-0000-00004C000000}"/>
    <cellStyle name="Обычный 7 3" xfId="341" xr:uid="{00000000-0005-0000-0000-00004D000000}"/>
    <cellStyle name="Обычный 7 3 2" xfId="580" xr:uid="{00000000-0005-0000-0000-00004E000000}"/>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3" xfId="573" xr:uid="{00000000-0005-0000-0000-000058000000}"/>
    <cellStyle name="Обычный 8 2 4" xfId="1710" xr:uid="{00000000-0005-0000-0000-000059000000}"/>
    <cellStyle name="Обычный 8 3" xfId="342" xr:uid="{00000000-0005-0000-0000-00005A000000}"/>
    <cellStyle name="Обычный 8 3 2" xfId="581" xr:uid="{00000000-0005-0000-0000-00005B000000}"/>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3" xfId="574" xr:uid="{00000000-0005-0000-0000-000065000000}"/>
    <cellStyle name="Обычный 9 2 4" xfId="1711" xr:uid="{00000000-0005-0000-0000-000066000000}"/>
    <cellStyle name="Обычный 9 3" xfId="343" xr:uid="{00000000-0005-0000-0000-000067000000}"/>
    <cellStyle name="Обычный 9 3 2" xfId="582" xr:uid="{00000000-0005-0000-0000-000068000000}"/>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Процентный" xfId="559" builtinId="5"/>
    <cellStyle name="Процентный 2" xfId="732" xr:uid="{00000000-0005-0000-0000-00006F000000}"/>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3" xfId="1236" xr:uid="{00000000-0005-0000-0000-000076000000}"/>
    <cellStyle name="Финансовый 10 2 4" xfId="1765" xr:uid="{00000000-0005-0000-0000-000077000000}"/>
    <cellStyle name="Финансовый 10 3" xfId="397" xr:uid="{00000000-0005-0000-0000-000078000000}"/>
    <cellStyle name="Финансовый 10 3 2" xfId="1364" xr:uid="{00000000-0005-0000-0000-000079000000}"/>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3" xfId="1182" xr:uid="{00000000-0005-0000-0000-000083000000}"/>
    <cellStyle name="Финансовый 11 2 4" xfId="1703" xr:uid="{00000000-0005-0000-0000-000084000000}"/>
    <cellStyle name="Финансовый 11 3" xfId="335" xr:uid="{00000000-0005-0000-0000-000085000000}"/>
    <cellStyle name="Финансовый 11 3 2" xfId="1310" xr:uid="{00000000-0005-0000-0000-000086000000}"/>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3" xfId="1170" xr:uid="{00000000-0005-0000-0000-000090000000}"/>
    <cellStyle name="Финансовый 12 2 4" xfId="1691" xr:uid="{00000000-0005-0000-0000-000091000000}"/>
    <cellStyle name="Финансовый 12 3" xfId="323" xr:uid="{00000000-0005-0000-0000-000092000000}"/>
    <cellStyle name="Финансовый 12 3 2" xfId="1298" xr:uid="{00000000-0005-0000-0000-0000930000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3" xfId="1238" xr:uid="{00000000-0005-0000-0000-00009D000000}"/>
    <cellStyle name="Финансовый 13 2 4" xfId="1767" xr:uid="{00000000-0005-0000-0000-00009E000000}"/>
    <cellStyle name="Финансовый 13 3" xfId="399" xr:uid="{00000000-0005-0000-0000-00009F000000}"/>
    <cellStyle name="Финансовый 13 3 2" xfId="1366" xr:uid="{00000000-0005-0000-0000-0000A0000000}"/>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3" xfId="1146" xr:uid="{00000000-0005-0000-0000-0000AA000000}"/>
    <cellStyle name="Финансовый 14 2 4" xfId="1667" xr:uid="{00000000-0005-0000-0000-0000AB000000}"/>
    <cellStyle name="Финансовый 14 3" xfId="299" xr:uid="{00000000-0005-0000-0000-0000AC000000}"/>
    <cellStyle name="Финансовый 14 3 2" xfId="1274" xr:uid="{00000000-0005-0000-0000-0000AD000000}"/>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3" xfId="1134" xr:uid="{00000000-0005-0000-0000-0000B7000000}"/>
    <cellStyle name="Финансовый 15 2 4" xfId="1655" xr:uid="{00000000-0005-0000-0000-0000B8000000}"/>
    <cellStyle name="Финансовый 15 3" xfId="287" xr:uid="{00000000-0005-0000-0000-0000B9000000}"/>
    <cellStyle name="Финансовый 15 3 2" xfId="1262" xr:uid="{00000000-0005-0000-0000-0000BA000000}"/>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3" xfId="1122" xr:uid="{00000000-0005-0000-0000-0000C3000000}"/>
    <cellStyle name="Финансовый 16 4" xfId="1643" xr:uid="{00000000-0005-0000-0000-0000C4000000}"/>
    <cellStyle name="Финансовый 17" xfId="547" xr:uid="{00000000-0005-0000-0000-0000C5000000}"/>
    <cellStyle name="Финансовый 17 2" xfId="1250" xr:uid="{00000000-0005-0000-0000-0000C6000000}"/>
    <cellStyle name="Финансовый 18" xfId="275" xr:uid="{00000000-0005-0000-0000-0000C7000000}"/>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3" xfId="1183" xr:uid="{00000000-0005-0000-0000-0000CF000000}"/>
    <cellStyle name="Финансовый 2 10 2 4" xfId="1704" xr:uid="{00000000-0005-0000-0000-0000D0000000}"/>
    <cellStyle name="Финансовый 2 10 3" xfId="336" xr:uid="{00000000-0005-0000-0000-0000D1000000}"/>
    <cellStyle name="Финансовый 2 10 3 2" xfId="1311" xr:uid="{00000000-0005-0000-0000-0000D2000000}"/>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3" xfId="1171" xr:uid="{00000000-0005-0000-0000-0000DC000000}"/>
    <cellStyle name="Финансовый 2 11 2 4" xfId="1692" xr:uid="{00000000-0005-0000-0000-0000DD000000}"/>
    <cellStyle name="Финансовый 2 11 3" xfId="324" xr:uid="{00000000-0005-0000-0000-0000DE000000}"/>
    <cellStyle name="Финансовый 2 11 3 2" xfId="1299" xr:uid="{00000000-0005-0000-0000-0000DF000000}"/>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3" xfId="1239" xr:uid="{00000000-0005-0000-0000-0000E9000000}"/>
    <cellStyle name="Финансовый 2 12 2 4" xfId="1768" xr:uid="{00000000-0005-0000-0000-0000EA000000}"/>
    <cellStyle name="Финансовый 2 12 3" xfId="400" xr:uid="{00000000-0005-0000-0000-0000EB000000}"/>
    <cellStyle name="Финансовый 2 12 3 2" xfId="1367" xr:uid="{00000000-0005-0000-0000-0000EC000000}"/>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3" xfId="1147" xr:uid="{00000000-0005-0000-0000-0000F6000000}"/>
    <cellStyle name="Финансовый 2 13 2 4" xfId="1668" xr:uid="{00000000-0005-0000-0000-0000F7000000}"/>
    <cellStyle name="Финансовый 2 13 3" xfId="300" xr:uid="{00000000-0005-0000-0000-0000F8000000}"/>
    <cellStyle name="Финансовый 2 13 3 2" xfId="1275" xr:uid="{00000000-0005-0000-0000-0000F9000000}"/>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3" xfId="1135" xr:uid="{00000000-0005-0000-0000-000003010000}"/>
    <cellStyle name="Финансовый 2 14 2 4" xfId="1656" xr:uid="{00000000-0005-0000-0000-000004010000}"/>
    <cellStyle name="Финансовый 2 14 3" xfId="288" xr:uid="{00000000-0005-0000-0000-000005010000}"/>
    <cellStyle name="Финансовый 2 14 3 2" xfId="1263" xr:uid="{00000000-0005-0000-0000-000006010000}"/>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3" xfId="1123" xr:uid="{00000000-0005-0000-0000-00000F010000}"/>
    <cellStyle name="Финансовый 2 15 4" xfId="1644" xr:uid="{00000000-0005-0000-0000-000010010000}"/>
    <cellStyle name="Финансовый 2 16" xfId="548" xr:uid="{00000000-0005-0000-0000-000011010000}"/>
    <cellStyle name="Финансовый 2 16 2" xfId="1251" xr:uid="{00000000-0005-0000-0000-000012010000}"/>
    <cellStyle name="Финансовый 2 17" xfId="276" xr:uid="{00000000-0005-0000-0000-000013010000}"/>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3" xfId="1149" xr:uid="{00000000-0005-0000-0000-00001C010000}"/>
    <cellStyle name="Финансовый 2 2 10 2 4" xfId="1670" xr:uid="{00000000-0005-0000-0000-00001D010000}"/>
    <cellStyle name="Финансовый 2 2 10 3" xfId="302" xr:uid="{00000000-0005-0000-0000-00001E010000}"/>
    <cellStyle name="Финансовый 2 2 10 3 2" xfId="1277" xr:uid="{00000000-0005-0000-0000-00001F010000}"/>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3" xfId="1137" xr:uid="{00000000-0005-0000-0000-000029010000}"/>
    <cellStyle name="Финансовый 2 2 11 2 4" xfId="1658" xr:uid="{00000000-0005-0000-0000-00002A010000}"/>
    <cellStyle name="Финансовый 2 2 11 3" xfId="290" xr:uid="{00000000-0005-0000-0000-00002B010000}"/>
    <cellStyle name="Финансовый 2 2 11 3 2" xfId="1265" xr:uid="{00000000-0005-0000-0000-00002C010000}"/>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3" xfId="1125" xr:uid="{00000000-0005-0000-0000-000035010000}"/>
    <cellStyle name="Финансовый 2 2 12 4" xfId="1646" xr:uid="{00000000-0005-0000-0000-000036010000}"/>
    <cellStyle name="Финансовый 2 2 13" xfId="550" xr:uid="{00000000-0005-0000-0000-000037010000}"/>
    <cellStyle name="Финансовый 2 2 13 2" xfId="1253" xr:uid="{00000000-0005-0000-0000-000038010000}"/>
    <cellStyle name="Финансовый 2 2 14" xfId="278" xr:uid="{00000000-0005-0000-0000-000039010000}"/>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1" xfId="284" xr:uid="{00000000-0005-0000-0000-000041010000}"/>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2" xfId="46" xr:uid="{00000000-0005-0000-0000-000046010000}"/>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3" xfId="1215" xr:uid="{00000000-0005-0000-0000-00004B010000}"/>
    <cellStyle name="Финансовый 2 2 2 2 2 2 4" xfId="1744" xr:uid="{00000000-0005-0000-0000-00004C010000}"/>
    <cellStyle name="Финансовый 2 2 2 2 2 3" xfId="376" xr:uid="{00000000-0005-0000-0000-00004D010000}"/>
    <cellStyle name="Финансовый 2 2 2 2 2 3 2" xfId="1343" xr:uid="{00000000-0005-0000-0000-00004E010000}"/>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3" xfId="1167" xr:uid="{00000000-0005-0000-0000-000057010000}"/>
    <cellStyle name="Финансовый 2 2 2 2 3 4" xfId="1688" xr:uid="{00000000-0005-0000-0000-000058010000}"/>
    <cellStyle name="Финансовый 2 2 2 2 4" xfId="320" xr:uid="{00000000-0005-0000-0000-000059010000}"/>
    <cellStyle name="Финансовый 2 2 2 2 4 2" xfId="1295" xr:uid="{00000000-0005-0000-0000-00005A010000}"/>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3" xfId="1227" xr:uid="{00000000-0005-0000-0000-000064010000}"/>
    <cellStyle name="Финансовый 2 2 2 3 2 4" xfId="1756" xr:uid="{00000000-0005-0000-0000-000065010000}"/>
    <cellStyle name="Финансовый 2 2 2 3 3" xfId="388" xr:uid="{00000000-0005-0000-0000-000066010000}"/>
    <cellStyle name="Финансовый 2 2 2 3 3 2" xfId="1355" xr:uid="{00000000-0005-0000-0000-000067010000}"/>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3" xfId="1191" xr:uid="{00000000-0005-0000-0000-000071010000}"/>
    <cellStyle name="Финансовый 2 2 2 4 2 4" xfId="1720" xr:uid="{00000000-0005-0000-0000-000072010000}"/>
    <cellStyle name="Финансовый 2 2 2 4 3" xfId="352" xr:uid="{00000000-0005-0000-0000-000073010000}"/>
    <cellStyle name="Финансовый 2 2 2 4 3 2" xfId="1319" xr:uid="{00000000-0005-0000-0000-000074010000}"/>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3" xfId="1179" xr:uid="{00000000-0005-0000-0000-00007E010000}"/>
    <cellStyle name="Финансовый 2 2 2 5 2 4" xfId="1700" xr:uid="{00000000-0005-0000-0000-00007F010000}"/>
    <cellStyle name="Финансовый 2 2 2 5 3" xfId="332" xr:uid="{00000000-0005-0000-0000-000080010000}"/>
    <cellStyle name="Финансовый 2 2 2 5 3 2" xfId="1307" xr:uid="{00000000-0005-0000-0000-000081010000}"/>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3" xfId="1247" xr:uid="{00000000-0005-0000-0000-00008B010000}"/>
    <cellStyle name="Финансовый 2 2 2 6 2 4" xfId="1776" xr:uid="{00000000-0005-0000-0000-00008C010000}"/>
    <cellStyle name="Финансовый 2 2 2 6 3" xfId="408" xr:uid="{00000000-0005-0000-0000-00008D010000}"/>
    <cellStyle name="Финансовый 2 2 2 6 3 2" xfId="1375" xr:uid="{00000000-0005-0000-0000-00008E010000}"/>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3" xfId="1155" xr:uid="{00000000-0005-0000-0000-000098010000}"/>
    <cellStyle name="Финансовый 2 2 2 7 2 4" xfId="1676" xr:uid="{00000000-0005-0000-0000-000099010000}"/>
    <cellStyle name="Финансовый 2 2 2 7 3" xfId="308" xr:uid="{00000000-0005-0000-0000-00009A010000}"/>
    <cellStyle name="Финансовый 2 2 2 7 3 2" xfId="1283" xr:uid="{00000000-0005-0000-0000-00009B010000}"/>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3" xfId="1143" xr:uid="{00000000-0005-0000-0000-0000A5010000}"/>
    <cellStyle name="Финансовый 2 2 2 8 2 4" xfId="1664" xr:uid="{00000000-0005-0000-0000-0000A6010000}"/>
    <cellStyle name="Финансовый 2 2 2 8 3" xfId="296" xr:uid="{00000000-0005-0000-0000-0000A7010000}"/>
    <cellStyle name="Финансовый 2 2 2 8 3 2" xfId="1271" xr:uid="{00000000-0005-0000-0000-0000A8010000}"/>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3" xfId="1131" xr:uid="{00000000-0005-0000-0000-0000B1010000}"/>
    <cellStyle name="Финансовый 2 2 2 9 4" xfId="1652" xr:uid="{00000000-0005-0000-0000-0000B2010000}"/>
    <cellStyle name="Финансовый 2 2 3" xfId="40" xr:uid="{00000000-0005-0000-0000-0000B3010000}"/>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3" xfId="1233" xr:uid="{00000000-0005-0000-0000-0000B8010000}"/>
    <cellStyle name="Финансовый 2 2 3 2 2 4" xfId="1762" xr:uid="{00000000-0005-0000-0000-0000B9010000}"/>
    <cellStyle name="Финансовый 2 2 3 2 3" xfId="394" xr:uid="{00000000-0005-0000-0000-0000BA010000}"/>
    <cellStyle name="Финансовый 2 2 3 2 3 2" xfId="1361" xr:uid="{00000000-0005-0000-0000-0000BB010000}"/>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3" xfId="1197" xr:uid="{00000000-0005-0000-0000-0000C5010000}"/>
    <cellStyle name="Финансовый 2 2 3 3 2 4" xfId="1726" xr:uid="{00000000-0005-0000-0000-0000C6010000}"/>
    <cellStyle name="Финансовый 2 2 3 3 3" xfId="358" xr:uid="{00000000-0005-0000-0000-0000C7010000}"/>
    <cellStyle name="Финансовый 2 2 3 3 3 2" xfId="1325" xr:uid="{00000000-0005-0000-0000-0000C8010000}"/>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3" xfId="1161" xr:uid="{00000000-0005-0000-0000-0000D1010000}"/>
    <cellStyle name="Финансовый 2 2 3 4 4" xfId="1682" xr:uid="{00000000-0005-0000-0000-0000D2010000}"/>
    <cellStyle name="Финансовый 2 2 3 5" xfId="314" xr:uid="{00000000-0005-0000-0000-0000D3010000}"/>
    <cellStyle name="Финансовый 2 2 3 5 2" xfId="1289" xr:uid="{00000000-0005-0000-0000-0000D4010000}"/>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3" xfId="1203" xr:uid="{00000000-0005-0000-0000-0000DE010000}"/>
    <cellStyle name="Финансовый 2 2 4 2 4" xfId="1732" xr:uid="{00000000-0005-0000-0000-0000DF010000}"/>
    <cellStyle name="Финансовый 2 2 4 3" xfId="364" xr:uid="{00000000-0005-0000-0000-0000E0010000}"/>
    <cellStyle name="Финансовый 2 2 4 3 2" xfId="1331" xr:uid="{00000000-0005-0000-0000-0000E101000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3" xfId="1209" xr:uid="{00000000-0005-0000-0000-0000EB010000}"/>
    <cellStyle name="Финансовый 2 2 5 2 4" xfId="1738" xr:uid="{00000000-0005-0000-0000-0000EC010000}"/>
    <cellStyle name="Финансовый 2 2 5 3" xfId="370" xr:uid="{00000000-0005-0000-0000-0000ED010000}"/>
    <cellStyle name="Финансовый 2 2 5 3 2" xfId="1337" xr:uid="{00000000-0005-0000-0000-0000EE010000}"/>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3" xfId="1221" xr:uid="{00000000-0005-0000-0000-0000F8010000}"/>
    <cellStyle name="Финансовый 2 2 6 2 4" xfId="1750" xr:uid="{00000000-0005-0000-0000-0000F9010000}"/>
    <cellStyle name="Финансовый 2 2 6 3" xfId="382" xr:uid="{00000000-0005-0000-0000-0000FA010000}"/>
    <cellStyle name="Финансовый 2 2 6 3 2" xfId="1349" xr:uid="{00000000-0005-0000-0000-0000FB010000}"/>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3" xfId="1184" xr:uid="{00000000-0005-0000-0000-000005020000}"/>
    <cellStyle name="Финансовый 2 2 7 2 4" xfId="1705" xr:uid="{00000000-0005-0000-0000-000006020000}"/>
    <cellStyle name="Финансовый 2 2 7 3" xfId="337" xr:uid="{00000000-0005-0000-0000-000007020000}"/>
    <cellStyle name="Финансовый 2 2 7 3 2" xfId="1312" xr:uid="{00000000-0005-0000-0000-00000802000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3" xfId="1173" xr:uid="{00000000-0005-0000-0000-000012020000}"/>
    <cellStyle name="Финансовый 2 2 8 2 4" xfId="1694" xr:uid="{00000000-0005-0000-0000-000013020000}"/>
    <cellStyle name="Финансовый 2 2 8 3" xfId="326" xr:uid="{00000000-0005-0000-0000-000014020000}"/>
    <cellStyle name="Финансовый 2 2 8 3 2" xfId="1301" xr:uid="{00000000-0005-0000-0000-000015020000}"/>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3" xfId="1241" xr:uid="{00000000-0005-0000-0000-00001F020000}"/>
    <cellStyle name="Финансовый 2 2 9 2 4" xfId="1770" xr:uid="{00000000-0005-0000-0000-000020020000}"/>
    <cellStyle name="Финансовый 2 2 9 3" xfId="402" xr:uid="{00000000-0005-0000-0000-000021020000}"/>
    <cellStyle name="Финансовый 2 2 9 3 2" xfId="1369" xr:uid="{00000000-0005-0000-0000-000022020000}"/>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0" xfId="734" xr:uid="{00000000-0005-0000-0000-000028020000}"/>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3" xfId="1151" xr:uid="{00000000-0005-0000-0000-00002E020000}"/>
    <cellStyle name="Финансовый 2 3 10 2 4" xfId="1672" xr:uid="{00000000-0005-0000-0000-00002F020000}"/>
    <cellStyle name="Финансовый 2 3 10 3" xfId="304" xr:uid="{00000000-0005-0000-0000-000030020000}"/>
    <cellStyle name="Финансовый 2 3 10 3 2" xfId="1279" xr:uid="{00000000-0005-0000-0000-000031020000}"/>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3" xfId="1139" xr:uid="{00000000-0005-0000-0000-00003B020000}"/>
    <cellStyle name="Финансовый 2 3 11 2 4" xfId="1660" xr:uid="{00000000-0005-0000-0000-00003C020000}"/>
    <cellStyle name="Финансовый 2 3 11 3" xfId="292" xr:uid="{00000000-0005-0000-0000-00003D020000}"/>
    <cellStyle name="Финансовый 2 3 11 3 2" xfId="1267" xr:uid="{00000000-0005-0000-0000-00003E020000}"/>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3" xfId="1127" xr:uid="{00000000-0005-0000-0000-000047020000}"/>
    <cellStyle name="Финансовый 2 3 12 4" xfId="1648" xr:uid="{00000000-0005-0000-0000-000048020000}"/>
    <cellStyle name="Финансовый 2 3 13" xfId="552" xr:uid="{00000000-0005-0000-0000-000049020000}"/>
    <cellStyle name="Финансовый 2 3 13 2" xfId="1255" xr:uid="{00000000-0005-0000-0000-00004A020000}"/>
    <cellStyle name="Финансовый 2 3 14" xfId="280" xr:uid="{00000000-0005-0000-0000-00004B020000}"/>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1" xfId="286" xr:uid="{00000000-0005-0000-0000-000053020000}"/>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2" xfId="48" xr:uid="{00000000-0005-0000-0000-000058020000}"/>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3" xfId="1217" xr:uid="{00000000-0005-0000-0000-00005D020000}"/>
    <cellStyle name="Финансовый 2 3 2 2 2 2 4" xfId="1746" xr:uid="{00000000-0005-0000-0000-00005E020000}"/>
    <cellStyle name="Финансовый 2 3 2 2 2 3" xfId="378" xr:uid="{00000000-0005-0000-0000-00005F020000}"/>
    <cellStyle name="Финансовый 2 3 2 2 2 3 2" xfId="1345" xr:uid="{00000000-0005-0000-0000-000060020000}"/>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3" xfId="1169" xr:uid="{00000000-0005-0000-0000-000069020000}"/>
    <cellStyle name="Финансовый 2 3 2 2 3 4" xfId="1690" xr:uid="{00000000-0005-0000-0000-00006A020000}"/>
    <cellStyle name="Финансовый 2 3 2 2 4" xfId="322" xr:uid="{00000000-0005-0000-0000-00006B020000}"/>
    <cellStyle name="Финансовый 2 3 2 2 4 2" xfId="1297" xr:uid="{00000000-0005-0000-0000-00006C020000}"/>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3" xfId="1229" xr:uid="{00000000-0005-0000-0000-000076020000}"/>
    <cellStyle name="Финансовый 2 3 2 3 2 4" xfId="1758" xr:uid="{00000000-0005-0000-0000-000077020000}"/>
    <cellStyle name="Финансовый 2 3 2 3 3" xfId="390" xr:uid="{00000000-0005-0000-0000-000078020000}"/>
    <cellStyle name="Финансовый 2 3 2 3 3 2" xfId="1357" xr:uid="{00000000-0005-0000-0000-000079020000}"/>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3" xfId="1193" xr:uid="{00000000-0005-0000-0000-000083020000}"/>
    <cellStyle name="Финансовый 2 3 2 4 2 4" xfId="1722" xr:uid="{00000000-0005-0000-0000-000084020000}"/>
    <cellStyle name="Финансовый 2 3 2 4 3" xfId="354" xr:uid="{00000000-0005-0000-0000-000085020000}"/>
    <cellStyle name="Финансовый 2 3 2 4 3 2" xfId="1321" xr:uid="{00000000-0005-0000-0000-000086020000}"/>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3" xfId="1181" xr:uid="{00000000-0005-0000-0000-000090020000}"/>
    <cellStyle name="Финансовый 2 3 2 5 2 4" xfId="1702" xr:uid="{00000000-0005-0000-0000-000091020000}"/>
    <cellStyle name="Финансовый 2 3 2 5 3" xfId="334" xr:uid="{00000000-0005-0000-0000-000092020000}"/>
    <cellStyle name="Финансовый 2 3 2 5 3 2" xfId="1309" xr:uid="{00000000-0005-0000-0000-00009302000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3" xfId="1249" xr:uid="{00000000-0005-0000-0000-00009D020000}"/>
    <cellStyle name="Финансовый 2 3 2 6 2 4" xfId="1778" xr:uid="{00000000-0005-0000-0000-00009E020000}"/>
    <cellStyle name="Финансовый 2 3 2 6 3" xfId="410" xr:uid="{00000000-0005-0000-0000-00009F020000}"/>
    <cellStyle name="Финансовый 2 3 2 6 3 2" xfId="1377" xr:uid="{00000000-0005-0000-0000-0000A0020000}"/>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3" xfId="1157" xr:uid="{00000000-0005-0000-0000-0000AA020000}"/>
    <cellStyle name="Финансовый 2 3 2 7 2 4" xfId="1678" xr:uid="{00000000-0005-0000-0000-0000AB020000}"/>
    <cellStyle name="Финансовый 2 3 2 7 3" xfId="310" xr:uid="{00000000-0005-0000-0000-0000AC020000}"/>
    <cellStyle name="Финансовый 2 3 2 7 3 2" xfId="1285" xr:uid="{00000000-0005-0000-0000-0000AD020000}"/>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3" xfId="1145" xr:uid="{00000000-0005-0000-0000-0000B7020000}"/>
    <cellStyle name="Финансовый 2 3 2 8 2 4" xfId="1666" xr:uid="{00000000-0005-0000-0000-0000B8020000}"/>
    <cellStyle name="Финансовый 2 3 2 8 3" xfId="298" xr:uid="{00000000-0005-0000-0000-0000B9020000}"/>
    <cellStyle name="Финансовый 2 3 2 8 3 2" xfId="1273" xr:uid="{00000000-0005-0000-0000-0000BA020000}"/>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3" xfId="1133" xr:uid="{00000000-0005-0000-0000-0000C3020000}"/>
    <cellStyle name="Финансовый 2 3 2 9 4" xfId="1654" xr:uid="{00000000-0005-0000-0000-0000C4020000}"/>
    <cellStyle name="Финансовый 2 3 3" xfId="42" xr:uid="{00000000-0005-0000-0000-0000C5020000}"/>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3" xfId="1235" xr:uid="{00000000-0005-0000-0000-0000CA020000}"/>
    <cellStyle name="Финансовый 2 3 3 2 2 4" xfId="1764" xr:uid="{00000000-0005-0000-0000-0000CB020000}"/>
    <cellStyle name="Финансовый 2 3 3 2 3" xfId="396" xr:uid="{00000000-0005-0000-0000-0000CC020000}"/>
    <cellStyle name="Финансовый 2 3 3 2 3 2" xfId="1363" xr:uid="{00000000-0005-0000-0000-0000CD020000}"/>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3" xfId="1199" xr:uid="{00000000-0005-0000-0000-0000D7020000}"/>
    <cellStyle name="Финансовый 2 3 3 3 2 4" xfId="1728" xr:uid="{00000000-0005-0000-0000-0000D8020000}"/>
    <cellStyle name="Финансовый 2 3 3 3 3" xfId="360" xr:uid="{00000000-0005-0000-0000-0000D9020000}"/>
    <cellStyle name="Финансовый 2 3 3 3 3 2" xfId="1327" xr:uid="{00000000-0005-0000-0000-0000DA020000}"/>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3" xfId="1163" xr:uid="{00000000-0005-0000-0000-0000E3020000}"/>
    <cellStyle name="Финансовый 2 3 3 4 4" xfId="1684" xr:uid="{00000000-0005-0000-0000-0000E4020000}"/>
    <cellStyle name="Финансовый 2 3 3 5" xfId="316" xr:uid="{00000000-0005-0000-0000-0000E5020000}"/>
    <cellStyle name="Финансовый 2 3 3 5 2" xfId="1291" xr:uid="{00000000-0005-0000-0000-0000E6020000}"/>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3" xfId="1205" xr:uid="{00000000-0005-0000-0000-0000F0020000}"/>
    <cellStyle name="Финансовый 2 3 4 2 4" xfId="1734" xr:uid="{00000000-0005-0000-0000-0000F1020000}"/>
    <cellStyle name="Финансовый 2 3 4 3" xfId="366" xr:uid="{00000000-0005-0000-0000-0000F2020000}"/>
    <cellStyle name="Финансовый 2 3 4 3 2" xfId="1333" xr:uid="{00000000-0005-0000-0000-0000F3020000}"/>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3" xfId="1211" xr:uid="{00000000-0005-0000-0000-0000FD020000}"/>
    <cellStyle name="Финансовый 2 3 5 2 4" xfId="1740" xr:uid="{00000000-0005-0000-0000-0000FE020000}"/>
    <cellStyle name="Финансовый 2 3 5 3" xfId="372" xr:uid="{00000000-0005-0000-0000-0000FF020000}"/>
    <cellStyle name="Финансовый 2 3 5 3 2" xfId="1339" xr:uid="{00000000-0005-0000-0000-000000030000}"/>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3" xfId="1223" xr:uid="{00000000-0005-0000-0000-00000A030000}"/>
    <cellStyle name="Финансовый 2 3 6 2 4" xfId="1752" xr:uid="{00000000-0005-0000-0000-00000B030000}"/>
    <cellStyle name="Финансовый 2 3 6 3" xfId="384" xr:uid="{00000000-0005-0000-0000-00000C030000}"/>
    <cellStyle name="Финансовый 2 3 6 3 2" xfId="1351" xr:uid="{00000000-0005-0000-0000-00000D030000}"/>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3" xfId="1187" xr:uid="{00000000-0005-0000-0000-000017030000}"/>
    <cellStyle name="Финансовый 2 3 7 2 4" xfId="1716" xr:uid="{00000000-0005-0000-0000-000018030000}"/>
    <cellStyle name="Финансовый 2 3 7 3" xfId="348" xr:uid="{00000000-0005-0000-0000-000019030000}"/>
    <cellStyle name="Финансовый 2 3 7 3 2" xfId="1315" xr:uid="{00000000-0005-0000-0000-00001A030000}"/>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3" xfId="1175" xr:uid="{00000000-0005-0000-0000-000024030000}"/>
    <cellStyle name="Финансовый 2 3 8 2 4" xfId="1696" xr:uid="{00000000-0005-0000-0000-000025030000}"/>
    <cellStyle name="Финансовый 2 3 8 3" xfId="328" xr:uid="{00000000-0005-0000-0000-000026030000}"/>
    <cellStyle name="Финансовый 2 3 8 3 2" xfId="1303" xr:uid="{00000000-0005-0000-0000-000027030000}"/>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3" xfId="1243" xr:uid="{00000000-0005-0000-0000-000031030000}"/>
    <cellStyle name="Финансовый 2 3 9 2 4" xfId="1772" xr:uid="{00000000-0005-0000-0000-000032030000}"/>
    <cellStyle name="Финансовый 2 3 9 3" xfId="404" xr:uid="{00000000-0005-0000-0000-000033030000}"/>
    <cellStyle name="Финансовый 2 3 9 3 2" xfId="1371" xr:uid="{00000000-0005-0000-0000-000034030000}"/>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1" xfId="282" xr:uid="{00000000-0005-0000-0000-00003D030000}"/>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2" xfId="44" xr:uid="{00000000-0005-0000-0000-000042030000}"/>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3" xfId="1213" xr:uid="{00000000-0005-0000-0000-000047030000}"/>
    <cellStyle name="Финансовый 2 4 2 2 2 4" xfId="1742" xr:uid="{00000000-0005-0000-0000-000048030000}"/>
    <cellStyle name="Финансовый 2 4 2 2 3" xfId="374" xr:uid="{00000000-0005-0000-0000-000049030000}"/>
    <cellStyle name="Финансовый 2 4 2 2 3 2" xfId="1341" xr:uid="{00000000-0005-0000-0000-00004A030000}"/>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3" xfId="1165" xr:uid="{00000000-0005-0000-0000-000053030000}"/>
    <cellStyle name="Финансовый 2 4 2 3 4" xfId="1686" xr:uid="{00000000-0005-0000-0000-000054030000}"/>
    <cellStyle name="Финансовый 2 4 2 4" xfId="318" xr:uid="{00000000-0005-0000-0000-000055030000}"/>
    <cellStyle name="Финансовый 2 4 2 4 2" xfId="1293" xr:uid="{00000000-0005-0000-0000-00005603000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3" xfId="1225" xr:uid="{00000000-0005-0000-0000-000060030000}"/>
    <cellStyle name="Финансовый 2 4 3 2 4" xfId="1754" xr:uid="{00000000-0005-0000-0000-000061030000}"/>
    <cellStyle name="Финансовый 2 4 3 3" xfId="386" xr:uid="{00000000-0005-0000-0000-000062030000}"/>
    <cellStyle name="Финансовый 2 4 3 3 2" xfId="1353" xr:uid="{00000000-0005-0000-0000-000063030000}"/>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3" xfId="1189" xr:uid="{00000000-0005-0000-0000-00006D030000}"/>
    <cellStyle name="Финансовый 2 4 4 2 4" xfId="1718" xr:uid="{00000000-0005-0000-0000-00006E030000}"/>
    <cellStyle name="Финансовый 2 4 4 3" xfId="350" xr:uid="{00000000-0005-0000-0000-00006F030000}"/>
    <cellStyle name="Финансовый 2 4 4 3 2" xfId="1317" xr:uid="{00000000-0005-0000-0000-000070030000}"/>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3" xfId="1177" xr:uid="{00000000-0005-0000-0000-00007A030000}"/>
    <cellStyle name="Финансовый 2 4 5 2 4" xfId="1698" xr:uid="{00000000-0005-0000-0000-00007B030000}"/>
    <cellStyle name="Финансовый 2 4 5 3" xfId="330" xr:uid="{00000000-0005-0000-0000-00007C030000}"/>
    <cellStyle name="Финансовый 2 4 5 3 2" xfId="1305" xr:uid="{00000000-0005-0000-0000-00007D030000}"/>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3" xfId="1245" xr:uid="{00000000-0005-0000-0000-000087030000}"/>
    <cellStyle name="Финансовый 2 4 6 2 4" xfId="1774" xr:uid="{00000000-0005-0000-0000-000088030000}"/>
    <cellStyle name="Финансовый 2 4 6 3" xfId="406" xr:uid="{00000000-0005-0000-0000-000089030000}"/>
    <cellStyle name="Финансовый 2 4 6 3 2" xfId="1373" xr:uid="{00000000-0005-0000-0000-00008A030000}"/>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3" xfId="1153" xr:uid="{00000000-0005-0000-0000-000094030000}"/>
    <cellStyle name="Финансовый 2 4 7 2 4" xfId="1674" xr:uid="{00000000-0005-0000-0000-000095030000}"/>
    <cellStyle name="Финансовый 2 4 7 3" xfId="306" xr:uid="{00000000-0005-0000-0000-000096030000}"/>
    <cellStyle name="Финансовый 2 4 7 3 2" xfId="1281" xr:uid="{00000000-0005-0000-0000-000097030000}"/>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3" xfId="1141" xr:uid="{00000000-0005-0000-0000-0000A1030000}"/>
    <cellStyle name="Финансовый 2 4 8 2 4" xfId="1662" xr:uid="{00000000-0005-0000-0000-0000A2030000}"/>
    <cellStyle name="Финансовый 2 4 8 3" xfId="294" xr:uid="{00000000-0005-0000-0000-0000A3030000}"/>
    <cellStyle name="Финансовый 2 4 8 3 2" xfId="1269" xr:uid="{00000000-0005-0000-0000-0000A4030000}"/>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3" xfId="1129" xr:uid="{00000000-0005-0000-0000-0000AD030000}"/>
    <cellStyle name="Финансовый 2 4 9 4" xfId="1650" xr:uid="{00000000-0005-0000-0000-0000AE030000}"/>
    <cellStyle name="Финансовый 2 5" xfId="38" xr:uid="{00000000-0005-0000-0000-0000AF030000}"/>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3" xfId="1231" xr:uid="{00000000-0005-0000-0000-0000B4030000}"/>
    <cellStyle name="Финансовый 2 5 2 2 4" xfId="1760" xr:uid="{00000000-0005-0000-0000-0000B5030000}"/>
    <cellStyle name="Финансовый 2 5 2 3" xfId="392" xr:uid="{00000000-0005-0000-0000-0000B6030000}"/>
    <cellStyle name="Финансовый 2 5 2 3 2" xfId="1359" xr:uid="{00000000-0005-0000-0000-0000B7030000}"/>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3" xfId="1195" xr:uid="{00000000-0005-0000-0000-0000C1030000}"/>
    <cellStyle name="Финансовый 2 5 3 2 4" xfId="1724" xr:uid="{00000000-0005-0000-0000-0000C2030000}"/>
    <cellStyle name="Финансовый 2 5 3 3" xfId="356" xr:uid="{00000000-0005-0000-0000-0000C3030000}"/>
    <cellStyle name="Финансовый 2 5 3 3 2" xfId="1323" xr:uid="{00000000-0005-0000-0000-0000C4030000}"/>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3" xfId="1159" xr:uid="{00000000-0005-0000-0000-0000CD030000}"/>
    <cellStyle name="Финансовый 2 5 4 4" xfId="1680" xr:uid="{00000000-0005-0000-0000-0000CE030000}"/>
    <cellStyle name="Финансовый 2 5 5" xfId="312" xr:uid="{00000000-0005-0000-0000-0000CF030000}"/>
    <cellStyle name="Финансовый 2 5 5 2" xfId="1287" xr:uid="{00000000-0005-0000-0000-0000D003000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3" xfId="1201" xr:uid="{00000000-0005-0000-0000-0000DA030000}"/>
    <cellStyle name="Финансовый 2 6 2 4" xfId="1730" xr:uid="{00000000-0005-0000-0000-0000DB030000}"/>
    <cellStyle name="Финансовый 2 6 3" xfId="362" xr:uid="{00000000-0005-0000-0000-0000DC030000}"/>
    <cellStyle name="Финансовый 2 6 3 2" xfId="1329" xr:uid="{00000000-0005-0000-0000-0000DD030000}"/>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3" xfId="1207" xr:uid="{00000000-0005-0000-0000-0000E7030000}"/>
    <cellStyle name="Финансовый 2 7 2 4" xfId="1736" xr:uid="{00000000-0005-0000-0000-0000E8030000}"/>
    <cellStyle name="Финансовый 2 7 3" xfId="368" xr:uid="{00000000-0005-0000-0000-0000E9030000}"/>
    <cellStyle name="Финансовый 2 7 3 2" xfId="1335" xr:uid="{00000000-0005-0000-0000-0000EA030000}"/>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3" xfId="1219" xr:uid="{00000000-0005-0000-0000-0000F4030000}"/>
    <cellStyle name="Финансовый 2 8 2 4" xfId="1748" xr:uid="{00000000-0005-0000-0000-0000F5030000}"/>
    <cellStyle name="Финансовый 2 8 3" xfId="380" xr:uid="{00000000-0005-0000-0000-0000F6030000}"/>
    <cellStyle name="Финансовый 2 8 3 2" xfId="1347" xr:uid="{00000000-0005-0000-0000-0000F7030000}"/>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3" xfId="1237" xr:uid="{00000000-0005-0000-0000-000001040000}"/>
    <cellStyle name="Финансовый 2 9 2 4" xfId="1766" xr:uid="{00000000-0005-0000-0000-000002040000}"/>
    <cellStyle name="Финансовый 2 9 3" xfId="398" xr:uid="{00000000-0005-0000-0000-000003040000}"/>
    <cellStyle name="Финансовый 2 9 3 2" xfId="1365" xr:uid="{00000000-0005-0000-0000-000004040000}"/>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3" xfId="1148" xr:uid="{00000000-0005-0000-0000-000019040000}"/>
    <cellStyle name="Финансовый 3 10 2 4" xfId="1669" xr:uid="{00000000-0005-0000-0000-00001A040000}"/>
    <cellStyle name="Финансовый 3 10 3" xfId="301" xr:uid="{00000000-0005-0000-0000-00001B040000}"/>
    <cellStyle name="Финансовый 3 10 3 2" xfId="1276" xr:uid="{00000000-0005-0000-0000-00001C040000}"/>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3" xfId="1136" xr:uid="{00000000-0005-0000-0000-000026040000}"/>
    <cellStyle name="Финансовый 3 11 2 4" xfId="1657" xr:uid="{00000000-0005-0000-0000-000027040000}"/>
    <cellStyle name="Финансовый 3 11 3" xfId="289" xr:uid="{00000000-0005-0000-0000-000028040000}"/>
    <cellStyle name="Финансовый 3 11 3 2" xfId="1264" xr:uid="{00000000-0005-0000-0000-000029040000}"/>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3" xfId="1124" xr:uid="{00000000-0005-0000-0000-000032040000}"/>
    <cellStyle name="Финансовый 3 12 4" xfId="1645" xr:uid="{00000000-0005-0000-0000-000033040000}"/>
    <cellStyle name="Финансовый 3 13" xfId="549" xr:uid="{00000000-0005-0000-0000-000034040000}"/>
    <cellStyle name="Финансовый 3 13 2" xfId="1252" xr:uid="{00000000-0005-0000-0000-000035040000}"/>
    <cellStyle name="Финансовый 3 14" xfId="277" xr:uid="{00000000-0005-0000-0000-000036040000}"/>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1" xfId="283" xr:uid="{00000000-0005-0000-0000-00003E040000}"/>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2" xfId="45" xr:uid="{00000000-0005-0000-0000-00004304000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3" xfId="1214" xr:uid="{00000000-0005-0000-0000-000048040000}"/>
    <cellStyle name="Финансовый 3 2 2 2 2 4" xfId="1743" xr:uid="{00000000-0005-0000-0000-000049040000}"/>
    <cellStyle name="Финансовый 3 2 2 2 3" xfId="375" xr:uid="{00000000-0005-0000-0000-00004A040000}"/>
    <cellStyle name="Финансовый 3 2 2 2 3 2" xfId="1342" xr:uid="{00000000-0005-0000-0000-00004B040000}"/>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3" xfId="1166" xr:uid="{00000000-0005-0000-0000-000054040000}"/>
    <cellStyle name="Финансовый 3 2 2 3 4" xfId="1687" xr:uid="{00000000-0005-0000-0000-000055040000}"/>
    <cellStyle name="Финансовый 3 2 2 4" xfId="319" xr:uid="{00000000-0005-0000-0000-000056040000}"/>
    <cellStyle name="Финансовый 3 2 2 4 2" xfId="1294" xr:uid="{00000000-0005-0000-0000-000057040000}"/>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3" xfId="1226" xr:uid="{00000000-0005-0000-0000-000061040000}"/>
    <cellStyle name="Финансовый 3 2 3 2 4" xfId="1755" xr:uid="{00000000-0005-0000-0000-000062040000}"/>
    <cellStyle name="Финансовый 3 2 3 3" xfId="387" xr:uid="{00000000-0005-0000-0000-000063040000}"/>
    <cellStyle name="Финансовый 3 2 3 3 2" xfId="1354" xr:uid="{00000000-0005-0000-0000-00006404000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3" xfId="1190" xr:uid="{00000000-0005-0000-0000-00006E040000}"/>
    <cellStyle name="Финансовый 3 2 4 2 4" xfId="1719" xr:uid="{00000000-0005-0000-0000-00006F040000}"/>
    <cellStyle name="Финансовый 3 2 4 3" xfId="351" xr:uid="{00000000-0005-0000-0000-000070040000}"/>
    <cellStyle name="Финансовый 3 2 4 3 2" xfId="1318" xr:uid="{00000000-0005-0000-0000-000071040000}"/>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3" xfId="1178" xr:uid="{00000000-0005-0000-0000-00007B040000}"/>
    <cellStyle name="Финансовый 3 2 5 2 4" xfId="1699" xr:uid="{00000000-0005-0000-0000-00007C040000}"/>
    <cellStyle name="Финансовый 3 2 5 3" xfId="331" xr:uid="{00000000-0005-0000-0000-00007D040000}"/>
    <cellStyle name="Финансовый 3 2 5 3 2" xfId="1306" xr:uid="{00000000-0005-0000-0000-00007E040000}"/>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3" xfId="1246" xr:uid="{00000000-0005-0000-0000-000088040000}"/>
    <cellStyle name="Финансовый 3 2 6 2 4" xfId="1775" xr:uid="{00000000-0005-0000-0000-000089040000}"/>
    <cellStyle name="Финансовый 3 2 6 3" xfId="407" xr:uid="{00000000-0005-0000-0000-00008A040000}"/>
    <cellStyle name="Финансовый 3 2 6 3 2" xfId="1374" xr:uid="{00000000-0005-0000-0000-00008B040000}"/>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3" xfId="1154" xr:uid="{00000000-0005-0000-0000-000095040000}"/>
    <cellStyle name="Финансовый 3 2 7 2 4" xfId="1675" xr:uid="{00000000-0005-0000-0000-000096040000}"/>
    <cellStyle name="Финансовый 3 2 7 3" xfId="307" xr:uid="{00000000-0005-0000-0000-000097040000}"/>
    <cellStyle name="Финансовый 3 2 7 3 2" xfId="1282" xr:uid="{00000000-0005-0000-0000-000098040000}"/>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3" xfId="1142" xr:uid="{00000000-0005-0000-0000-0000A2040000}"/>
    <cellStyle name="Финансовый 3 2 8 2 4" xfId="1663" xr:uid="{00000000-0005-0000-0000-0000A3040000}"/>
    <cellStyle name="Финансовый 3 2 8 3" xfId="295" xr:uid="{00000000-0005-0000-0000-0000A4040000}"/>
    <cellStyle name="Финансовый 3 2 8 3 2" xfId="1270" xr:uid="{00000000-0005-0000-0000-0000A5040000}"/>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3" xfId="1130" xr:uid="{00000000-0005-0000-0000-0000AE040000}"/>
    <cellStyle name="Финансовый 3 2 9 4" xfId="1651" xr:uid="{00000000-0005-0000-0000-0000AF040000}"/>
    <cellStyle name="Финансовый 3 3" xfId="39" xr:uid="{00000000-0005-0000-0000-0000B0040000}"/>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3" xfId="1232" xr:uid="{00000000-0005-0000-0000-0000B5040000}"/>
    <cellStyle name="Финансовый 3 3 2 2 4" xfId="1761" xr:uid="{00000000-0005-0000-0000-0000B6040000}"/>
    <cellStyle name="Финансовый 3 3 2 3" xfId="393" xr:uid="{00000000-0005-0000-0000-0000B7040000}"/>
    <cellStyle name="Финансовый 3 3 2 3 2" xfId="1360" xr:uid="{00000000-0005-0000-0000-0000B8040000}"/>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3" xfId="1196" xr:uid="{00000000-0005-0000-0000-0000C2040000}"/>
    <cellStyle name="Финансовый 3 3 3 2 4" xfId="1725" xr:uid="{00000000-0005-0000-0000-0000C3040000}"/>
    <cellStyle name="Финансовый 3 3 3 3" xfId="357" xr:uid="{00000000-0005-0000-0000-0000C4040000}"/>
    <cellStyle name="Финансовый 3 3 3 3 2" xfId="1324" xr:uid="{00000000-0005-0000-0000-0000C5040000}"/>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3" xfId="1160" xr:uid="{00000000-0005-0000-0000-0000CE040000}"/>
    <cellStyle name="Финансовый 3 3 4 4" xfId="1681" xr:uid="{00000000-0005-0000-0000-0000CF040000}"/>
    <cellStyle name="Финансовый 3 3 5" xfId="313" xr:uid="{00000000-0005-0000-0000-0000D0040000}"/>
    <cellStyle name="Финансовый 3 3 5 2" xfId="1288" xr:uid="{00000000-0005-0000-0000-0000D1040000}"/>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3" xfId="1202" xr:uid="{00000000-0005-0000-0000-0000DB040000}"/>
    <cellStyle name="Финансовый 3 4 2 4" xfId="1731" xr:uid="{00000000-0005-0000-0000-0000DC040000}"/>
    <cellStyle name="Финансовый 3 4 3" xfId="363" xr:uid="{00000000-0005-0000-0000-0000DD040000}"/>
    <cellStyle name="Финансовый 3 4 3 2" xfId="1330" xr:uid="{00000000-0005-0000-0000-0000DE040000}"/>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3" xfId="1208" xr:uid="{00000000-0005-0000-0000-0000E8040000}"/>
    <cellStyle name="Финансовый 3 5 2 4" xfId="1737" xr:uid="{00000000-0005-0000-0000-0000E9040000}"/>
    <cellStyle name="Финансовый 3 5 3" xfId="369" xr:uid="{00000000-0005-0000-0000-0000EA040000}"/>
    <cellStyle name="Финансовый 3 5 3 2" xfId="1336" xr:uid="{00000000-0005-0000-0000-0000EB040000}"/>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3" xfId="1220" xr:uid="{00000000-0005-0000-0000-0000F5040000}"/>
    <cellStyle name="Финансовый 3 6 2 4" xfId="1749" xr:uid="{00000000-0005-0000-0000-0000F6040000}"/>
    <cellStyle name="Финансовый 3 6 3" xfId="381" xr:uid="{00000000-0005-0000-0000-0000F7040000}"/>
    <cellStyle name="Финансовый 3 6 3 2" xfId="1348" xr:uid="{00000000-0005-0000-0000-0000F8040000}"/>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3" xfId="1185" xr:uid="{00000000-0005-0000-0000-000002050000}"/>
    <cellStyle name="Финансовый 3 7 2 4" xfId="1714" xr:uid="{00000000-0005-0000-0000-000003050000}"/>
    <cellStyle name="Финансовый 3 7 3" xfId="346" xr:uid="{00000000-0005-0000-0000-000004050000}"/>
    <cellStyle name="Финансовый 3 7 3 2" xfId="1313" xr:uid="{00000000-0005-0000-0000-000005050000}"/>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3" xfId="1172" xr:uid="{00000000-0005-0000-0000-00000F050000}"/>
    <cellStyle name="Финансовый 3 8 2 4" xfId="1693" xr:uid="{00000000-0005-0000-0000-000010050000}"/>
    <cellStyle name="Финансовый 3 8 3" xfId="325" xr:uid="{00000000-0005-0000-0000-000011050000}"/>
    <cellStyle name="Финансовый 3 8 3 2" xfId="1300" xr:uid="{00000000-0005-0000-0000-000012050000}"/>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3" xfId="1240" xr:uid="{00000000-0005-0000-0000-00001C050000}"/>
    <cellStyle name="Финансовый 3 9 2 4" xfId="1769" xr:uid="{00000000-0005-0000-0000-00001D050000}"/>
    <cellStyle name="Финансовый 3 9 3" xfId="401" xr:uid="{00000000-0005-0000-0000-00001E050000}"/>
    <cellStyle name="Финансовый 3 9 3 2" xfId="1368" xr:uid="{00000000-0005-0000-0000-00001F050000}"/>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0" xfId="795" xr:uid="{00000000-0005-0000-0000-000025050000}"/>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3" xfId="1150" xr:uid="{00000000-0005-0000-0000-00002B050000}"/>
    <cellStyle name="Финансовый 4 10 2 4" xfId="1671" xr:uid="{00000000-0005-0000-0000-00002C050000}"/>
    <cellStyle name="Финансовый 4 10 3" xfId="303" xr:uid="{00000000-0005-0000-0000-00002D050000}"/>
    <cellStyle name="Финансовый 4 10 3 2" xfId="1278" xr:uid="{00000000-0005-0000-0000-00002E050000}"/>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3" xfId="1138" xr:uid="{00000000-0005-0000-0000-000038050000}"/>
    <cellStyle name="Финансовый 4 11 2 4" xfId="1659" xr:uid="{00000000-0005-0000-0000-000039050000}"/>
    <cellStyle name="Финансовый 4 11 3" xfId="291" xr:uid="{00000000-0005-0000-0000-00003A050000}"/>
    <cellStyle name="Финансовый 4 11 3 2" xfId="1266" xr:uid="{00000000-0005-0000-0000-00003B050000}"/>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3" xfId="1126" xr:uid="{00000000-0005-0000-0000-000044050000}"/>
    <cellStyle name="Финансовый 4 12 4" xfId="1647" xr:uid="{00000000-0005-0000-0000-000045050000}"/>
    <cellStyle name="Финансовый 4 13" xfId="551" xr:uid="{00000000-0005-0000-0000-000046050000}"/>
    <cellStyle name="Финансовый 4 13 2" xfId="1254" xr:uid="{00000000-0005-0000-0000-000047050000}"/>
    <cellStyle name="Финансовый 4 14" xfId="279" xr:uid="{00000000-0005-0000-0000-000048050000}"/>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1" xfId="285" xr:uid="{00000000-0005-0000-0000-000050050000}"/>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2" xfId="47" xr:uid="{00000000-0005-0000-0000-000055050000}"/>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3" xfId="1216" xr:uid="{00000000-0005-0000-0000-00005A050000}"/>
    <cellStyle name="Финансовый 4 2 2 2 2 4" xfId="1745" xr:uid="{00000000-0005-0000-0000-00005B050000}"/>
    <cellStyle name="Финансовый 4 2 2 2 3" xfId="377" xr:uid="{00000000-0005-0000-0000-00005C050000}"/>
    <cellStyle name="Финансовый 4 2 2 2 3 2" xfId="1344" xr:uid="{00000000-0005-0000-0000-00005D050000}"/>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3" xfId="1168" xr:uid="{00000000-0005-0000-0000-000066050000}"/>
    <cellStyle name="Финансовый 4 2 2 3 4" xfId="1689" xr:uid="{00000000-0005-0000-0000-000067050000}"/>
    <cellStyle name="Финансовый 4 2 2 4" xfId="321" xr:uid="{00000000-0005-0000-0000-000068050000}"/>
    <cellStyle name="Финансовый 4 2 2 4 2" xfId="1296" xr:uid="{00000000-0005-0000-0000-000069050000}"/>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3" xfId="1228" xr:uid="{00000000-0005-0000-0000-000073050000}"/>
    <cellStyle name="Финансовый 4 2 3 2 4" xfId="1757" xr:uid="{00000000-0005-0000-0000-000074050000}"/>
    <cellStyle name="Финансовый 4 2 3 3" xfId="389" xr:uid="{00000000-0005-0000-0000-000075050000}"/>
    <cellStyle name="Финансовый 4 2 3 3 2" xfId="1356" xr:uid="{00000000-0005-0000-0000-000076050000}"/>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3" xfId="1192" xr:uid="{00000000-0005-0000-0000-000080050000}"/>
    <cellStyle name="Финансовый 4 2 4 2 4" xfId="1721" xr:uid="{00000000-0005-0000-0000-000081050000}"/>
    <cellStyle name="Финансовый 4 2 4 3" xfId="353" xr:uid="{00000000-0005-0000-0000-000082050000}"/>
    <cellStyle name="Финансовый 4 2 4 3 2" xfId="1320" xr:uid="{00000000-0005-0000-0000-000083050000}"/>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3" xfId="1180" xr:uid="{00000000-0005-0000-0000-00008D050000}"/>
    <cellStyle name="Финансовый 4 2 5 2 4" xfId="1701" xr:uid="{00000000-0005-0000-0000-00008E050000}"/>
    <cellStyle name="Финансовый 4 2 5 3" xfId="333" xr:uid="{00000000-0005-0000-0000-00008F050000}"/>
    <cellStyle name="Финансовый 4 2 5 3 2" xfId="1308" xr:uid="{00000000-0005-0000-0000-000090050000}"/>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3" xfId="1248" xr:uid="{00000000-0005-0000-0000-00009A050000}"/>
    <cellStyle name="Финансовый 4 2 6 2 4" xfId="1777" xr:uid="{00000000-0005-0000-0000-00009B050000}"/>
    <cellStyle name="Финансовый 4 2 6 3" xfId="409" xr:uid="{00000000-0005-0000-0000-00009C050000}"/>
    <cellStyle name="Финансовый 4 2 6 3 2" xfId="1376" xr:uid="{00000000-0005-0000-0000-00009D050000}"/>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3" xfId="1156" xr:uid="{00000000-0005-0000-0000-0000A7050000}"/>
    <cellStyle name="Финансовый 4 2 7 2 4" xfId="1677" xr:uid="{00000000-0005-0000-0000-0000A8050000}"/>
    <cellStyle name="Финансовый 4 2 7 3" xfId="309" xr:uid="{00000000-0005-0000-0000-0000A9050000}"/>
    <cellStyle name="Финансовый 4 2 7 3 2" xfId="1284" xr:uid="{00000000-0005-0000-0000-0000AA050000}"/>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3" xfId="1144" xr:uid="{00000000-0005-0000-0000-0000B4050000}"/>
    <cellStyle name="Финансовый 4 2 8 2 4" xfId="1665" xr:uid="{00000000-0005-0000-0000-0000B5050000}"/>
    <cellStyle name="Финансовый 4 2 8 3" xfId="297" xr:uid="{00000000-0005-0000-0000-0000B6050000}"/>
    <cellStyle name="Финансовый 4 2 8 3 2" xfId="1272" xr:uid="{00000000-0005-0000-0000-0000B7050000}"/>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3" xfId="1132" xr:uid="{00000000-0005-0000-0000-0000C0050000}"/>
    <cellStyle name="Финансовый 4 2 9 4" xfId="1653" xr:uid="{00000000-0005-0000-0000-0000C1050000}"/>
    <cellStyle name="Финансовый 4 3" xfId="41" xr:uid="{00000000-0005-0000-0000-0000C2050000}"/>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3" xfId="1234" xr:uid="{00000000-0005-0000-0000-0000C7050000}"/>
    <cellStyle name="Финансовый 4 3 2 2 4" xfId="1763" xr:uid="{00000000-0005-0000-0000-0000C8050000}"/>
    <cellStyle name="Финансовый 4 3 2 3" xfId="395" xr:uid="{00000000-0005-0000-0000-0000C9050000}"/>
    <cellStyle name="Финансовый 4 3 2 3 2" xfId="1362" xr:uid="{00000000-0005-0000-0000-0000CA05000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3" xfId="1198" xr:uid="{00000000-0005-0000-0000-0000D4050000}"/>
    <cellStyle name="Финансовый 4 3 3 2 4" xfId="1727" xr:uid="{00000000-0005-0000-0000-0000D5050000}"/>
    <cellStyle name="Финансовый 4 3 3 3" xfId="359" xr:uid="{00000000-0005-0000-0000-0000D6050000}"/>
    <cellStyle name="Финансовый 4 3 3 3 2" xfId="1326" xr:uid="{00000000-0005-0000-0000-0000D7050000}"/>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3" xfId="1162" xr:uid="{00000000-0005-0000-0000-0000E0050000}"/>
    <cellStyle name="Финансовый 4 3 4 4" xfId="1683" xr:uid="{00000000-0005-0000-0000-0000E1050000}"/>
    <cellStyle name="Финансовый 4 3 5" xfId="315" xr:uid="{00000000-0005-0000-0000-0000E2050000}"/>
    <cellStyle name="Финансовый 4 3 5 2" xfId="1290" xr:uid="{00000000-0005-0000-0000-0000E3050000}"/>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3" xfId="1204" xr:uid="{00000000-0005-0000-0000-0000ED050000}"/>
    <cellStyle name="Финансовый 4 4 2 4" xfId="1733" xr:uid="{00000000-0005-0000-0000-0000EE050000}"/>
    <cellStyle name="Финансовый 4 4 3" xfId="365" xr:uid="{00000000-0005-0000-0000-0000EF050000}"/>
    <cellStyle name="Финансовый 4 4 3 2" xfId="1332" xr:uid="{00000000-0005-0000-0000-0000F0050000}"/>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3" xfId="1210" xr:uid="{00000000-0005-0000-0000-0000FA050000}"/>
    <cellStyle name="Финансовый 4 5 2 4" xfId="1739" xr:uid="{00000000-0005-0000-0000-0000FB050000}"/>
    <cellStyle name="Финансовый 4 5 3" xfId="371" xr:uid="{00000000-0005-0000-0000-0000FC050000}"/>
    <cellStyle name="Финансовый 4 5 3 2" xfId="1338" xr:uid="{00000000-0005-0000-0000-0000FD050000}"/>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3" xfId="1222" xr:uid="{00000000-0005-0000-0000-000007060000}"/>
    <cellStyle name="Финансовый 4 6 2 4" xfId="1751" xr:uid="{00000000-0005-0000-0000-000008060000}"/>
    <cellStyle name="Финансовый 4 6 3" xfId="383" xr:uid="{00000000-0005-0000-0000-000009060000}"/>
    <cellStyle name="Финансовый 4 6 3 2" xfId="1350" xr:uid="{00000000-0005-0000-0000-00000A060000}"/>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3" xfId="1186" xr:uid="{00000000-0005-0000-0000-000014060000}"/>
    <cellStyle name="Финансовый 4 7 2 4" xfId="1715" xr:uid="{00000000-0005-0000-0000-000015060000}"/>
    <cellStyle name="Финансовый 4 7 3" xfId="347" xr:uid="{00000000-0005-0000-0000-000016060000}"/>
    <cellStyle name="Финансовый 4 7 3 2" xfId="1314" xr:uid="{00000000-0005-0000-0000-000017060000}"/>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3" xfId="1174" xr:uid="{00000000-0005-0000-0000-000021060000}"/>
    <cellStyle name="Финансовый 4 8 2 4" xfId="1695" xr:uid="{00000000-0005-0000-0000-000022060000}"/>
    <cellStyle name="Финансовый 4 8 3" xfId="327" xr:uid="{00000000-0005-0000-0000-000023060000}"/>
    <cellStyle name="Финансовый 4 8 3 2" xfId="1302" xr:uid="{00000000-0005-0000-0000-000024060000}"/>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3" xfId="1242" xr:uid="{00000000-0005-0000-0000-00002E060000}"/>
    <cellStyle name="Финансовый 4 9 2 4" xfId="1771" xr:uid="{00000000-0005-0000-0000-00002F060000}"/>
    <cellStyle name="Финансовый 4 9 3" xfId="403" xr:uid="{00000000-0005-0000-0000-000030060000}"/>
    <cellStyle name="Финансовый 4 9 3 2" xfId="1370" xr:uid="{00000000-0005-0000-0000-000031060000}"/>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1" xfId="281" xr:uid="{00000000-0005-0000-0000-00003A060000}"/>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2" xfId="43" xr:uid="{00000000-0005-0000-0000-00003F06000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3" xfId="1212" xr:uid="{00000000-0005-0000-0000-000044060000}"/>
    <cellStyle name="Финансовый 5 2 2 2 4" xfId="1741" xr:uid="{00000000-0005-0000-0000-000045060000}"/>
    <cellStyle name="Финансовый 5 2 2 3" xfId="373" xr:uid="{00000000-0005-0000-0000-000046060000}"/>
    <cellStyle name="Финансовый 5 2 2 3 2" xfId="1340" xr:uid="{00000000-0005-0000-0000-000047060000}"/>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3" xfId="1164" xr:uid="{00000000-0005-0000-0000-000050060000}"/>
    <cellStyle name="Финансовый 5 2 3 4" xfId="1685" xr:uid="{00000000-0005-0000-0000-000051060000}"/>
    <cellStyle name="Финансовый 5 2 4" xfId="317" xr:uid="{00000000-0005-0000-0000-000052060000}"/>
    <cellStyle name="Финансовый 5 2 4 2" xfId="1292" xr:uid="{00000000-0005-0000-0000-000053060000}"/>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3" xfId="1224" xr:uid="{00000000-0005-0000-0000-00005D060000}"/>
    <cellStyle name="Финансовый 5 3 2 4" xfId="1753" xr:uid="{00000000-0005-0000-0000-00005E060000}"/>
    <cellStyle name="Финансовый 5 3 3" xfId="385" xr:uid="{00000000-0005-0000-0000-00005F060000}"/>
    <cellStyle name="Финансовый 5 3 3 2" xfId="1352" xr:uid="{00000000-0005-0000-0000-000060060000}"/>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3" xfId="1188" xr:uid="{00000000-0005-0000-0000-00006A060000}"/>
    <cellStyle name="Финансовый 5 4 2 4" xfId="1717" xr:uid="{00000000-0005-0000-0000-00006B060000}"/>
    <cellStyle name="Финансовый 5 4 3" xfId="349" xr:uid="{00000000-0005-0000-0000-00006C060000}"/>
    <cellStyle name="Финансовый 5 4 3 2" xfId="1316" xr:uid="{00000000-0005-0000-0000-00006D060000}"/>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3" xfId="1176" xr:uid="{00000000-0005-0000-0000-000077060000}"/>
    <cellStyle name="Финансовый 5 5 2 4" xfId="1697" xr:uid="{00000000-0005-0000-0000-000078060000}"/>
    <cellStyle name="Финансовый 5 5 3" xfId="329" xr:uid="{00000000-0005-0000-0000-000079060000}"/>
    <cellStyle name="Финансовый 5 5 3 2" xfId="1304" xr:uid="{00000000-0005-0000-0000-00007A060000}"/>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3" xfId="1244" xr:uid="{00000000-0005-0000-0000-000084060000}"/>
    <cellStyle name="Финансовый 5 6 2 4" xfId="1773" xr:uid="{00000000-0005-0000-0000-000085060000}"/>
    <cellStyle name="Финансовый 5 6 3" xfId="405" xr:uid="{00000000-0005-0000-0000-000086060000}"/>
    <cellStyle name="Финансовый 5 6 3 2" xfId="1372" xr:uid="{00000000-0005-0000-0000-000087060000}"/>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3" xfId="1152" xr:uid="{00000000-0005-0000-0000-000091060000}"/>
    <cellStyle name="Финансовый 5 7 2 4" xfId="1673" xr:uid="{00000000-0005-0000-0000-000092060000}"/>
    <cellStyle name="Финансовый 5 7 3" xfId="305" xr:uid="{00000000-0005-0000-0000-000093060000}"/>
    <cellStyle name="Финансовый 5 7 3 2" xfId="1280" xr:uid="{00000000-0005-0000-0000-000094060000}"/>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3" xfId="1140" xr:uid="{00000000-0005-0000-0000-00009E060000}"/>
    <cellStyle name="Финансовый 5 8 2 4" xfId="1661" xr:uid="{00000000-0005-0000-0000-00009F060000}"/>
    <cellStyle name="Финансовый 5 8 3" xfId="293" xr:uid="{00000000-0005-0000-0000-0000A0060000}"/>
    <cellStyle name="Финансовый 5 8 3 2" xfId="1268" xr:uid="{00000000-0005-0000-0000-0000A1060000}"/>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3" xfId="1128" xr:uid="{00000000-0005-0000-0000-0000AA060000}"/>
    <cellStyle name="Финансовый 5 9 4" xfId="1649" xr:uid="{00000000-0005-0000-0000-0000AB060000}"/>
    <cellStyle name="Финансовый 6" xfId="37" xr:uid="{00000000-0005-0000-0000-0000AC060000}"/>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3" xfId="1230" xr:uid="{00000000-0005-0000-0000-0000B1060000}"/>
    <cellStyle name="Финансовый 6 2 2 4" xfId="1759" xr:uid="{00000000-0005-0000-0000-0000B2060000}"/>
    <cellStyle name="Финансовый 6 2 3" xfId="391" xr:uid="{00000000-0005-0000-0000-0000B3060000}"/>
    <cellStyle name="Финансовый 6 2 3 2" xfId="1358" xr:uid="{00000000-0005-0000-0000-0000B4060000}"/>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3" xfId="1194" xr:uid="{00000000-0005-0000-0000-0000BE060000}"/>
    <cellStyle name="Финансовый 6 3 2 4" xfId="1723" xr:uid="{00000000-0005-0000-0000-0000BF060000}"/>
    <cellStyle name="Финансовый 6 3 3" xfId="355" xr:uid="{00000000-0005-0000-0000-0000C0060000}"/>
    <cellStyle name="Финансовый 6 3 3 2" xfId="1322" xr:uid="{00000000-0005-0000-0000-0000C1060000}"/>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3" xfId="1158" xr:uid="{00000000-0005-0000-0000-0000CA060000}"/>
    <cellStyle name="Финансовый 6 4 4" xfId="1679" xr:uid="{00000000-0005-0000-0000-0000CB060000}"/>
    <cellStyle name="Финансовый 6 5" xfId="311" xr:uid="{00000000-0005-0000-0000-0000CC060000}"/>
    <cellStyle name="Финансовый 6 5 2" xfId="1286" xr:uid="{00000000-0005-0000-0000-0000CD060000}"/>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3" xfId="1200" xr:uid="{00000000-0005-0000-0000-0000D7060000}"/>
    <cellStyle name="Финансовый 7 2 4" xfId="1729" xr:uid="{00000000-0005-0000-0000-0000D8060000}"/>
    <cellStyle name="Финансовый 7 3" xfId="361" xr:uid="{00000000-0005-0000-0000-0000D9060000}"/>
    <cellStyle name="Финансовый 7 3 2" xfId="1328" xr:uid="{00000000-0005-0000-0000-0000DA060000}"/>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3" xfId="1206" xr:uid="{00000000-0005-0000-0000-0000E4060000}"/>
    <cellStyle name="Финансовый 8 2 4" xfId="1735" xr:uid="{00000000-0005-0000-0000-0000E5060000}"/>
    <cellStyle name="Финансовый 8 3" xfId="367" xr:uid="{00000000-0005-0000-0000-0000E6060000}"/>
    <cellStyle name="Финансовый 8 3 2" xfId="1334" xr:uid="{00000000-0005-0000-0000-0000E7060000}"/>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3" xfId="1218" xr:uid="{00000000-0005-0000-0000-0000F1060000}"/>
    <cellStyle name="Финансовый 9 2 4" xfId="1747" xr:uid="{00000000-0005-0000-0000-0000F2060000}"/>
    <cellStyle name="Финансовый 9 3" xfId="379" xr:uid="{00000000-0005-0000-0000-0000F3060000}"/>
    <cellStyle name="Финансовый 9 3 2" xfId="1346" xr:uid="{00000000-0005-0000-0000-0000F4060000}"/>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71"/>
  <sheetViews>
    <sheetView topLeftCell="A145" zoomScaleNormal="100" workbookViewId="0">
      <selection activeCell="B78" sqref="B78"/>
    </sheetView>
  </sheetViews>
  <sheetFormatPr defaultColWidth="0" defaultRowHeight="15" zeroHeight="1"/>
  <cols>
    <col min="1" max="1" width="50" style="181" customWidth="1"/>
    <col min="2" max="2" width="61.85546875" style="183" customWidth="1"/>
    <col min="3" max="3" width="63.85546875" style="173" customWidth="1"/>
    <col min="4" max="4" width="29.7109375" style="173" customWidth="1"/>
    <col min="5" max="7" width="9.140625" style="173" hidden="1" customWidth="1"/>
    <col min="8" max="8" width="62.5703125" style="173" hidden="1" customWidth="1"/>
    <col min="9" max="13" width="9.140625" style="173" hidden="1" customWidth="1"/>
    <col min="14" max="14" width="70.7109375" style="173" hidden="1" customWidth="1"/>
    <col min="15" max="16" width="9.140625" style="173" hidden="1" customWidth="1"/>
    <col min="17" max="17" width="59.7109375" style="173" hidden="1" customWidth="1"/>
    <col min="18" max="18" width="49.85546875" style="173" hidden="1" customWidth="1"/>
    <col min="19" max="16384" width="9.140625" style="173" hidden="1"/>
  </cols>
  <sheetData>
    <row r="1" spans="1:4">
      <c r="A1" s="3" t="str">
        <f>CONCATENATE(B65," olish uchun ariza")</f>
        <v>mikroqarz olish uchun ariza</v>
      </c>
      <c r="B1" s="49" t="s">
        <v>427</v>
      </c>
      <c r="C1" s="269"/>
    </row>
    <row r="2" spans="1:4" ht="15" customHeight="1">
      <c r="A2" s="3" t="str">
        <f>CONCATENATE(B65," olish uchun ariza sanasi QO’L BILAN KIRITILADI")</f>
        <v>mikroqarz olish uchun ariza sanasi QO’L BILAN KIRITILADI</v>
      </c>
      <c r="B2" s="57" t="s">
        <v>396</v>
      </c>
      <c r="C2" s="269"/>
      <c r="D2" s="173">
        <f>180+B2</f>
        <v>45907</v>
      </c>
    </row>
    <row r="3" spans="1:4">
      <c r="A3" s="3"/>
      <c r="B3" s="1"/>
    </row>
    <row r="4" spans="1:4">
      <c r="A4" s="271" t="s">
        <v>53</v>
      </c>
      <c r="B4" s="271"/>
    </row>
    <row r="5" spans="1:4" ht="30">
      <c r="A5" s="3" t="s">
        <v>54</v>
      </c>
      <c r="B5" s="49" t="s">
        <v>397</v>
      </c>
      <c r="C5" s="269" t="s">
        <v>387</v>
      </c>
    </row>
    <row r="6" spans="1:4" ht="30">
      <c r="A6" s="3" t="s">
        <v>55</v>
      </c>
      <c r="B6" s="49" t="s">
        <v>134</v>
      </c>
      <c r="C6" s="173" t="s">
        <v>256</v>
      </c>
      <c r="D6" s="173" t="s">
        <v>134</v>
      </c>
    </row>
    <row r="7" spans="1:4" ht="30">
      <c r="A7" s="3" t="s">
        <v>56</v>
      </c>
      <c r="B7" s="49" t="s">
        <v>431</v>
      </c>
      <c r="C7" s="269"/>
    </row>
    <row r="8" spans="1:4" ht="30" hidden="1">
      <c r="A8" s="3" t="s">
        <v>57</v>
      </c>
      <c r="B8" s="72" t="str">
        <f>B5</f>
        <v>NUTFULLAYEV AKBARJON AXMEDOVICH</v>
      </c>
    </row>
    <row r="9" spans="1:4" hidden="1">
      <c r="A9" s="3" t="s">
        <v>58</v>
      </c>
      <c r="B9" s="72" t="str">
        <f>B7</f>
        <v>A.A.NUTFULLAYEV</v>
      </c>
    </row>
    <row r="10" spans="1:4" ht="30" hidden="1">
      <c r="A10" s="3" t="s">
        <v>59</v>
      </c>
      <c r="B10" s="72" t="str">
        <f>B8</f>
        <v>NUTFULLAYEV AKBARJON AXMEDOVICH</v>
      </c>
    </row>
    <row r="11" spans="1:4" hidden="1">
      <c r="A11" s="3" t="s">
        <v>60</v>
      </c>
      <c r="B11" s="72" t="str">
        <f>B9</f>
        <v>A.A.NUTFULLAYEV</v>
      </c>
    </row>
    <row r="12" spans="1:4" ht="30" hidden="1">
      <c r="A12" s="3" t="s">
        <v>61</v>
      </c>
      <c r="B12" s="72" t="str">
        <f>B10</f>
        <v>NUTFULLAYEV AKBARJON AXMEDOVICH</v>
      </c>
    </row>
    <row r="13" spans="1:4" hidden="1">
      <c r="A13" s="3" t="s">
        <v>62</v>
      </c>
      <c r="B13" s="72" t="str">
        <f>B11</f>
        <v>A.A.NUTFULLAYEV</v>
      </c>
    </row>
    <row r="14" spans="1:4" hidden="1">
      <c r="A14" s="3" t="s">
        <v>63</v>
      </c>
      <c r="B14" s="72" t="s">
        <v>66</v>
      </c>
    </row>
    <row r="15" spans="1:4">
      <c r="A15" s="3" t="s">
        <v>64</v>
      </c>
      <c r="B15" s="209" t="s">
        <v>398</v>
      </c>
      <c r="C15" s="269"/>
    </row>
    <row r="16" spans="1:4">
      <c r="A16" s="3" t="s">
        <v>65</v>
      </c>
      <c r="B16" s="49" t="s">
        <v>399</v>
      </c>
      <c r="C16" s="269"/>
    </row>
    <row r="17" spans="1:7">
      <c r="A17" s="3"/>
      <c r="B17" s="49" t="s">
        <v>415</v>
      </c>
      <c r="C17" s="269"/>
      <c r="D17" s="173" t="str">
        <f>TEXT(C17,"ДД.ММ.ГГГГ")</f>
        <v>00.01.1900</v>
      </c>
    </row>
    <row r="18" spans="1:7">
      <c r="A18" s="3"/>
      <c r="B18" s="185">
        <v>42118</v>
      </c>
      <c r="C18" s="270" t="str">
        <f>TEXT(B18,"ДД.ММ.ГГГГ")</f>
        <v>24.04.2015</v>
      </c>
    </row>
    <row r="19" spans="1:7">
      <c r="A19" s="3"/>
      <c r="B19" s="185">
        <v>45770</v>
      </c>
      <c r="C19" s="270" t="str">
        <f>TEXT(B19,"ДД.ММ.ГГГГ")</f>
        <v>23.04.2025</v>
      </c>
    </row>
    <row r="20" spans="1:7" ht="60">
      <c r="A20" s="3" t="s">
        <v>68</v>
      </c>
      <c r="B20" s="60" t="str">
        <f>""&amp;B17&amp;" tomonidan "&amp;C18&amp;" yilda berilgan"</f>
        <v>BUXORO VILOYATI BUXORO SHAHAR IIB tomonidan 24.04.2015 yilda berilgan</v>
      </c>
      <c r="C20" s="193" t="str">
        <f>""&amp;B17&amp;" tomonidan "&amp;C18&amp;" yilda berilgan"</f>
        <v>BUXORO VILOYATI BUXORO SHAHAR IIB tomonidan 24.04.2015 yilda berilgan</v>
      </c>
    </row>
    <row r="21" spans="1:7" ht="45">
      <c r="A21" s="3" t="s">
        <v>69</v>
      </c>
      <c r="B21" s="60" t="str">
        <f>""&amp;C19&amp;" y."</f>
        <v>23.04.2025 y.</v>
      </c>
      <c r="C21" s="192" t="str">
        <f>""&amp;C19&amp;" yilgacha"</f>
        <v>23.04.2025 yilgacha</v>
      </c>
    </row>
    <row r="22" spans="1:7" ht="57.75" customHeight="1">
      <c r="A22" s="3" t="s">
        <v>70</v>
      </c>
      <c r="B22" s="49" t="s">
        <v>400</v>
      </c>
      <c r="C22" s="270" t="str">
        <f>TEXT(B19,"ДД.ММ.ГГГГ")</f>
        <v>23.04.2025</v>
      </c>
    </row>
    <row r="23" spans="1:7" ht="30">
      <c r="A23" s="3" t="s">
        <v>71</v>
      </c>
      <c r="B23" s="49" t="s">
        <v>95</v>
      </c>
      <c r="C23" s="269" t="s">
        <v>95</v>
      </c>
      <c r="D23" s="173" t="s">
        <v>96</v>
      </c>
    </row>
    <row r="24" spans="1:7" ht="30" hidden="1">
      <c r="A24" s="3" t="s">
        <v>72</v>
      </c>
      <c r="B24" s="72" t="s">
        <v>93</v>
      </c>
      <c r="C24" s="269" t="s">
        <v>93</v>
      </c>
      <c r="D24" s="173" t="s">
        <v>94</v>
      </c>
      <c r="E24" s="173" t="s">
        <v>0</v>
      </c>
      <c r="F24" s="173" t="s">
        <v>1</v>
      </c>
      <c r="G24" s="173" t="s">
        <v>3</v>
      </c>
    </row>
    <row r="25" spans="1:7">
      <c r="A25" s="3" t="s">
        <v>73</v>
      </c>
      <c r="B25" s="49" t="s">
        <v>401</v>
      </c>
      <c r="C25" s="269"/>
    </row>
    <row r="26" spans="1:7" ht="44.25" customHeight="1">
      <c r="A26" s="3" t="s">
        <v>74</v>
      </c>
      <c r="B26" s="49" t="s">
        <v>402</v>
      </c>
      <c r="C26" s="269" t="s">
        <v>27</v>
      </c>
    </row>
    <row r="27" spans="1:7" ht="44.25" hidden="1" customHeight="1">
      <c r="A27" s="3"/>
      <c r="B27" s="49" t="str">
        <f>IF(B23="mos keladi",B22,B28)</f>
        <v>BUXORO VILOYATI BUXORO SHAHAR TADBIRKOR KO'CHASI 12-UY</v>
      </c>
      <c r="C27" s="269"/>
    </row>
    <row r="28" spans="1:7" ht="45">
      <c r="A28" s="3" t="s">
        <v>75</v>
      </c>
      <c r="B28" s="49" t="s">
        <v>400</v>
      </c>
      <c r="C28" s="269"/>
    </row>
    <row r="29" spans="1:7">
      <c r="A29" s="3" t="s">
        <v>76</v>
      </c>
      <c r="B29" s="49" t="s">
        <v>93</v>
      </c>
      <c r="C29" s="269" t="s">
        <v>93</v>
      </c>
      <c r="D29" s="173" t="s">
        <v>94</v>
      </c>
      <c r="E29" s="173" t="s">
        <v>327</v>
      </c>
      <c r="F29" s="173" t="s">
        <v>328</v>
      </c>
      <c r="G29" s="173" t="s">
        <v>3</v>
      </c>
    </row>
    <row r="30" spans="1:7" ht="27">
      <c r="A30" s="3" t="s">
        <v>77</v>
      </c>
      <c r="B30" s="165" t="s">
        <v>148</v>
      </c>
      <c r="C30" s="269" t="s">
        <v>148</v>
      </c>
      <c r="D30" s="173" t="s">
        <v>331</v>
      </c>
    </row>
    <row r="31" spans="1:7">
      <c r="A31" s="3" t="s">
        <v>78</v>
      </c>
      <c r="B31" s="49" t="s">
        <v>403</v>
      </c>
      <c r="C31" s="269" t="s">
        <v>386</v>
      </c>
    </row>
    <row r="32" spans="1:7">
      <c r="A32" s="3" t="s">
        <v>63</v>
      </c>
      <c r="B32" s="49" t="s">
        <v>66</v>
      </c>
      <c r="C32" s="269"/>
    </row>
    <row r="33" spans="1:4">
      <c r="A33" s="3" t="s">
        <v>73</v>
      </c>
      <c r="B33" s="49" t="s">
        <v>404</v>
      </c>
      <c r="C33" s="269"/>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+A39:B102</f>
        <v>Mutaxassisligi</v>
      </c>
    </row>
    <row r="40" spans="1:4" ht="24.75" customHeight="1">
      <c r="A40" s="3" t="s">
        <v>83</v>
      </c>
      <c r="B40" s="49" t="s">
        <v>404</v>
      </c>
    </row>
    <row r="41" spans="1:4" ht="24.75" customHeight="1">
      <c r="A41" s="3" t="s">
        <v>84</v>
      </c>
      <c r="B41" s="49" t="s">
        <v>405</v>
      </c>
    </row>
    <row r="42" spans="1:4" ht="24.75" customHeight="1">
      <c r="A42" s="3" t="s">
        <v>83</v>
      </c>
      <c r="B42" s="49" t="s">
        <v>406</v>
      </c>
    </row>
    <row r="43" spans="1:4" ht="30">
      <c r="A43" s="3" t="s">
        <v>84</v>
      </c>
      <c r="B43" s="49"/>
    </row>
    <row r="44" spans="1:4" ht="23.25">
      <c r="A44" s="167" t="s">
        <v>85</v>
      </c>
      <c r="B44" s="166" t="s">
        <v>344</v>
      </c>
      <c r="C44" s="173" t="s">
        <v>344</v>
      </c>
      <c r="D44" s="173" t="s">
        <v>351</v>
      </c>
    </row>
    <row r="45" spans="1:4" hidden="1">
      <c r="A45" s="3"/>
      <c r="B45" s="164" t="str">
        <f>IF(B44=D44,CONCATENATE("MA'LUMOTNOMA ",B47,B46),C44)</f>
        <v>Yakka tartibdagi tadbirkor</v>
      </c>
    </row>
    <row r="46" spans="1:4" ht="69.75">
      <c r="A46" s="167" t="s">
        <v>352</v>
      </c>
      <c r="B46" s="210"/>
    </row>
    <row r="47" spans="1:4" ht="23.25">
      <c r="A47" s="167"/>
      <c r="B47" s="184"/>
      <c r="C47" s="173" t="s">
        <v>15</v>
      </c>
    </row>
    <row r="48" spans="1:4" ht="69.75">
      <c r="A48" s="167" t="s">
        <v>353</v>
      </c>
      <c r="B48" s="164"/>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72" t="s">
        <v>97</v>
      </c>
      <c r="B57" s="273"/>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67" t="s">
        <v>99</v>
      </c>
      <c r="B60" s="171">
        <v>10000000</v>
      </c>
      <c r="C60" s="188">
        <f>C63/B75</f>
        <v>0.49926938814814814</v>
      </c>
    </row>
    <row r="61" spans="1:4">
      <c r="A61" s="3" t="s">
        <v>100</v>
      </c>
      <c r="B61" s="5">
        <v>0</v>
      </c>
      <c r="C61" s="189" t="s">
        <v>391</v>
      </c>
    </row>
    <row r="62" spans="1:4" hidden="1">
      <c r="A62" s="3" t="s">
        <v>101</v>
      </c>
      <c r="B62" s="49">
        <f>B53</f>
        <v>0</v>
      </c>
      <c r="C62" s="186"/>
    </row>
    <row r="63" spans="1:4">
      <c r="A63" s="3" t="s">
        <v>102</v>
      </c>
      <c r="B63" s="49"/>
      <c r="C63" s="187">
        <f>SUM(grafik!E9:E20)</f>
        <v>13480273.48</v>
      </c>
    </row>
    <row r="64" spans="1:4">
      <c r="A64" s="271" t="s">
        <v>103</v>
      </c>
      <c r="B64" s="271"/>
      <c r="C64" s="173" t="str">
        <f>PROPER(B65)</f>
        <v>Mikroqarz</v>
      </c>
      <c r="D64" s="173" t="str">
        <f>UPPER(B65)</f>
        <v>MIKROQARZ</v>
      </c>
    </row>
    <row r="65" spans="1:14" ht="15.75" thickBot="1">
      <c r="A65" s="3" t="s">
        <v>104</v>
      </c>
      <c r="B65" s="1" t="str">
        <f>IF(B75&gt;100000001,"mikrokredit",IF(B75&lt;100000001,"mikroqarz",0))</f>
        <v>mikroqarz</v>
      </c>
      <c r="C65" s="175">
        <f>DATE(YEAR(B67),MONTH(B67)+B81,DAY(B67))</f>
        <v>46823</v>
      </c>
    </row>
    <row r="66" spans="1:14" hidden="1">
      <c r="A66" s="3" t="s">
        <v>105</v>
      </c>
      <c r="B66" s="49" t="str">
        <f>B1</f>
        <v>№ 23-AL</v>
      </c>
      <c r="C66" s="173">
        <f>MONTH(C65)</f>
        <v>3</v>
      </c>
      <c r="D66" s="173" t="str">
        <f>IF(C66=C68,C70,IF(C66=D68,D70,IF(C66=E68,E70,IF(C66=F68,F70,IF(C66=G68,G70,IF(C66=H68,H70,IF(C66=I68,I70,IF(C66=J68,J70,IF(C66=K68,K70,IF(C66=L68,L70,IF(C66=M68,M70,IF(C66=N68,N70,))))))))))))</f>
        <v>mart</v>
      </c>
      <c r="E66" s="173">
        <f>DAY(C65)</f>
        <v>11</v>
      </c>
      <c r="F66" s="173">
        <f>YEAR(C65)</f>
        <v>2028</v>
      </c>
      <c r="G66" s="173">
        <f>MONTH(C65)</f>
        <v>3</v>
      </c>
      <c r="H66" s="173" t="str">
        <f>IF(C66=C68,C71,IF(C66=D68,D71,IF(C66=E68,E71,IF(C66=F68,F71,IF(C66=G68,G71,IF(C66=H68,H71,IF(C66=I68,I71,IF(C66=J68,J71,IF(C66=K68,K71,IF(C66=L68,L71,IF(C66=M68,M71,IF(C66=N68,N71,))))))))))))</f>
        <v>mart</v>
      </c>
      <c r="I66" s="173">
        <f>YEAR(C65)</f>
        <v>2028</v>
      </c>
    </row>
    <row r="67" spans="1:14" hidden="1">
      <c r="A67" s="3" t="s">
        <v>106</v>
      </c>
      <c r="B67" s="81" t="str">
        <f>B2</f>
        <v>11.03.2025</v>
      </c>
      <c r="C67" s="173">
        <f>MONTH(B67)</f>
        <v>3</v>
      </c>
      <c r="D67" s="173" t="str">
        <f>IF(C67=C68,C70,IF(C67=D68,D70,IF(C67=E68,E70,IF(C67=F68,F70,IF(C67=G68,G70,IF(C67=H68,H70,IF(C67=I68,I70,IF(C67=J68,J70,IF(C67=K68,K70,IF(C67=L68,L70,IF(C67=M68,M70,IF(C67=N68,N70,))))))))))))</f>
        <v>mart</v>
      </c>
      <c r="E67" s="173">
        <f>DAY(B67)</f>
        <v>11</v>
      </c>
      <c r="F67" s="173">
        <f>YEAR(B67)</f>
        <v>2025</v>
      </c>
      <c r="G67" s="173">
        <f>MONTH(B67)</f>
        <v>3</v>
      </c>
      <c r="H67" s="173" t="str">
        <f>IF(C67=C68,C71,IF(C67=D68,D71,IF(C67=E68,E71,IF(C67=F68,F71,IF(C67=G68,G71,IF(C67=H68,H71,IF(C67=I68,I71,IF(C67=J68,J71,IF(C67=K68,K71,IF(C67=L68,L71,IF(C67=M68,M71,IF(C67=N68,N71,))))))))))))</f>
        <v>mart</v>
      </c>
      <c r="I67" s="173">
        <f>YEAR(B67)</f>
        <v>2025</v>
      </c>
    </row>
    <row r="68" spans="1:14" hidden="1">
      <c r="A68" s="3" t="s">
        <v>107</v>
      </c>
      <c r="B68" s="73" t="str">
        <f>""&amp;E67&amp;" "&amp;D67&amp;" "&amp;F67&amp;" y."</f>
        <v>11 mart 2025 y.</v>
      </c>
      <c r="C68" s="173">
        <v>1</v>
      </c>
      <c r="D68" s="173">
        <v>2</v>
      </c>
      <c r="E68" s="173">
        <v>3</v>
      </c>
      <c r="F68" s="173">
        <v>4</v>
      </c>
      <c r="G68" s="173">
        <v>5</v>
      </c>
      <c r="H68" s="173">
        <v>6</v>
      </c>
      <c r="I68" s="173">
        <v>7</v>
      </c>
      <c r="J68" s="173">
        <v>8</v>
      </c>
      <c r="K68" s="173">
        <v>9</v>
      </c>
      <c r="L68" s="173">
        <v>10</v>
      </c>
      <c r="M68" s="173">
        <v>11</v>
      </c>
      <c r="N68" s="173">
        <v>12</v>
      </c>
    </row>
    <row r="69" spans="1:14" hidden="1">
      <c r="A69" s="3"/>
      <c r="B69" s="73" t="str">
        <f>""&amp;E67&amp;" "&amp;H67&amp;" "&amp;F67&amp;" y."</f>
        <v>11 mart 2025 y.</v>
      </c>
    </row>
    <row r="70" spans="1:14" hidden="1">
      <c r="A70" s="3"/>
      <c r="B70" s="59" t="str">
        <f>B68</f>
        <v>11 mart 2025 y.</v>
      </c>
      <c r="C70" s="173" t="s">
        <v>119</v>
      </c>
      <c r="D70" s="173" t="s">
        <v>120</v>
      </c>
      <c r="E70" s="173" t="s">
        <v>109</v>
      </c>
      <c r="F70" s="173" t="s">
        <v>110</v>
      </c>
      <c r="G70" s="173" t="s">
        <v>111</v>
      </c>
      <c r="H70" s="173" t="s">
        <v>112</v>
      </c>
      <c r="I70" s="173" t="s">
        <v>113</v>
      </c>
      <c r="J70" s="173" t="s">
        <v>114</v>
      </c>
      <c r="K70" s="173" t="s">
        <v>115</v>
      </c>
      <c r="L70" s="173" t="s">
        <v>116</v>
      </c>
      <c r="M70" s="173" t="s">
        <v>117</v>
      </c>
      <c r="N70" s="173" t="s">
        <v>118</v>
      </c>
    </row>
    <row r="71" spans="1:14" hidden="1">
      <c r="A71" s="3"/>
      <c r="B71" s="59" t="str">
        <f>B69</f>
        <v>11 mart 2025 y.</v>
      </c>
      <c r="C71" s="173" t="s">
        <v>119</v>
      </c>
      <c r="D71" s="173" t="s">
        <v>120</v>
      </c>
      <c r="E71" s="173" t="s">
        <v>109</v>
      </c>
      <c r="F71" s="173" t="s">
        <v>110</v>
      </c>
      <c r="G71" s="173" t="s">
        <v>111</v>
      </c>
      <c r="H71" s="173" t="s">
        <v>112</v>
      </c>
      <c r="I71" s="173" t="s">
        <v>113</v>
      </c>
      <c r="J71" s="173" t="s">
        <v>114</v>
      </c>
      <c r="K71" s="173" t="s">
        <v>115</v>
      </c>
      <c r="L71" s="173" t="s">
        <v>116</v>
      </c>
      <c r="M71" s="173" t="s">
        <v>117</v>
      </c>
      <c r="N71" s="17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23-AL</v>
      </c>
    </row>
    <row r="75" spans="1:14">
      <c r="A75" s="3" t="str">
        <f>CONCATENATE(B65," miqdori (summasi)")</f>
        <v>mikroqarz miqdori (summasi)</v>
      </c>
      <c r="B75" s="67">
        <v>27000000</v>
      </c>
      <c r="C75" s="176" t="s">
        <v>127</v>
      </c>
    </row>
    <row r="76" spans="1:14">
      <c r="A76" s="144"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7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73" t="s">
        <v>129</v>
      </c>
      <c r="D77" s="173" t="s">
        <v>128</v>
      </c>
    </row>
    <row r="78" spans="1:14">
      <c r="A78" s="3" t="str">
        <f>CONCATENATE(B65,"ni to'lash sanasi (14.10.2011)")</f>
        <v>mikroqarzni to'lash sanasi (14.10.2011)</v>
      </c>
      <c r="B78" s="49">
        <v>5</v>
      </c>
      <c r="C78" s="175">
        <f>DATE(YEAR(B67),MONTH(B67)+1,DAY(B78))</f>
        <v>45752</v>
      </c>
      <c r="D78" s="173" t="s">
        <v>29</v>
      </c>
      <c r="E78" s="173" t="s">
        <v>30</v>
      </c>
      <c r="F78" s="173" t="s">
        <v>31</v>
      </c>
      <c r="G78" s="173" t="s">
        <v>32</v>
      </c>
      <c r="H78" s="173" t="s">
        <v>33</v>
      </c>
      <c r="I78" s="173" t="s">
        <v>34</v>
      </c>
      <c r="J78" s="173" t="s">
        <v>35</v>
      </c>
    </row>
    <row r="79" spans="1:14" ht="30" hidden="1">
      <c r="A79" s="3" t="str">
        <f>CONCATENATE(B65,"ni to'lash sanasi (14.10.2011 y.) QO’L BILAN KIRITILADI")</f>
        <v>mikroqarzni to'lash sanasi (14.10.2011 y.) QO’L BILAN KIRITILADI</v>
      </c>
      <c r="B79" s="74">
        <f>DATE(YEAR(B67),MONTH(B67)+1,DAY(B78+C80))</f>
        <v>45754</v>
      </c>
      <c r="C79" s="177" t="str">
        <f>TEXT(C78,"ддд")</f>
        <v>Сб</v>
      </c>
      <c r="D79" s="173" t="s">
        <v>29</v>
      </c>
      <c r="E79" s="173" t="s">
        <v>30</v>
      </c>
      <c r="F79" s="173" t="s">
        <v>31</v>
      </c>
      <c r="G79" s="173" t="s">
        <v>32</v>
      </c>
      <c r="H79" s="173" t="s">
        <v>33</v>
      </c>
      <c r="I79" s="173" t="s">
        <v>34</v>
      </c>
      <c r="J79" s="173" t="s">
        <v>35</v>
      </c>
    </row>
    <row r="80" spans="1:14" ht="30" hidden="1">
      <c r="A80" s="3" t="s">
        <v>124</v>
      </c>
      <c r="B80" s="75">
        <f>B79</f>
        <v>45754</v>
      </c>
      <c r="C80" s="173">
        <f>IF(C79=I79,2,IF(C79=J79,1,0))</f>
        <v>2</v>
      </c>
    </row>
    <row r="81" spans="1:63">
      <c r="A81" s="3" t="str">
        <f>CONCATENATE(B65," muddati")</f>
        <v>mikroqarz muddati</v>
      </c>
      <c r="B81" s="49">
        <v>36</v>
      </c>
      <c r="C81" s="173">
        <v>6</v>
      </c>
      <c r="D81" s="173">
        <v>12</v>
      </c>
      <c r="E81" s="173">
        <v>18</v>
      </c>
      <c r="F81" s="173">
        <v>24</v>
      </c>
      <c r="G81" s="173">
        <v>36</v>
      </c>
    </row>
    <row r="82" spans="1:63">
      <c r="A82" s="3" t="str">
        <f>CONCATENATE(B65," muddati QO’L BILAN KIRITILADI")</f>
        <v>mikroqarz muddati QO’L BILAN KIRITILADI</v>
      </c>
      <c r="B82" s="140" t="s">
        <v>407</v>
      </c>
    </row>
    <row r="83" spans="1:63" ht="30">
      <c r="A83" s="162" t="s">
        <v>348</v>
      </c>
      <c r="B83" s="140">
        <v>0</v>
      </c>
      <c r="BJ83" s="173">
        <v>1</v>
      </c>
      <c r="BK83" s="173">
        <v>0</v>
      </c>
    </row>
    <row r="84" spans="1:63">
      <c r="A84" s="3" t="str">
        <f>CONCATENATE(B65," stavkasi")</f>
        <v>mikroqarz stavkasi</v>
      </c>
      <c r="B84" s="77">
        <v>0.6</v>
      </c>
    </row>
    <row r="85" spans="1:63">
      <c r="A85" s="3" t="str">
        <f>CONCATENATE(B65," stavkasi")</f>
        <v>mikroqarz stavkasi</v>
      </c>
      <c r="B85" s="78" t="s">
        <v>389</v>
      </c>
    </row>
    <row r="86" spans="1:63">
      <c r="A86" s="3" t="str">
        <f>CONCATENATE(B65," stavkasi (so’z bilan)")</f>
        <v>mikroqarz stavkasi (so’z bilan)</v>
      </c>
      <c r="B86" s="76" t="s">
        <v>390</v>
      </c>
      <c r="C86" s="173" t="s">
        <v>390</v>
      </c>
    </row>
    <row r="87" spans="1:63">
      <c r="A87" s="3" t="str">
        <f>CONCATENATE("Muddati o'tgan ",B65," bo’yicha stavka")</f>
        <v>Muddati o'tgan mikroqarz bo’yicha stavka</v>
      </c>
      <c r="B87" s="77">
        <v>1</v>
      </c>
    </row>
    <row r="88" spans="1:63">
      <c r="A88" s="144" t="s">
        <v>122</v>
      </c>
      <c r="B88" s="78" t="s">
        <v>392</v>
      </c>
    </row>
    <row r="89" spans="1:63">
      <c r="A89" s="3" t="str">
        <f>CONCATENATE("Muddati o'tgan ",B65," bo’yicha stavka")</f>
        <v>Muddati o'tgan mikroqarz bo’yicha stavka</v>
      </c>
      <c r="B89" s="76" t="s">
        <v>393</v>
      </c>
      <c r="C89" s="173" t="s">
        <v>393</v>
      </c>
    </row>
    <row r="90" spans="1:63">
      <c r="A90" s="3" t="s">
        <v>125</v>
      </c>
      <c r="B90" s="79">
        <f>IF(B77=C77,LARGE(grafik!F9:F26,1),ROUND(PMT(B84/12,B81,-B75,0),-3))</f>
        <v>2051917.76</v>
      </c>
    </row>
    <row r="91" spans="1:63">
      <c r="A91" s="271" t="s">
        <v>432</v>
      </c>
      <c r="B91" s="271"/>
    </row>
    <row r="92" spans="1:63">
      <c r="A92" s="246" t="s">
        <v>439</v>
      </c>
      <c r="B92" s="247" t="s">
        <v>435</v>
      </c>
    </row>
    <row r="93" spans="1:63">
      <c r="A93" s="246" t="s">
        <v>440</v>
      </c>
      <c r="B93" s="248" t="s">
        <v>434</v>
      </c>
    </row>
    <row r="94" spans="1:63">
      <c r="A94" s="246" t="s">
        <v>441</v>
      </c>
      <c r="B94" s="249" t="s">
        <v>433</v>
      </c>
    </row>
    <row r="95" spans="1:63">
      <c r="A95" s="246" t="s">
        <v>442</v>
      </c>
      <c r="B95" s="249" t="s">
        <v>436</v>
      </c>
    </row>
    <row r="96" spans="1:63">
      <c r="A96" s="246" t="s">
        <v>438</v>
      </c>
      <c r="B96" s="249" t="s">
        <v>437</v>
      </c>
    </row>
    <row r="97" spans="1:4">
      <c r="A97" s="271" t="s">
        <v>126</v>
      </c>
      <c r="B97" s="271"/>
    </row>
    <row r="98" spans="1:4" ht="18">
      <c r="A98" s="80"/>
      <c r="B98" s="134" t="s">
        <v>131</v>
      </c>
      <c r="C98" s="178" t="s">
        <v>131</v>
      </c>
      <c r="D98" s="173" t="s">
        <v>132</v>
      </c>
    </row>
    <row r="99" spans="1:4" ht="18">
      <c r="A99" s="8" t="s">
        <v>137</v>
      </c>
      <c r="B99" s="134" t="s">
        <v>133</v>
      </c>
      <c r="C99" s="179" t="s">
        <v>133</v>
      </c>
      <c r="D99" s="173" t="s">
        <v>134</v>
      </c>
    </row>
    <row r="100" spans="1:4" ht="54">
      <c r="A100" s="8" t="s">
        <v>138</v>
      </c>
      <c r="B100" s="134" t="s">
        <v>135</v>
      </c>
      <c r="C100" s="173" t="s">
        <v>135</v>
      </c>
      <c r="D100" s="173" t="s">
        <v>136</v>
      </c>
    </row>
    <row r="101" spans="1:4" ht="36">
      <c r="A101" s="8" t="s">
        <v>139</v>
      </c>
      <c r="B101" s="134"/>
    </row>
    <row r="102" spans="1:4" ht="36">
      <c r="A102" s="8" t="s">
        <v>140</v>
      </c>
      <c r="B102" s="134"/>
    </row>
    <row r="103" spans="1:4">
      <c r="A103" s="271"/>
      <c r="B103" s="271"/>
    </row>
    <row r="104" spans="1:4" ht="36">
      <c r="A104" s="8" t="s">
        <v>141</v>
      </c>
      <c r="B104" s="134"/>
    </row>
    <row r="105" spans="1:4" ht="54">
      <c r="A105" s="8" t="s">
        <v>142</v>
      </c>
      <c r="B105" s="134"/>
    </row>
    <row r="106" spans="1:4" ht="18">
      <c r="A106" s="8" t="s">
        <v>143</v>
      </c>
      <c r="B106" s="141"/>
    </row>
    <row r="107" spans="1:4" ht="18">
      <c r="A107" s="8" t="s">
        <v>144</v>
      </c>
      <c r="B107" s="141"/>
    </row>
    <row r="108" spans="1:4" ht="18" hidden="1">
      <c r="A108" s="8"/>
      <c r="B108" s="134" t="str">
        <f>TEXT(B107,"ДД.ММ.ГГГГ")</f>
        <v>00.01.1900</v>
      </c>
    </row>
    <row r="109" spans="1:4" ht="18">
      <c r="A109" s="8"/>
      <c r="B109" s="9" t="s">
        <v>145</v>
      </c>
      <c r="C109" s="173" t="s">
        <v>145</v>
      </c>
      <c r="D109" s="173" t="s">
        <v>146</v>
      </c>
    </row>
    <row r="110" spans="1:4" ht="60">
      <c r="A110" s="170" t="s">
        <v>350</v>
      </c>
      <c r="B110" s="169" t="s">
        <v>349</v>
      </c>
      <c r="C110" s="194" t="s">
        <v>146</v>
      </c>
    </row>
    <row r="111" spans="1:4" ht="30">
      <c r="A111" s="161" t="s">
        <v>371</v>
      </c>
      <c r="B111" s="9"/>
      <c r="C111" s="194"/>
    </row>
    <row r="112" spans="1:4" ht="30">
      <c r="A112" s="161" t="s">
        <v>372</v>
      </c>
      <c r="B112" s="9"/>
      <c r="C112" s="194"/>
    </row>
    <row r="113" spans="1:4" ht="60">
      <c r="A113" s="161" t="str">
        <f>A119</f>
        <v>Tug’ilgan sanasi (01.10.2011 y.)</v>
      </c>
      <c r="B113" s="190"/>
      <c r="C113" s="194"/>
    </row>
    <row r="114" spans="1:4" ht="60">
      <c r="A114" s="161" t="str">
        <f>A120</f>
        <v>Pasport seriyasi (СА №1234567)</v>
      </c>
      <c r="B114" s="9"/>
      <c r="C114" s="194"/>
    </row>
    <row r="115" spans="1:4" ht="210">
      <c r="A115" s="161" t="str">
        <f>A121</f>
        <v xml:space="preserve">Kim va qachon berilgan
(Toshkent shahri Chilonzor IIB tomonidan 2011 yil __.____)
</v>
      </c>
      <c r="B115" s="9"/>
      <c r="C115" s="194"/>
    </row>
    <row r="116" spans="1:4" ht="210">
      <c r="A116" s="161" t="str">
        <f>A122</f>
        <v xml:space="preserve">doimiy ro’yhatdan o’tgan joyi
(Toshkent sh., Mirobod tumani, Nukus ko’chasi, 1 uy, 1 honadon)
</v>
      </c>
      <c r="B116" s="9"/>
      <c r="C116" s="194"/>
    </row>
    <row r="117" spans="1:4" hidden="1">
      <c r="A117" s="132" t="s">
        <v>158</v>
      </c>
      <c r="B117" s="125" t="str">
        <f>IF(B99="HA",B5,B111)</f>
        <v>NUTFULLAYEV AKBARJON AXMEDOVICH</v>
      </c>
      <c r="C117" s="195" t="str">
        <f>IF(B99="HA",B5,C111)</f>
        <v>NUTFULLAYEV AKBARJON AXMEDOVICH</v>
      </c>
    </row>
    <row r="118" spans="1:4" hidden="1">
      <c r="A118" s="132"/>
      <c r="B118" s="125" t="str">
        <f>IF(B99="HA",B7,B112)</f>
        <v>A.A.NUTFULLAYEV</v>
      </c>
      <c r="C118" s="195" t="str">
        <f>IF(B99="HA",B7,C112)</f>
        <v>A.A.NUTFULLAYEV</v>
      </c>
    </row>
    <row r="119" spans="1:4" hidden="1">
      <c r="A119" s="133" t="s">
        <v>159</v>
      </c>
      <c r="B119" s="160" t="str">
        <f>IF(B99="HA",B15,B113)</f>
        <v>14.09.1989 y</v>
      </c>
      <c r="C119" s="195" t="str">
        <f>IF(B99="HA",B15,C113)</f>
        <v>14.09.1989 y</v>
      </c>
    </row>
    <row r="120" spans="1:4" hidden="1">
      <c r="A120" s="133" t="s">
        <v>65</v>
      </c>
      <c r="B120" s="160" t="str">
        <f>IF(B99="HA",B16,B114)</f>
        <v>AA 9481167</v>
      </c>
      <c r="C120" s="195" t="str">
        <f>IF(B99="HA",B16,C114)</f>
        <v>AA 9481167</v>
      </c>
    </row>
    <row r="121" spans="1:4" ht="30" hidden="1" customHeight="1">
      <c r="A121" s="133" t="s">
        <v>68</v>
      </c>
      <c r="B121" s="125" t="str">
        <f>IF(B99="HA",B20,B115)</f>
        <v>BUXORO VILOYATI BUXORO SHAHAR IIB tomonidan 24.04.2015 yilda berilgan</v>
      </c>
      <c r="C121" s="195" t="str">
        <f>IF(B99="HA",B20,C115)</f>
        <v>BUXORO VILOYATI BUXORO SHAHAR IIB tomonidan 24.04.2015 yilda berilgan</v>
      </c>
      <c r="D121" s="173">
        <v>493193762</v>
      </c>
    </row>
    <row r="122" spans="1:4" ht="53.25" hidden="1" customHeight="1">
      <c r="A122" s="133" t="s">
        <v>70</v>
      </c>
      <c r="B122" s="125" t="str">
        <f>IF(B99="HA",B22,B116)</f>
        <v>BUXORO VILOYATI BUXORO SHAHAR TADBIRKOR KO'CHASI 12-UY</v>
      </c>
      <c r="C122" s="196" t="str">
        <f>IF(B99="HA",B22,C116)</f>
        <v>BUXORO VILOYATI BUXORO SHAHAR TADBIRKOR KO'CHASI 12-UY</v>
      </c>
    </row>
    <row r="123" spans="1:4" hidden="1">
      <c r="A123" s="133" t="s">
        <v>160</v>
      </c>
      <c r="B123" s="1" t="str">
        <f>IF(B99="ha",B5,B117)</f>
        <v>NUTFULLAYEV AKBARJON AXMEDOVICH</v>
      </c>
      <c r="C123" s="197" t="str">
        <f>IF(B99="ha",B5,C117)</f>
        <v>NUTFULLAYEV AKBARJON AXMEDOVICH</v>
      </c>
    </row>
    <row r="124" spans="1:4" hidden="1">
      <c r="A124" s="133"/>
      <c r="B124" s="1" t="str">
        <f>IF(B99="ha",B7,B118)</f>
        <v>A.A.NUTFULLAYEV</v>
      </c>
      <c r="C124" s="197" t="str">
        <f>IF(B99="ha",B7,C118)</f>
        <v>A.A.NUTFULLAYEV</v>
      </c>
    </row>
    <row r="125" spans="1:4" hidden="1">
      <c r="A125" s="3" t="s">
        <v>159</v>
      </c>
      <c r="B125" s="1" t="str">
        <f>IF(B99="ha",B15,B119)</f>
        <v>14.09.1989 y</v>
      </c>
      <c r="C125" s="197" t="str">
        <f>IF(B99="ha",B15,C119)</f>
        <v>14.09.1989 y</v>
      </c>
    </row>
    <row r="126" spans="1:4" hidden="1">
      <c r="A126" s="3" t="s">
        <v>65</v>
      </c>
      <c r="B126" s="1" t="str">
        <f>IF(B99="ha",B16,B120)</f>
        <v>AA 9481167</v>
      </c>
      <c r="C126" s="197" t="str">
        <f>IF(B99="ha",B16,C120)</f>
        <v>AA 9481167</v>
      </c>
    </row>
    <row r="127" spans="1:4" ht="60" hidden="1">
      <c r="A127" s="3" t="s">
        <v>68</v>
      </c>
      <c r="B127" s="1" t="str">
        <f>IF(B99="ha",B20,B121)</f>
        <v>BUXORO VILOYATI BUXORO SHAHAR IIB tomonidan 24.04.2015 yilda berilgan</v>
      </c>
      <c r="C127" s="197" t="str">
        <f>IF(B99="ha",B20,C121)</f>
        <v>BUXORO VILOYATI BUXORO SHAHAR IIB tomonidan 24.04.2015 yilda berilgan</v>
      </c>
    </row>
    <row r="128" spans="1:4" ht="60" hidden="1">
      <c r="A128" s="3" t="s">
        <v>70</v>
      </c>
      <c r="B128" s="157" t="str">
        <f>IF(B99="ha",B22,B122)</f>
        <v>BUXORO VILOYATI BUXORO SHAHAR TADBIRKOR KO'CHASI 12-UY</v>
      </c>
      <c r="C128" s="198" t="str">
        <f>IF(B99="ha",B22,C122)</f>
        <v>BUXORO VILOYATI BUXORO SHAHAR TADBIRKOR KO'CHASI 12-UY</v>
      </c>
    </row>
    <row r="129" spans="1:18" ht="42.75">
      <c r="A129" s="3" t="s">
        <v>161</v>
      </c>
      <c r="B129" s="49" t="s">
        <v>416</v>
      </c>
      <c r="C129" s="199" t="s">
        <v>48</v>
      </c>
      <c r="N129" s="173" t="str">
        <f>IF(B109=C109,B123,IF(B109=D109,C123,0))</f>
        <v>NUTFULLAYEV AKBARJON AXMEDOVICH</v>
      </c>
    </row>
    <row r="130" spans="1:18" ht="45">
      <c r="A130" s="3" t="s">
        <v>162</v>
      </c>
      <c r="B130" s="49" t="s">
        <v>408</v>
      </c>
      <c r="C130" s="197" t="s">
        <v>381</v>
      </c>
      <c r="D130" s="200" t="s">
        <v>151</v>
      </c>
      <c r="Q130" s="173" t="str">
        <f>""&amp;B101&amp;" (по генеральному доверенестью №"&amp;B106&amp;" от "&amp;B108&amp;")"</f>
        <v xml:space="preserve"> (по генеральному доверенестью № от 00.01.1900)</v>
      </c>
      <c r="R130" s="173" t="str">
        <f>""&amp;B101&amp;" ("&amp;B108&amp;"y. sanasidagi reestr raqami №"&amp;B106&amp;" bo'lgan Ishonchnomaga asosan)"</f>
        <v xml:space="preserve"> (00.01.1900y. sanasidagi reestr raqami № bo'lgan Ishonchnomaga asosan)</v>
      </c>
    </row>
    <row r="131" spans="1:18" ht="45">
      <c r="A131" s="3" t="s">
        <v>163</v>
      </c>
      <c r="B131" s="49" t="s">
        <v>409</v>
      </c>
      <c r="C131" s="198" t="str">
        <f>""&amp;D132&amp;" "&amp;IF(C135=D135,"- xonali yakka tartibdagi uy-joy", IF(C135=E135,"-  xonali ko'p qavatli uydagi xonadon",0))&amp;""</f>
        <v>3 - xonali yakka tartibdagi uy-joy</v>
      </c>
      <c r="D131" s="201" t="s">
        <v>149</v>
      </c>
      <c r="E131" s="173" t="str">
        <f>IF($C$135=$D$135,I131,IF($C$135=$E$135,H131,0))</f>
        <v>3 - xonali yakka tartibdagi uy-joy</v>
      </c>
      <c r="F131" s="173" t="str">
        <f>IF($C$135=$D$135,I131,IF($C$135=$E$135,H131,0))</f>
        <v>3 - xonali yakka tartibdagi uy-joy</v>
      </c>
      <c r="H131" s="173" t="str">
        <f>"Ko'p qavatli uydagi "&amp;D132&amp;" - xonali xonadon"</f>
        <v>Ko'p qavatli uydagi 3 - xonali xonadon</v>
      </c>
      <c r="I131" s="173" t="str">
        <f>""&amp;D132&amp;" - xonali yakka tartibdagi uy-joy"</f>
        <v>3 - xonali yakka tartibdagi uy-joy</v>
      </c>
      <c r="N131" s="173" t="str">
        <f>IF(B99=C99,Q132,IF(B99=D99,Q131,0))</f>
        <v>Микрофинансовой организацией и Заемщиком</v>
      </c>
      <c r="Q131" s="173" t="str">
        <f>"Микрофинансовой организацией, Заемщиком и "&amp;IF(B100=D100,Q130,IF(B100=C100,B117,0))&amp;""</f>
        <v>Микрофинансовой организацией, Заемщиком и NUTFULLAYEV AKBARJON AXMEDOVICH</v>
      </c>
      <c r="R131" s="173" t="str">
        <f>"Mikromoliya tashkiloti, Qarz oluvchi va "&amp;IF(B100=D100,R130,IF(B100=C100,B117))&amp;""</f>
        <v>Mikromoliya tashkiloti, Qarz oluvchi va NUTFULLAYEV AKBARJON AXMEDOVICH</v>
      </c>
    </row>
    <row r="132" spans="1:18" ht="30">
      <c r="A132" s="3" t="s">
        <v>164</v>
      </c>
      <c r="B132" s="191" t="s">
        <v>410</v>
      </c>
      <c r="C132" s="198" t="str">
        <f>C131</f>
        <v>3 - xonali yakka tartibdagi uy-joy</v>
      </c>
      <c r="D132" s="202">
        <v>3</v>
      </c>
      <c r="E132" s="173" t="str">
        <f>IF($C$135=$D$135,I132,IF($C$135=$E$135,H132,0))</f>
        <v>yer uchastkasi maydoni - , umumiy maydoni - 72,13, yashash maydoni - 37,39</v>
      </c>
      <c r="F132" s="173" t="str">
        <f>IF($C$135=$D$135,I132,IF($C$135=$E$135,H132,0))</f>
        <v>yer uchastkasi maydoni - , umumiy maydoni - 72,13, yashash maydoni - 37,39</v>
      </c>
      <c r="H132" s="173" t="str">
        <f>"umumiy maydoni - "&amp;C136&amp;", yashash maydoni - "&amp;C139&amp;""</f>
        <v>umumiy maydoni - 72,13, yashash maydoni - 37,39</v>
      </c>
      <c r="I132" s="173" t="str">
        <f>"yer uchastkasi maydoni - "&amp;C137&amp;", umumiy maydoni - "&amp;C136&amp;", yashash maydoni - "&amp;C139&amp;""</f>
        <v>yer uchastkasi maydoni - , umumiy maydoni - 72,13, yashash maydoni - 37,39</v>
      </c>
      <c r="N132" s="173" t="str">
        <f>IF(B99=C99,R132,IF(B99=D99,R131,0))</f>
        <v>Mikromoliya tashkiloti va Qarz oluvchi</v>
      </c>
      <c r="Q132" s="173" t="s">
        <v>52</v>
      </c>
      <c r="R132" s="173" t="s">
        <v>150</v>
      </c>
    </row>
    <row r="133" spans="1:18" ht="27" customHeight="1">
      <c r="A133" s="3" t="s">
        <v>165</v>
      </c>
      <c r="B133" s="72" t="str">
        <f>"kuzov turi - "&amp;B134&amp;", kuzov raqami "&amp;B135&amp;""</f>
        <v>kuzov turi - YUK BORTLI TENT, kuzov raqami LSCAB23D8EG228387</v>
      </c>
      <c r="C133" s="197" t="s">
        <v>380</v>
      </c>
      <c r="D133" s="200" t="s">
        <v>382</v>
      </c>
    </row>
    <row r="134" spans="1:18">
      <c r="A134" s="68" t="s">
        <v>166</v>
      </c>
      <c r="B134" s="49" t="s">
        <v>411</v>
      </c>
      <c r="C134" s="203"/>
    </row>
    <row r="135" spans="1:18">
      <c r="A135" s="68" t="s">
        <v>167</v>
      </c>
      <c r="B135" s="49" t="s">
        <v>412</v>
      </c>
      <c r="C135" s="192" t="s">
        <v>152</v>
      </c>
      <c r="D135" s="173" t="s">
        <v>152</v>
      </c>
      <c r="E135" s="173" t="s">
        <v>153</v>
      </c>
    </row>
    <row r="136" spans="1:18" ht="27" customHeight="1">
      <c r="A136" s="3" t="s">
        <v>168</v>
      </c>
      <c r="B136" s="72" t="str">
        <f>"dvigatel raqami "&amp;B137&amp;", shassi raqami - "&amp;B138&amp;""</f>
        <v>dvigatel raqami JL466Q1%E61H022801, shassi raqami - URINDIKLAR SONI 5TA</v>
      </c>
      <c r="C136" s="192">
        <v>72.13</v>
      </c>
      <c r="D136" s="204" t="s">
        <v>154</v>
      </c>
      <c r="E136" s="173" t="str">
        <f>CONCATENATE(C136," ","kv.m")</f>
        <v>72,13 kv.m</v>
      </c>
      <c r="F136" s="182">
        <f>C136-C139</f>
        <v>34.739999999999995</v>
      </c>
    </row>
    <row r="137" spans="1:18">
      <c r="A137" s="68" t="s">
        <v>169</v>
      </c>
      <c r="B137" s="57" t="s">
        <v>413</v>
      </c>
      <c r="C137" s="192"/>
      <c r="D137" s="204" t="s">
        <v>155</v>
      </c>
    </row>
    <row r="138" spans="1:18">
      <c r="A138" s="68" t="s">
        <v>170</v>
      </c>
      <c r="B138" s="49" t="s">
        <v>417</v>
      </c>
      <c r="C138" s="192"/>
    </row>
    <row r="139" spans="1:18" ht="25.5" customHeight="1">
      <c r="A139" s="3" t="s">
        <v>171</v>
      </c>
      <c r="B139" s="72" t="str">
        <f>"rangi -  "&amp;B140&amp;", ishlab chiqarilgan yili - "&amp;B141&amp;""</f>
        <v>rangi -  OQ BELIY, ishlab chiqarilgan yili - 2014</v>
      </c>
      <c r="C139" s="205" t="s">
        <v>379</v>
      </c>
      <c r="D139" s="204" t="s">
        <v>252</v>
      </c>
      <c r="E139" s="173" t="str">
        <f>CONCATENATE(C139," ","kv.m")</f>
        <v>37,39 kv.m</v>
      </c>
    </row>
    <row r="140" spans="1:18">
      <c r="A140" s="68" t="s">
        <v>172</v>
      </c>
      <c r="B140" s="49" t="s">
        <v>414</v>
      </c>
      <c r="C140" s="192"/>
    </row>
    <row r="141" spans="1:18" ht="30">
      <c r="A141" s="68" t="s">
        <v>173</v>
      </c>
      <c r="B141" s="57" t="s">
        <v>395</v>
      </c>
      <c r="C141" s="203">
        <v>44181</v>
      </c>
      <c r="D141" s="206" t="s">
        <v>383</v>
      </c>
    </row>
    <row r="142" spans="1:18" hidden="1">
      <c r="A142" s="3" t="s">
        <v>174</v>
      </c>
      <c r="B142" s="21">
        <f>B75*1.5</f>
        <v>40500000</v>
      </c>
      <c r="C142" s="207">
        <f>B142</f>
        <v>40500000</v>
      </c>
      <c r="D142" s="204" t="s">
        <v>174</v>
      </c>
    </row>
    <row r="143" spans="1:18" ht="27.75" hidden="1" customHeight="1">
      <c r="A143" s="167"/>
      <c r="B143"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142))&gt;6,ROMAN(MID(INT(B142),1,LEN(INT(B142))-6)+0)&amp;" million "&amp;ROMAN(MID(INT(B142),LEN(INT(B142))-5,3)+0)&amp;" ming "&amp;ROMAN(MID(INT(B142),LEN(INT(B142))-2,3)+0),IF(LEN(INT(B142))&gt;3,ROMAN(MID(INT(B142),1,LEN(INT(B142))-3)+0)&amp;" ming "&amp;ROMAN(MID(INT(B142),LEN(INT(B142))-2,3)+0),ROMAN(INT(B142)))),"DCCC","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43" s="207" t="str">
        <f>B143</f>
        <v>qirq million besh yuz ming so'm</v>
      </c>
    </row>
    <row r="144" spans="1:18" ht="27.75" hidden="1" customHeight="1">
      <c r="A144" s="3"/>
      <c r="B144" s="142" t="str">
        <f>B143</f>
        <v>qirq million besh yuz ming so'm</v>
      </c>
      <c r="C144" s="208"/>
    </row>
    <row r="145" spans="1:3" ht="20.25">
      <c r="A145" s="3" t="s">
        <v>345</v>
      </c>
      <c r="B145" s="52">
        <v>158581</v>
      </c>
      <c r="C145" s="173" t="s">
        <v>385</v>
      </c>
    </row>
    <row r="146" spans="1:3">
      <c r="A146" s="3" t="s">
        <v>373</v>
      </c>
      <c r="B146" s="49">
        <v>1</v>
      </c>
    </row>
    <row r="147" spans="1:3">
      <c r="A147" s="3" t="s">
        <v>156</v>
      </c>
      <c r="B147" s="2" t="s">
        <v>147</v>
      </c>
      <c r="C147" s="173">
        <v>1</v>
      </c>
    </row>
    <row r="148" spans="1:3" hidden="1">
      <c r="A148" s="3" t="s">
        <v>157</v>
      </c>
      <c r="B148" s="4" t="str">
        <f>B70</f>
        <v>11 mart 2025 y.</v>
      </c>
      <c r="C148" s="173" t="str">
        <f>B70</f>
        <v>11 mart 2025 y.</v>
      </c>
    </row>
    <row r="149" spans="1:3" hidden="1">
      <c r="A149" s="3"/>
      <c r="B149" s="1">
        <f>YEAR(B67)</f>
        <v>2025</v>
      </c>
    </row>
    <row r="150" spans="1:3" hidden="1">
      <c r="A150" s="3"/>
      <c r="B150" s="145" t="str">
        <f>D67</f>
        <v>mart</v>
      </c>
    </row>
    <row r="151" spans="1:3" hidden="1">
      <c r="A151" s="3"/>
      <c r="B151" s="1">
        <f>DAY(B67)</f>
        <v>11</v>
      </c>
    </row>
    <row r="152" spans="1:3">
      <c r="A152" s="271" t="s">
        <v>354</v>
      </c>
      <c r="B152" s="271"/>
    </row>
    <row r="153" spans="1:3">
      <c r="A153" s="3" t="s">
        <v>175</v>
      </c>
      <c r="B153" s="1" t="s">
        <v>378</v>
      </c>
    </row>
    <row r="154" spans="1:3">
      <c r="A154" s="3"/>
      <c r="B154" s="1" t="s">
        <v>378</v>
      </c>
    </row>
    <row r="155" spans="1:3">
      <c r="A155" s="3"/>
      <c r="B155" s="1" t="s">
        <v>378</v>
      </c>
    </row>
    <row r="156" spans="1:3">
      <c r="A156" s="214" t="s">
        <v>419</v>
      </c>
      <c r="B156" s="213" t="s">
        <v>421</v>
      </c>
    </row>
    <row r="157" spans="1:3">
      <c r="A157" s="214"/>
      <c r="B157" s="213" t="s">
        <v>420</v>
      </c>
    </row>
    <row r="158" spans="1:3" hidden="1">
      <c r="A158" s="3" t="s">
        <v>179</v>
      </c>
      <c r="B158" s="1" t="s">
        <v>176</v>
      </c>
    </row>
    <row r="159" spans="1:3" ht="28.5" hidden="1">
      <c r="A159" s="3" t="s">
        <v>180</v>
      </c>
      <c r="B159" s="1" t="s">
        <v>177</v>
      </c>
    </row>
    <row r="160" spans="1:3" hidden="1">
      <c r="A160" s="3" t="s">
        <v>181</v>
      </c>
      <c r="B160" s="1" t="s">
        <v>25</v>
      </c>
    </row>
    <row r="161" spans="1:2" hidden="1">
      <c r="A161" s="3" t="s">
        <v>182</v>
      </c>
      <c r="B161" s="1" t="s">
        <v>23</v>
      </c>
    </row>
    <row r="162" spans="1:2" hidden="1">
      <c r="A162" s="3" t="s">
        <v>183</v>
      </c>
      <c r="B162" s="1" t="s">
        <v>178</v>
      </c>
    </row>
    <row r="163" spans="1:2" hidden="1">
      <c r="A163" s="3" t="s">
        <v>184</v>
      </c>
      <c r="B163" s="2" t="s">
        <v>26</v>
      </c>
    </row>
    <row r="164" spans="1:2" hidden="1">
      <c r="A164" s="3" t="s">
        <v>185</v>
      </c>
      <c r="B164" s="1" t="s">
        <v>333</v>
      </c>
    </row>
    <row r="165" spans="1:2">
      <c r="A165" s="3" t="s">
        <v>418</v>
      </c>
      <c r="B165" s="1" t="s">
        <v>422</v>
      </c>
    </row>
    <row r="166" spans="1:2">
      <c r="A166" s="223" t="s">
        <v>376</v>
      </c>
      <c r="B166" s="1" t="s">
        <v>424</v>
      </c>
    </row>
    <row r="167" spans="1:2">
      <c r="A167" s="216" t="s">
        <v>419</v>
      </c>
      <c r="B167" s="215" t="s">
        <v>421</v>
      </c>
    </row>
    <row r="168" spans="1:2">
      <c r="A168" s="3" t="s">
        <v>186</v>
      </c>
      <c r="B168" s="2" t="s">
        <v>346</v>
      </c>
    </row>
    <row r="169" spans="1:2">
      <c r="A169" s="3" t="s">
        <v>187</v>
      </c>
      <c r="B169" s="2" t="s">
        <v>347</v>
      </c>
    </row>
    <row r="170" spans="1:2">
      <c r="A170" s="3" t="s">
        <v>188</v>
      </c>
      <c r="B170" s="1" t="str">
        <f>B1</f>
        <v>№ 23-AL</v>
      </c>
    </row>
    <row r="171" spans="1:2">
      <c r="A171" s="3" t="s">
        <v>189</v>
      </c>
      <c r="B171" s="4" t="str">
        <f>B70</f>
        <v>11 mart 2025 y.</v>
      </c>
    </row>
  </sheetData>
  <mergeCells count="7">
    <mergeCell ref="A152:B152"/>
    <mergeCell ref="A103:B103"/>
    <mergeCell ref="A4:B4"/>
    <mergeCell ref="A57:B57"/>
    <mergeCell ref="A64:B64"/>
    <mergeCell ref="A97:B97"/>
    <mergeCell ref="A91:B91"/>
  </mergeCells>
  <phoneticPr fontId="62" type="noConversion"/>
  <dataValidations count="13">
    <dataValidation type="list" allowBlank="1" showInputMessage="1" showErrorMessage="1" sqref="B30" xr:uid="{00000000-0002-0000-0300-000000000000}">
      <formula1>$C$30:$D$30</formula1>
    </dataValidation>
    <dataValidation type="list" allowBlank="1" showInputMessage="1" showErrorMessage="1" sqref="B99" xr:uid="{00000000-0002-0000-0300-000001000000}">
      <formula1>$C$99:$D$99</formula1>
    </dataValidation>
    <dataValidation type="list" allowBlank="1" showInputMessage="1" showErrorMessage="1" sqref="B109" xr:uid="{00000000-0002-0000-0300-000002000000}">
      <formula1>$C$109:$D$109</formula1>
    </dataValidation>
    <dataValidation type="list" allowBlank="1" showInputMessage="1" showErrorMessage="1" sqref="B77" xr:uid="{00000000-0002-0000-0300-000003000000}">
      <formula1>$C$77:$D$77</formula1>
    </dataValidation>
    <dataValidation type="list" allowBlank="1" showInputMessage="1" showErrorMessage="1" sqref="C135" xr:uid="{00000000-0002-0000-0300-000004000000}">
      <formula1>$D$135:$E$135</formula1>
    </dataValidation>
    <dataValidation type="list" allowBlank="1" showInputMessage="1" showErrorMessage="1" sqref="B98" xr:uid="{00000000-0002-0000-0300-000005000000}">
      <formula1>$C$98:$D$98</formula1>
    </dataValidation>
    <dataValidation type="list" allowBlank="1" showInputMessage="1" showErrorMessage="1" sqref="B100" xr:uid="{00000000-0002-0000-0300-000006000000}">
      <formula1>$C$100:$D$100</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115" zoomScale="130" zoomScaleNormal="55" zoomScaleSheetLayoutView="130" workbookViewId="0">
      <selection activeCell="C135" sqref="C135"/>
    </sheetView>
  </sheetViews>
  <sheetFormatPr defaultColWidth="9.140625" defaultRowHeight="15.75"/>
  <cols>
    <col min="1" max="1" width="50.140625" style="6" customWidth="1"/>
    <col min="2" max="2" width="58.8554687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274" t="str">
        <f>""&amp;malumot!C64&amp;" shartnoma "&amp;malumot!B66&amp;""</f>
        <v>Mikroqarz shartnoma № 23-AL</v>
      </c>
      <c r="B1" s="274"/>
    </row>
    <row r="3" spans="1:3">
      <c r="A3" s="274" t="str">
        <f>"Toshkent shahri                                                                               "&amp;malumot!B70&amp;""</f>
        <v>Toshkent shahri                                                                               11 mart 2025 y.</v>
      </c>
      <c r="B3" s="274"/>
    </row>
    <row r="4" spans="1:3">
      <c r="A4" s="66"/>
    </row>
    <row r="5" spans="1:3" ht="132.75" customHeight="1">
      <c r="A5" s="275" t="str">
        <f>""&amp;malumot!B153&amp;", bundan buyon «Mikromoliya tashkiloti» deb nomlanuvchi, ishonchnoma asosida xarakat qiluvchi "&amp;malumot!A156&amp;" "&amp;malumot!B156&amp;"  bir tomondan va o‘z manfaati yo‘lida hamda o‘z nomidan harakat qiluvchi O‘zbekiston Respublikasi fuqarosi "&amp;malumot!B5&amp;"  (pasport raqami "&amp;malumot!B16&amp;", "&amp;malumot!C20&amp;" ), bundan buyon «Qarz oluvchi» deb nomlanuvchi, boshqa tomondan, birgalikda “Tomonlar” yoki alohida “Tomon” deb nomlanuvchilar, Qarz oluvchi tomonidan "&amp;TEXT(malumot!B2,"ДД.ММ.ГГГГ")&amp;" yil,"&amp;malumot!B65&amp;" olish uchun ariza berilganligini hisobga olib, ushbu "&amp;malumot!C64&amp;" shartnomasini (bundan keyin – «Shartnoma») quyidagilar haqida tuzdilar:"</f>
        <v>«CLEVER MIKROMOLIYA TASHKILOTI» MChJ, bundan buyon «Mikromoliya tashkiloti» deb nomlanuvchi, ishonchnoma asosida xarakat qiluvchi Olmaliq filiali boshlig'i V. Yerjanov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275"/>
    </row>
    <row r="7" spans="1:3">
      <c r="A7" s="274" t="s">
        <v>262</v>
      </c>
      <c r="B7" s="274"/>
    </row>
    <row r="8" spans="1:3" ht="51.75" customHeight="1">
      <c r="A8" s="275" t="str">
        <f>"1.1. Mikromoliya tashkiloti Qarz oluvchiga umumiy miqdori "&amp;FIXED(malumot!B75,2)&amp;" ("&amp;malumot!C76&amp;") bo‘lgan "&amp;malumot!B65&amp;"ni "&amp;malumot!B71&amp;" dan "&amp;malumot!B73&amp;"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275"/>
    </row>
    <row r="9" spans="1:3" ht="36" customHeight="1">
      <c r="A9" s="275" t="str">
        <f>"1.2. Qarz oluvchi to‘lovlilik, muddatlilik va ta’minlanganlik tamoyillariga amal qilgan holda "&amp;malumot!B65&amp;"dan foydalanish majburiyatini o‘z zimmasiga oladi."</f>
        <v>1.2. Qarz oluvchi to‘lovlilik, muddatlilik va ta’minlanganlik tamoyillariga amal qilgan holda mikroqarzdan foydalanish majburiyatini o‘z zimmasiga oladi.</v>
      </c>
      <c r="B9" s="275"/>
    </row>
    <row r="10" spans="1:3">
      <c r="A10" s="32"/>
    </row>
    <row r="11" spans="1:3">
      <c r="A11" s="278" t="str">
        <f>"2. "&amp;malumot!D64&amp;" BERISH VA QAYTARISH TARTIBI"</f>
        <v>2. MIKROQARZ BERISH VA QAYTARISH TARTIBI</v>
      </c>
      <c r="B11" s="278"/>
      <c r="C11" s="64"/>
    </row>
    <row r="12" spans="1:3" ht="36" customHeight="1">
      <c r="A12" s="275" t="str">
        <f>"2.1. Ushbu Shartnomaning 1.1.-bandida ko‘rsatilgan summa miqdoridagi "&amp;malumot!B65&amp;"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75"/>
    </row>
    <row r="13" spans="1:3" ht="35.25" customHeight="1">
      <c r="A13" s="275" t="str">
        <f>"2.2. "&amp;malumot!C64&amp;"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75"/>
    </row>
    <row r="14" spans="1:3" ht="35.25" customHeight="1">
      <c r="A14" s="275" t="str">
        <f>"2.3. "&amp;malumot!C64&amp;"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75"/>
    </row>
    <row r="15" spans="1:3" ht="69.75" customHeight="1">
      <c r="A15" s="275" t="str">
        <f>"2.4. Mikromoliya tashkiloti, "&amp;malumot!B65&amp;" berilgan vaqtdan boshlab, "&amp;malumot!B65&amp;" miqdorining qoldiq summasiga "&amp;malumot!B85&amp;"% ("&amp;malumot!C86&amp;") foiz yillik va yiliga 365/366 kunlik hisobidan foizlar hisoblaydi. To'lov jadvaliga muvofiq asosiy qarz bo'yicha navbatdagi to'lov buzilgan hollarda, "&amp;"foiz stavkasi oshiriladi va  Mikromoliya tashkiloti "&amp;malumot!B65&amp;"ning muddati o'tgan asosiy qarz summasiga yillik "&amp;malumot!B88&amp;" ("&amp;malumot!B89&amp;")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75"/>
    </row>
    <row r="16" spans="1:3" ht="177.75" customHeight="1">
      <c r="A16" s="275" t="s">
        <v>329</v>
      </c>
      <c r="B16" s="275"/>
    </row>
    <row r="17" spans="1:11" ht="161.25" customHeight="1">
      <c r="A17" s="275"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75"/>
      <c r="C17" s="149" t="s">
        <v>334</v>
      </c>
      <c r="H17" s="6" t="str">
        <f>malumot!B65</f>
        <v>mikroqarz</v>
      </c>
      <c r="I17" s="6" t="s">
        <v>335</v>
      </c>
    </row>
    <row r="18" spans="1:11" ht="100.5" customHeight="1">
      <c r="A18" s="277" t="s">
        <v>374</v>
      </c>
      <c r="B18" s="277"/>
    </row>
    <row r="19" spans="1:11" ht="36" customHeight="1">
      <c r="A19" s="275" t="str">
        <f>"2.7. Qarz oluvchi Mikromoliya tashkilotining "&amp;malumot!B65&amp;"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75"/>
    </row>
    <row r="20" spans="1:11" ht="48.75" customHeight="1">
      <c r="A20" s="275" t="str">
        <f>"2.8. Qarz oluvchi "&amp;malumot!B65&amp;"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75"/>
    </row>
    <row r="21" spans="1:11" ht="113.25" customHeight="1">
      <c r="A21" s="279"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79"/>
      <c r="C21" s="6" t="str">
        <f>"2.9. Qarz oluvchi jismoniy shaxslarning kreditlar ("&amp;malumot!B65&amp;"lar)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"&amp;malumot!B65&amp;"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278" t="str">
        <f>"3. "&amp;malumot!D64&amp;" TA'MINOTI BO‘YICHA "</f>
        <v xml:space="preserve">3. MIKROQARZ TA'MINOTI BO‘YICHA </v>
      </c>
      <c r="B22" s="278"/>
    </row>
    <row r="23" spans="1:11" ht="19.5" customHeight="1">
      <c r="A23" s="275" t="str">
        <f>"3.1. Ushbu Shartnoma bo‘yicha taqdim etilgan "&amp;malumot!C64&amp;" quyidagi garov bilan ta'minlanadi:"</f>
        <v>3.1. Ushbu Shartnoma bo‘yicha taqdim etilgan Mikroqarz quyidagi garov bilan ta'minlanadi:</v>
      </c>
      <c r="B23" s="275"/>
    </row>
    <row r="24" spans="1:11" ht="151.5" customHeight="1">
      <c r="A24" s="276" t="str">
        <f>IF(malumot!B109=malumot!C109,shartnoma!A28,IF(malumot!B109=malumot!D109,shartnoma!A25,0))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276"/>
    </row>
    <row r="25" spans="1:11" ht="129" hidden="1" customHeight="1">
      <c r="A25" s="275" t="str">
        <f>IF(malumot!B98=malumot!C98,shartnoma!A27,IF(malumot!B98=malumot!D98,shartnoma!A26,0))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275"/>
    </row>
    <row r="26" spans="1:11" ht="129.75" hidden="1" customHeight="1">
      <c r="A26" s="276" t="str">
        <f>"3.1.1. "&amp;malumot!N132&amp;" tomonidan "&amp;malumot!B149&amp;" yil "&amp;malumot!B151&amp;" "&amp;malumot!B150&amp;"da imzolangan 1-sonli navbatdagi garov predmeti qiymatini tasdiqlash dalolatnomasiga muvofiq "&amp;malumot!C129&amp;" manzilida joylashgan, "&amp;malumot!E132&amp;" bo'lgan, "&amp;malumot!E131&amp;" ko'rinishidagi ko'chmas mulk (bundan keyin “navbatdagi garov predmeti”), egalik huquqiga ko'ra  "&amp;malumot!C123&amp;"ga tegishli va kelishilgan garov qiymati "&amp;malumot!B149&amp;" yil "&amp;malumot!B151&amp;" "&amp;malumot!B150&amp;"da imzolangan 1-sonli Garov predmeti qiymatini tasdiqlash dalolatnomasiga muvofiq "&amp;FIXED(malumot!B142,2)&amp;" ("&amp;malumot!B144&amp;")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276"/>
    </row>
    <row r="27" spans="1:11" ht="131.25" hidden="1" customHeight="1">
      <c r="A27" s="275" t="str">
        <f>"3.1.1. "&amp;malumot!N132&amp;" tomonidan "&amp;malumot!B149&amp;" yil "&amp;malumot!B151&amp;" "&amp;malumot!B150&amp;"da imzolangan 1-sonli Garov predmeti qiymatini tasdiqlash dalolatnomasiga muvofiq "&amp;malumot!C129&amp;" manzilida joylashgan, "&amp;malumot!E132&amp;" bo'lgan, "&amp;malumot!E131&amp;" ko'rinishidagi ko'chmas mulk (bundan keyin “Garov predmeti”), egalik huquqiga ko'ra  "&amp;malumot!C123&amp;"ga tegishli va kelishilgan garov qiymati "&amp;malumot!B149&amp;" yil "&amp;malumot!B151&amp;" "&amp;malumot!B150&amp;"da imzolangan 1-sonli Garov predmeti qiymatini tasdiqlash dalolatnomasiga muvofiq "&amp;FIXED(malumot!B142,2)&amp;" ("&amp;malumot!B144&amp;")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275"/>
    </row>
    <row r="28" spans="1:11" ht="114" hidden="1" customHeight="1">
      <c r="A28" s="276" t="str">
        <f>IF(malumot!B98=malumot!C98,A29,IF(malumot!B98=malumot!D98,A30,0))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276"/>
      <c r="K28" s="6" t="s">
        <v>326</v>
      </c>
    </row>
    <row r="29" spans="1:11" ht="114.75" hidden="1" customHeight="1">
      <c r="A29" s="276" t="str">
        <f>"3.1.1. "&amp;malumot!N132&amp;" tomonidan "&amp;malumot!B149&amp;" yil "&amp;malumot!B151&amp;" "&amp;malumot!B150&amp;"da imzolangan 1-sonli garov predmeti qiymatini tasdiqlash dalolatnomasiga muvofiq "&amp;malumot!B140&amp;" rangli, ishlab chiqarilgan yili – "&amp;malumot!B141&amp;" yil,  dvigatel raqami "&amp;malumot!B137&amp;", shassi - "&amp;malumot!B138&amp;",  kuzov turi - "&amp;malumot!B134&amp;", kuzov raqami №"&amp;malumot!B135&amp;", davlat raqam belgisi "&amp;malumot!B132&amp;" bo'lgan "&amp;malumot!B131&amp;" rusumli avtomashinasi (bundan keyin “Garov predmeti”), egalik huquqiga ega  "&amp;malumot!B123&amp;"ga tegishli va kelishilgan garov qiymati "&amp;malumot!B149&amp;" yil "&amp;malumot!B151&amp;" "&amp;malumot!B150&amp;"da imzolangan 1-sonli Garov predmeti qiymatini tasdiqlash dalolatnomasiga muvifiq "&amp;FIXED(malumot!B142,2)&amp;" ("&amp;malumot!B144&amp;")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276"/>
    </row>
    <row r="30" spans="1:11" ht="115.5" hidden="1" customHeight="1">
      <c r="A30" s="281" t="str">
        <f>"3.1.1. "&amp;malumot!N132&amp;" tomonidan "&amp;malumot!B149&amp;" yil "&amp;malumot!B151&amp;" "&amp;malumot!B150&amp;"da imzolangan 1-sonli navbatdagi garov predmeti qiymatini tasdiqlash dalolatnomasiga muvofiq "&amp;malumot!B140&amp;" rangli, ishlab chiqarilgan yili – "&amp;malumot!B141&amp;" yil,  dvigatel raqami "&amp;malumot!B137&amp;", shassi - "&amp;malumot!B138&amp;",  kuzov turi - "&amp;malumot!B134&amp;", kuzov raqami №"&amp;malumot!B135&amp;", davlat raqam belgisi "&amp;malumot!B132&amp;" bo'lgan "&amp;malumot!B131&amp;" rusumli avtomashinasi (bundan keyin “navbatdagi garov predmeti”), egalik huquqiga ega  "&amp;malumot!B123&amp;"ga tegishli va kelishilgan garov qiymati "&amp;malumot!B149&amp;" yil "&amp;malumot!B151&amp;" "&amp;malumot!B150&amp;"da imzolangan 1-sonli Garov predmeti qiymatini tasdiqlash dalolatnomasiga muvifiq "&amp;FIXED(malumot!B142,2)&amp;" ("&amp;malumot!B144&amp;")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281"/>
    </row>
    <row r="31" spans="1:11" ht="117" customHeight="1">
      <c r="A31" s="280"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280"/>
    </row>
    <row r="32" spans="1:11" ht="94.5" hidden="1">
      <c r="A32" s="153" t="s">
        <v>356</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63" hidden="1">
      <c r="A33" s="153" t="str">
        <f>" Mikromoliya tashkilotiga taqdim etilishi lozim. Garov shartnomasi belgilangan muddatda taqdim etilmagan hollarda, Mikromoliya tashkiloti Qarz oluvchining manziliga yozma bildirishnoma yuborish orqali "&amp;malumot!B65&amp;""</f>
        <v xml:space="preserve"> Mikromoliya tashkilotiga taqdim etilishi lozim. Garov shartnomasi belgilangan muddatda taqdim etilmagan hollarda, Mikromoliya tashkiloti Qarz oluvchining manziliga yozma bildirishnoma yuborish orqali mikroqarz</v>
      </c>
      <c r="B33" s="32" t="s">
        <v>337</v>
      </c>
    </row>
    <row r="34" spans="1:8" ht="85.5" customHeight="1">
      <c r="A34" s="280" t="s">
        <v>263</v>
      </c>
      <c r="B34" s="280"/>
    </row>
    <row r="35" spans="1:8" ht="84" customHeight="1">
      <c r="A35" s="280" t="s">
        <v>314</v>
      </c>
      <c r="B35" s="280"/>
    </row>
    <row r="37" spans="1:8">
      <c r="A37" s="283" t="s">
        <v>313</v>
      </c>
      <c r="B37" s="283"/>
      <c r="C37" s="71"/>
    </row>
    <row r="38" spans="1:8">
      <c r="A38" s="282" t="s">
        <v>312</v>
      </c>
      <c r="B38" s="282"/>
    </row>
    <row r="39" spans="1:8" ht="114" customHeight="1">
      <c r="A39" s="280"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280"/>
      <c r="C39" s="6" t="str">
        <f>"4.1.1. Ushbu Shartnomada ko‘rsatilgan asoslar bo‘yicha Qarz oluvchiga Shartnomada ko‘zda tutilgan "&amp;malumot!B65&amp;""</f>
        <v>4.1.1. Ushbu Shartnomada ko‘rsatilgan asoslar bo‘yicha Qarz oluvchiga Shartnomada ko‘zda tutilgan mikroqarz</v>
      </c>
      <c r="H39" s="149" t="s">
        <v>388</v>
      </c>
    </row>
    <row r="40" spans="1:8" ht="39" customHeight="1">
      <c r="A40" s="280" t="str">
        <f>"4.1.2.1. "&amp;malumot!C64&amp;"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280"/>
    </row>
    <row r="41" spans="1:8">
      <c r="A41" s="280" t="s">
        <v>315</v>
      </c>
      <c r="B41" s="280"/>
    </row>
    <row r="42" spans="1:8" ht="33" customHeight="1">
      <c r="A42" s="280" t="str">
        <f>"b) "&amp;malumot!B65&amp;" summasiga hisoblanadigan asosiy qarz bo‘yicha muddati o‘tgan qarzdorlik va/yoki foizlarning yuzaga kelishi;"</f>
        <v>b) mikroqarz summasiga hisoblanadigan asosiy qarz bo‘yicha muddati o‘tgan qarzdorlik va/yoki foizlarning yuzaga kelishi;</v>
      </c>
      <c r="B42" s="280"/>
    </row>
    <row r="43" spans="1:8" ht="37.5" customHeight="1">
      <c r="A43" s="280" t="s">
        <v>316</v>
      </c>
      <c r="B43" s="280"/>
    </row>
    <row r="44" spans="1:8" ht="52.5" customHeight="1">
      <c r="A44" s="280" t="s">
        <v>317</v>
      </c>
      <c r="B44" s="280"/>
    </row>
    <row r="45" spans="1:8" ht="19.5" customHeight="1">
      <c r="A45" s="280" t="s">
        <v>318</v>
      </c>
      <c r="B45" s="280"/>
    </row>
    <row r="46" spans="1:8" ht="51.75" customHeight="1">
      <c r="A46" s="280" t="str">
        <f>"f) Qarz oluvchi "&amp;malumot!B65&amp;" summasini olish uchun Mikromoliya tashkilotiga "&amp;malumot!B65&amp;"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280"/>
    </row>
    <row r="47" spans="1:8" ht="33.75" customHeight="1">
      <c r="A47" s="280" t="s">
        <v>311</v>
      </c>
      <c r="B47" s="280"/>
    </row>
    <row r="48" spans="1:8" ht="36.75" customHeight="1">
      <c r="A48" s="280" t="s">
        <v>310</v>
      </c>
      <c r="B48" s="280"/>
      <c r="C48" s="153"/>
    </row>
    <row r="49" spans="1:8" ht="100.5" customHeight="1">
      <c r="A49" s="275" t="s">
        <v>309</v>
      </c>
      <c r="B49" s="275"/>
      <c r="C49" s="153"/>
    </row>
    <row r="50" spans="1:8" ht="70.5" customHeight="1">
      <c r="A50" s="275" t="s">
        <v>308</v>
      </c>
      <c r="B50" s="275"/>
      <c r="C50" s="153"/>
    </row>
    <row r="51" spans="1:8" ht="39.75" customHeight="1">
      <c r="A51" s="275" t="str">
        <f>"4.1.7. Qarz oluvchini oldindan ogohlantirmasdan "&amp;malumot!B65&amp;"ni qaytarish uchun haqiqatdan ham garov ta'minoti mavjudligini tekshirishni amalga oshirish."</f>
        <v>4.1.7. Qarz oluvchini oldindan ogohlantirmasdan mikroqarzni qaytarish uchun haqiqatdan ham garov ta'minoti mavjudligini tekshirishni amalga oshirish.</v>
      </c>
      <c r="B51" s="275"/>
      <c r="C51" s="153"/>
    </row>
    <row r="52" spans="1:8" ht="33" customHeight="1">
      <c r="A52" s="275" t="s">
        <v>319</v>
      </c>
      <c r="B52" s="275"/>
      <c r="C52" s="153"/>
    </row>
    <row r="53" spans="1:8" ht="39.75" customHeight="1">
      <c r="A53" s="275" t="s">
        <v>307</v>
      </c>
      <c r="B53" s="275"/>
      <c r="C53" s="153"/>
    </row>
    <row r="54" spans="1:8" ht="50.25" customHeight="1">
      <c r="A54" s="275"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75"/>
      <c r="C54" s="153" t="str">
        <f>"4.1.10. Qarz oluvchi taqdim etilgan "&amp;malumot!B65&amp;"dan Shartnoma tuzilgan kundan boshlab 1 (bir) oy davomida foydalanmagan"</f>
        <v>4.1.10. Qarz oluvchi taqdim etilgan mikroqarzdan Shartnoma tuzilgan kundan boshlab 1 (bir) oy davomida foydalanmagan</v>
      </c>
      <c r="H54" s="6" t="s">
        <v>338</v>
      </c>
    </row>
    <row r="55" spans="1:8" ht="19.5" customHeight="1">
      <c r="A55" s="275" t="str">
        <f>"4.1.11. Oldingi "&amp;malumot!B65&amp;" to‘liq to‘lanmagunga qadar yangi "&amp;malumot!B65&amp;" berishni rad etish."</f>
        <v>4.1.11. Oldingi mikroqarz to‘liq to‘lanmagunga qadar yangi mikroqarz berishni rad etish.</v>
      </c>
      <c r="B55" s="275"/>
      <c r="C55" s="153"/>
    </row>
    <row r="57" spans="1:8">
      <c r="A57" s="278" t="s">
        <v>306</v>
      </c>
      <c r="B57" s="278"/>
      <c r="C57" s="152"/>
    </row>
    <row r="58" spans="1:8">
      <c r="A58" s="284" t="s">
        <v>305</v>
      </c>
      <c r="B58" s="284"/>
      <c r="C58" s="154"/>
    </row>
    <row r="59" spans="1:8" ht="36" customHeight="1">
      <c r="A59" s="275" t="str">
        <f>"5.1.1. Ushbu shartnomada nazarda tutilgan shartlar bo‘yicha "&amp;malumot!B65&amp;"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75"/>
      <c r="C59" s="153"/>
    </row>
    <row r="60" spans="1:8" ht="36.75" customHeight="1">
      <c r="A60" s="275" t="str">
        <f>"5.1.2. Shartnoma tuzilgan kundan boshlab 2 (ikki) hafta mobaynida Mikromoliya tashkilotiga bu haqda yozma xabarnoma yo‘llash orqali "&amp;malumot!B65&amp;"ning foydalanilmagan summasidan voz kechish."</f>
        <v>5.1.2. Shartnoma tuzilgan kundan boshlab 2 (ikki) hafta mobaynida Mikromoliya tashkilotiga bu haqda yozma xabarnoma yo‘llash orqali mikroqarzning foydalanilmagan summasidan voz kechish.</v>
      </c>
      <c r="B60" s="275"/>
      <c r="C60" s="153"/>
    </row>
    <row r="61" spans="1:8" ht="17.25" customHeight="1">
      <c r="A61" s="275" t="str">
        <f>"5.1.3. "&amp;malumot!C64&amp;" xizmatlari ko‘rsatish qoidalari bilan tanishish."</f>
        <v>5.1.3. Mikroqarz xizmatlari ko‘rsatish qoidalari bilan tanishish.</v>
      </c>
      <c r="B61" s="275"/>
      <c r="C61" s="153"/>
    </row>
    <row r="62" spans="1:8" ht="36" customHeight="1">
      <c r="A62" s="275" t="str">
        <f>"5.1.4. O‘z huquq va majburiyatlari, shu jumladan "&amp;malumot!B65&amp;" xizmatlari ko‘rsatish bilan bog‘liq barcha xarajatlar haqida aniq va to‘liq ma'lumot olish."</f>
        <v>5.1.4. O‘z huquq va majburiyatlari, shu jumladan mikroqarz xizmatlari ko‘rsatish bilan bog‘liq barcha xarajatlar haqida aniq va to‘liq ma'lumot olish.</v>
      </c>
      <c r="B62" s="275"/>
      <c r="C62" s="153"/>
    </row>
    <row r="63" spans="1:8" ht="33.75" customHeight="1">
      <c r="A63" s="275" t="s">
        <v>320</v>
      </c>
      <c r="B63" s="275"/>
      <c r="C63" s="153"/>
    </row>
    <row r="64" spans="1:8">
      <c r="A64" s="284" t="s">
        <v>304</v>
      </c>
      <c r="B64" s="284"/>
      <c r="C64" s="154"/>
    </row>
    <row r="65" spans="1:8" ht="37.5" customHeight="1">
      <c r="A65" s="275" t="str">
        <f>"5.2.1. Mikromoliya tashkilotining birinchi talabi bilan zarur hujjatlar, shuningdek "&amp;malumot!B65&amp;"dan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75"/>
      <c r="C65" s="153"/>
    </row>
    <row r="66" spans="1:8" ht="39.75" customHeight="1">
      <c r="A66" s="275" t="s">
        <v>321</v>
      </c>
      <c r="B66" s="275"/>
      <c r="C66" s="153"/>
    </row>
    <row r="67" spans="1:8" ht="27" customHeight="1">
      <c r="A67" s="275" t="str">
        <f>"5.2.3. To‘lov jadvaliga muvofiq "&amp;malumot!B65&amp;", shuningdek hisoblangan foizlar to‘lovlarini amalga oshirish."</f>
        <v>5.2.3. To‘lov jadvaliga muvofiq mikroqarz, shuningdek hisoblangan foizlar to‘lovlarini amalga oshirish.</v>
      </c>
      <c r="B67" s="275"/>
      <c r="C67" s="153"/>
    </row>
    <row r="68" spans="1:8" ht="84" customHeight="1">
      <c r="A68" s="275"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75"/>
      <c r="C68" s="153" t="s">
        <v>339</v>
      </c>
      <c r="H68" s="6" t="str">
        <f>" "&amp;malumot!B65&amp;"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75" t="s">
        <v>322</v>
      </c>
      <c r="B69" s="275"/>
      <c r="C69" s="153"/>
    </row>
    <row r="70" spans="1:8" ht="36" customHeight="1">
      <c r="A70" s="275" t="str">
        <f>"5.2.6. Quyidagi holatlarda Mikromoliya tashkilotning birinchi talabi bilan "&amp;malumot!B65&amp;" qaytarilishi bo‘yicha qo‘shimcha garov ta'minotini taqdim etish: "</f>
        <v xml:space="preserve">5.2.6. Quyidagi holatlarda Mikromoliya tashkilotning birinchi talabi bilan mikroqarz qaytarilishi bo‘yicha qo‘shimcha garov ta'minotini taqdim etish: </v>
      </c>
      <c r="B70" s="275"/>
      <c r="C70" s="153"/>
    </row>
    <row r="71" spans="1:8" ht="51.75" customHeight="1">
      <c r="A71" s="277" t="s">
        <v>340</v>
      </c>
      <c r="B71" s="277"/>
      <c r="C71" s="156"/>
    </row>
    <row r="72" spans="1:8" ht="71.25" customHeight="1">
      <c r="A72" s="275" t="str">
        <f>"5.2.7. Sud qarori asosida Qarz oluvchi – jismoniy shaxsning muomalaga layoqatsizligi yoki muomalaga layoqati cheklangan yoxud to‘lash qobiliyatiga ega emasligi (bankrotligi) tan olinganda, uning vasiysi yoki homiysi "&amp;malumot!B65&amp;"ning asosiy summa bo‘yicha qarzdorlikni "&amp;malumot!B65&amp;"dan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75"/>
      <c r="C72" s="153"/>
    </row>
    <row r="73" spans="1:8" ht="33.75" customHeight="1">
      <c r="A73" s="275" t="str">
        <f>"5.2.8. Mikromoliya tashkilotining "&amp;malumot!B65&amp;"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75"/>
      <c r="C73" s="153"/>
      <c r="H73" s="6" t="s">
        <v>336</v>
      </c>
    </row>
    <row r="74" spans="1:8" ht="68.25" customHeight="1">
      <c r="A74" s="275"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75"/>
      <c r="C74" s="153" t="str">
        <f>"5.2.9. Mikromoliya tashkilotining talabi bo‘yicha Mikromoliya tashkiloti ko‘rgan, shu jumladan "&amp;malumot!B65&amp;" bo‘yicha (asosiy qarz, foizlar va boshqalar)"</f>
        <v>5.2.9. Mikromoliya tashkilotining talabi bo‘yicha Mikromoliya tashkiloti ko‘rgan, shu jumladan mikroqarz bo‘yicha (asosiy qarz, foizlar va boshqalar)</v>
      </c>
      <c r="H74" s="6" t="s">
        <v>341</v>
      </c>
    </row>
    <row r="75" spans="1:8">
      <c r="A75" s="69"/>
    </row>
    <row r="76" spans="1:8">
      <c r="A76" s="283" t="s">
        <v>303</v>
      </c>
      <c r="B76" s="283"/>
      <c r="C76" s="155"/>
    </row>
    <row r="77" spans="1:8" ht="98.25" customHeight="1">
      <c r="A77" s="275"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75"/>
      <c r="C77" s="153" t="s">
        <v>342</v>
      </c>
      <c r="H77" s="6" t="str">
        <f>""&amp;malumot!B65&amp;"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75" t="s">
        <v>302</v>
      </c>
      <c r="B78" s="275"/>
      <c r="C78" s="153"/>
    </row>
    <row r="79" spans="1:8" ht="35.25" customHeight="1">
      <c r="A79" s="275" t="s">
        <v>301</v>
      </c>
      <c r="B79" s="275"/>
      <c r="C79" s="153"/>
    </row>
    <row r="80" spans="1:8" ht="33" customHeight="1">
      <c r="A80" s="275" t="s">
        <v>300</v>
      </c>
      <c r="B80" s="275"/>
      <c r="C80" s="153"/>
    </row>
    <row r="82" spans="1:3">
      <c r="A82" s="285" t="s">
        <v>299</v>
      </c>
      <c r="B82" s="285"/>
      <c r="C82" s="65"/>
    </row>
    <row r="83" spans="1:3" ht="162.75" customHeight="1">
      <c r="A83" s="275" t="s">
        <v>298</v>
      </c>
      <c r="B83" s="275"/>
      <c r="C83" s="153"/>
    </row>
    <row r="84" spans="1:3" ht="33.75" customHeight="1">
      <c r="A84" s="275" t="s">
        <v>343</v>
      </c>
      <c r="B84" s="275"/>
      <c r="C84" s="153"/>
    </row>
    <row r="85" spans="1:3" ht="51.75" customHeight="1">
      <c r="A85" s="275" t="s">
        <v>297</v>
      </c>
      <c r="B85" s="275"/>
      <c r="C85" s="153"/>
    </row>
    <row r="86" spans="1:3" ht="36" customHeight="1">
      <c r="A86" s="275" t="s">
        <v>296</v>
      </c>
      <c r="B86" s="275"/>
      <c r="C86" s="153"/>
    </row>
    <row r="88" spans="1:3">
      <c r="A88" s="285" t="s">
        <v>295</v>
      </c>
      <c r="B88" s="285"/>
      <c r="C88" s="65"/>
    </row>
    <row r="89" spans="1:3" ht="114.75" customHeight="1">
      <c r="A89" s="275" t="s">
        <v>357</v>
      </c>
      <c r="B89" s="275"/>
      <c r="C89" s="153"/>
    </row>
    <row r="90" spans="1:3" ht="36" customHeight="1">
      <c r="A90" s="275" t="s">
        <v>323</v>
      </c>
      <c r="B90" s="275"/>
      <c r="C90" s="153"/>
    </row>
    <row r="91" spans="1:3" ht="64.5" customHeight="1">
      <c r="A91" s="275" t="str">
        <f>"8.2. Mikromoliya tashkiloti sud organlariga murojaat qilganidan keyin Qarz oluvchi tomonidan "&amp;malumot!B65&amp;" bo‘yicha muddati o‘tgan qarzdorlikning to‘lanishi Mikromoliya tashkilotning "&amp;malumot!B65&amp;"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75"/>
      <c r="C91" s="153"/>
    </row>
    <row r="93" spans="1:3">
      <c r="A93" s="286" t="s">
        <v>294</v>
      </c>
      <c r="B93" s="286"/>
      <c r="C93" s="70"/>
    </row>
    <row r="94" spans="1:3" ht="20.25" customHeight="1">
      <c r="A94" s="275" t="s">
        <v>293</v>
      </c>
      <c r="B94" s="275"/>
      <c r="C94" s="153"/>
    </row>
    <row r="95" spans="1:3" ht="33.75" customHeight="1">
      <c r="A95" s="275" t="str">
        <f>"9.2. Shartnomaning amal qilish muddati Qarz oluvchi "&amp;malumot!B65&amp;"ni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75"/>
      <c r="C95" s="153"/>
    </row>
    <row r="96" spans="1:3" ht="51" customHeight="1">
      <c r="A96" s="275" t="s">
        <v>292</v>
      </c>
      <c r="B96" s="275"/>
      <c r="C96" s="153"/>
    </row>
    <row r="98" spans="1:3">
      <c r="A98" s="278" t="s">
        <v>291</v>
      </c>
      <c r="B98" s="278"/>
      <c r="C98" s="64"/>
    </row>
    <row r="99" spans="1:3" ht="82.5" customHeight="1">
      <c r="A99" s="275" t="s">
        <v>290</v>
      </c>
      <c r="B99" s="275"/>
      <c r="C99" s="153"/>
    </row>
    <row r="100" spans="1:3" ht="66" customHeight="1">
      <c r="A100" s="275" t="s">
        <v>289</v>
      </c>
      <c r="B100" s="275"/>
      <c r="C100" s="153"/>
    </row>
    <row r="101" spans="1:3" ht="48" customHeight="1">
      <c r="A101" s="275" t="s">
        <v>288</v>
      </c>
      <c r="B101" s="275"/>
      <c r="C101" s="153"/>
    </row>
    <row r="103" spans="1:3">
      <c r="A103" s="285" t="s">
        <v>287</v>
      </c>
      <c r="B103" s="285"/>
      <c r="C103" s="139"/>
    </row>
    <row r="104" spans="1:3" ht="37.5" customHeight="1">
      <c r="A104" s="275" t="s">
        <v>286</v>
      </c>
      <c r="B104" s="275"/>
      <c r="C104" s="153"/>
    </row>
    <row r="105" spans="1:3" ht="34.5" customHeight="1">
      <c r="A105" s="275" t="s">
        <v>285</v>
      </c>
      <c r="B105" s="275"/>
      <c r="C105" s="153"/>
    </row>
    <row r="106" spans="1:3" ht="66.75" customHeight="1">
      <c r="A106" s="275" t="s">
        <v>284</v>
      </c>
      <c r="B106" s="275"/>
      <c r="C106" s="153"/>
    </row>
    <row r="107" spans="1:3" ht="51" customHeight="1">
      <c r="A107" s="275" t="s">
        <v>283</v>
      </c>
      <c r="B107" s="275"/>
      <c r="C107" s="153"/>
    </row>
    <row r="108" spans="1:3" ht="37.5" customHeight="1">
      <c r="A108" s="275" t="s">
        <v>282</v>
      </c>
      <c r="B108" s="275"/>
      <c r="C108" s="153"/>
    </row>
    <row r="109" spans="1:3" ht="38.25" customHeight="1">
      <c r="A109" s="275" t="s">
        <v>281</v>
      </c>
      <c r="B109" s="275"/>
      <c r="C109" s="153"/>
    </row>
    <row r="110" spans="1:3" ht="21" customHeight="1">
      <c r="A110" s="275" t="s">
        <v>280</v>
      </c>
      <c r="B110" s="275"/>
      <c r="C110" s="153"/>
    </row>
    <row r="111" spans="1:3" ht="32.25" customHeight="1">
      <c r="A111" s="275"/>
      <c r="B111" s="275"/>
      <c r="C111" s="153"/>
    </row>
    <row r="112" spans="1:3">
      <c r="A112" s="245"/>
      <c r="B112" s="245"/>
    </row>
    <row r="113" spans="1:3">
      <c r="A113" s="288" t="s">
        <v>324</v>
      </c>
      <c r="B113" s="288"/>
      <c r="C113" s="70"/>
    </row>
    <row r="114" spans="1:3">
      <c r="A114" s="245"/>
      <c r="B114" s="245"/>
    </row>
    <row r="115" spans="1:3">
      <c r="A115" s="239" t="s">
        <v>279</v>
      </c>
      <c r="B115" s="228" t="s">
        <v>278</v>
      </c>
    </row>
    <row r="116" spans="1:3">
      <c r="A116" s="237"/>
      <c r="B116" s="227"/>
    </row>
    <row r="117" spans="1:3" ht="31.5">
      <c r="A117" s="240" t="str">
        <f>malumot!B154</f>
        <v>«CLEVER MIKROMOLIYA TASHKILOTI» MChJ</v>
      </c>
      <c r="B117" s="229" t="str">
        <f>malumot!B5</f>
        <v>NUTFULLAYEV AKBARJON AXMEDOVICH</v>
      </c>
    </row>
    <row r="118" spans="1:3">
      <c r="A118" s="237"/>
      <c r="B118" s="227"/>
    </row>
    <row r="119" spans="1:3" ht="31.5">
      <c r="A119" s="241" t="str">
        <f>"Manzil: "&amp;malumot!B159&amp;""</f>
        <v>Manzil: Toshkent shahri, Olmazor tumani, Sagbon ko'chasi, 30 boshi berk, 6-uy</v>
      </c>
      <c r="B119" s="230" t="str">
        <f>"Manzil: "&amp;malumot!B27&amp;""</f>
        <v>Manzil: BUXORO VILOYATI BUXORO SHAHAR TADBIRKOR KO'CHASI 12-UY</v>
      </c>
    </row>
    <row r="120" spans="1:3">
      <c r="A120" s="242" t="str">
        <f>"h/r: "&amp;malumot!B160&amp;""</f>
        <v>h/r: №20216000705068380001</v>
      </c>
      <c r="B120" s="231"/>
    </row>
    <row r="121" spans="1:3" ht="31.5">
      <c r="A121" s="241" t="str">
        <f>"MFO: "&amp;malumot!B161&amp;" в "&amp;malumot!B162&amp;""</f>
        <v>MFO: №01042 в ATB “Kapitalbank” Sergeli filiali</v>
      </c>
      <c r="B121" s="230" t="str">
        <f>"Pasport: "&amp;malumot!B16&amp;", "&amp;malumot!B20&amp;""</f>
        <v>Pasport: AA 9481167, BUXORO VILOYATI BUXORO SHAHAR IIB tomonidan 24.04.2015 yilda berilgan</v>
      </c>
    </row>
    <row r="122" spans="1:3">
      <c r="A122" s="241" t="str">
        <f>"STIR: "&amp;malumot!B163&amp;""</f>
        <v>STIR: 306365847</v>
      </c>
      <c r="B122" s="232" t="str">
        <f>"Tel: "&amp;malumot!B40&amp;""</f>
        <v>Tel: 91 408 76 67  UZI</v>
      </c>
    </row>
    <row r="123" spans="1:3">
      <c r="A123" s="243" t="str">
        <f>"Tel: (78) 113 31 33"</f>
        <v>Tel: (78) 113 31 33</v>
      </c>
      <c r="B123" s="232" t="str">
        <f>malumot!B41</f>
        <v>88 305 76 67 AYOLI</v>
      </c>
    </row>
    <row r="124" spans="1:3">
      <c r="A124" s="243" t="s">
        <v>8</v>
      </c>
      <c r="B124" s="232" t="str">
        <f>malumot!B42</f>
        <v>88 870 76 67 AKASI</v>
      </c>
    </row>
    <row r="125" spans="1:3">
      <c r="A125" s="244"/>
      <c r="B125" s="231"/>
    </row>
    <row r="126" spans="1:3">
      <c r="A126" s="287" t="str">
        <f>malumot!A167</f>
        <v>Olmaliq filiali boshlig'i</v>
      </c>
      <c r="B126" s="227"/>
    </row>
    <row r="127" spans="1:3">
      <c r="A127" s="287"/>
      <c r="B127" s="233" t="str">
        <f>""&amp;malumot!B7&amp;"     __________________"</f>
        <v>A.A.NUTFULLAYEV     __________________</v>
      </c>
    </row>
    <row r="128" spans="1:3">
      <c r="A128" s="236" t="str">
        <f>malumot!B156</f>
        <v>V. Yerjanov</v>
      </c>
      <c r="B128" s="227"/>
    </row>
    <row r="129" spans="1:2">
      <c r="A129" s="236"/>
      <c r="B129" s="234"/>
    </row>
    <row r="130" spans="1:2">
      <c r="A130" s="237"/>
      <c r="B130" s="227"/>
    </row>
    <row r="131" spans="1:2">
      <c r="A131" s="238"/>
      <c r="B131" s="235" t="s">
        <v>430</v>
      </c>
    </row>
    <row r="132" spans="1:2" hidden="1">
      <c r="A132" s="6" t="str">
        <f>"менеджер :   "&amp;malumot!B167&amp;"______________"</f>
        <v>менеджер :   V. Yerjanov______________</v>
      </c>
    </row>
  </sheetData>
  <mergeCells count="99">
    <mergeCell ref="A126:A127"/>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27"/>
  <sheetViews>
    <sheetView view="pageBreakPreview" topLeftCell="A15" zoomScaleSheetLayoutView="100" workbookViewId="0">
      <selection activeCell="A25" sqref="A25"/>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90" t="str">
        <f>""&amp;malumot!B153&amp;" ijrochi direktorining
"&amp;malumot!B171&amp;"dagi "&amp;malumot!B170&amp;"-sonli buyrug‘i"</f>
        <v>«CLEVER MIKROMOLIYA TASHKILOTI» MChJ ijrochi direktorining
11 mart 2025 y.dagi № 23-AL-sonli buyrug‘i</v>
      </c>
      <c r="B4" s="290"/>
      <c r="C4" s="290"/>
      <c r="D4" s="290"/>
      <c r="E4" s="290"/>
    </row>
    <row r="5" spans="1:5">
      <c r="A5" s="290"/>
      <c r="B5" s="290"/>
      <c r="C5" s="290"/>
      <c r="D5" s="290"/>
      <c r="E5" s="290"/>
    </row>
    <row r="6" spans="1:5">
      <c r="A6" s="290"/>
      <c r="B6" s="290"/>
      <c r="C6" s="290"/>
      <c r="D6" s="290"/>
      <c r="E6" s="290"/>
    </row>
    <row r="7" spans="1:5">
      <c r="A7" s="289"/>
      <c r="B7" s="289"/>
      <c r="C7" s="289"/>
      <c r="D7" s="289"/>
      <c r="E7" s="289"/>
    </row>
    <row r="8" spans="1:5" ht="44.25" customHeight="1">
      <c r="A8" s="289" t="str">
        <f>"Men, Abduraximov Nadirbek Kamilevich "&amp;malumot!B153&amp;" ijrochi direktori, jismoniy shaxs "&amp;malumot!B10&amp;"ga quyidagi shartlarda "&amp;malumot!B65&amp;" berishni buyuraman:"</f>
        <v>Men, Abduraximov Nadirbek Kamilevich «CLEVER MIKROMOLIYA TASHKILOTI» MChJ ijrochi direktori, jismoniy shaxs NUTFULLAYEV AKBARJON AXMEDOVICHga quyidagi shartlarda mikroqarz berishni buyuraman:</v>
      </c>
      <c r="B8" s="289"/>
      <c r="C8" s="289"/>
      <c r="D8" s="289"/>
      <c r="E8" s="289"/>
    </row>
    <row r="9" spans="1:5" ht="26.25" customHeight="1">
      <c r="A9" s="289" t="str">
        <f>'Кредитная заявка'!A13:D13</f>
        <v>Mikroqarz summasi: 27 000 000,00 (yigirma yetti million so'm) so'm.</v>
      </c>
      <c r="B9" s="289"/>
      <c r="C9" s="289"/>
      <c r="D9" s="289"/>
      <c r="E9" s="289"/>
    </row>
    <row r="10" spans="1:5" ht="21" customHeight="1">
      <c r="A10" s="289" t="str">
        <f>'Кредитная заявка'!A14:D14</f>
        <v>Mikroqarz muddati: 36 (o'ttiz olti) oy.</v>
      </c>
      <c r="B10" s="289"/>
      <c r="C10" s="289"/>
      <c r="D10" s="289"/>
      <c r="E10" s="289"/>
    </row>
    <row r="11" spans="1:5" ht="27" customHeight="1">
      <c r="A11" s="289" t="str">
        <f>'Кредитная заявка'!A15:D15</f>
        <v>Mikroqarzdan foydalanganlik uchun foiz stavkasi: yillik  60% (Oltmish) foiz</v>
      </c>
      <c r="B11" s="289"/>
      <c r="C11" s="289"/>
      <c r="D11" s="289"/>
      <c r="E11" s="289"/>
    </row>
    <row r="12" spans="1:5" ht="26.25" customHeight="1">
      <c r="A12" s="289" t="str">
        <f>'Кредитная заявка'!A16:D16</f>
        <v>Mikroqarz bo'yicha asosiy qarz va foizlarni to'lash:</v>
      </c>
      <c r="B12" s="289"/>
      <c r="C12" s="289"/>
      <c r="D12" s="289"/>
      <c r="E12" s="289"/>
    </row>
    <row r="13" spans="1:5" ht="21.75" hidden="1" customHeight="1">
      <c r="A13" s="289" t="str">
        <f>'Кредитная заявка'!A17:D17</f>
        <v xml:space="preserve"> - mikroqarz shartnomasi bo'yicha har oy differensial to'lovlari amalga oshiriladi</v>
      </c>
      <c r="B13" s="289"/>
      <c r="C13" s="289"/>
      <c r="D13" s="289"/>
      <c r="E13" s="289"/>
    </row>
    <row r="14" spans="1:5" hidden="1">
      <c r="A14" s="289" t="str">
        <f>'Кредитная заявка'!A19:D19</f>
        <v xml:space="preserve"> - mikroqarz shartnomasi bo'yicha har oy differensial to'lovlari amalga oshiriladi</v>
      </c>
      <c r="B14" s="289"/>
      <c r="C14" s="289"/>
      <c r="D14" s="289"/>
      <c r="E14" s="289"/>
    </row>
    <row r="15" spans="1:5" ht="23.25" customHeight="1">
      <c r="A15" s="289" t="str">
        <f>IF(malumot!B109="Avtotransport",buyruq!A14:E14,buyruq!A13:E13)</f>
        <v xml:space="preserve"> - mikroqarz shartnomasi bo'yicha har oy differensial to'lovlari amalga oshiriladi</v>
      </c>
      <c r="B15" s="289"/>
      <c r="C15" s="289"/>
      <c r="D15" s="289"/>
      <c r="E15" s="289"/>
    </row>
    <row r="16" spans="1:5" ht="45.75" customHeight="1">
      <c r="A16" s="291" t="str">
        <f>IF(malumot!B109=malumot!D109,""&amp;malumot!C123&amp;"ga tegishli "&amp;malumot!C132&amp;" ko'rinishidagi ko'chmas mulkni quyidagi ma'lumotlarga muvofiq  garovga qabul qilinsin:",""&amp;malumot!B123&amp;"ga tegishli "&amp;malumot!B131&amp;" ko'rinishidagi transport vositasini quyidagi ma'lumotlarga muvofiq garovga qabul qilinsin:")</f>
        <v>NUTFULLAYEV AKBARJON AXMEDOVICHga tegishli CHANGAN CHANGAN SC 1027SB ko'rinishidagi transport vositasini quyidagi ma'lumotlarga muvofiq garovga qabul qilinsin:</v>
      </c>
      <c r="B16" s="291"/>
      <c r="C16" s="291"/>
      <c r="D16" s="291"/>
      <c r="E16" s="291"/>
    </row>
    <row r="17" spans="1:5" ht="50.25" hidden="1" customHeight="1">
      <c r="A17" s="289" t="str">
        <f>""&amp;malumot!C123&amp;"ga tegishli "&amp;malumot!C132&amp;" ko'rinishidagi ko'chmas mulkni quyidagi ma'lumotlarga muvofiq  garovga qabul qilinsin:"</f>
        <v>NUTFULLAYEV AKBARJON AXMEDOVICHga tegishli 3 - xonali yakka tartibdagi uy-joy ko'rinishidagi ko'chmas mulkni quyidagi ma'lumotlarga muvofiq  garovga qabul qilinsin:</v>
      </c>
      <c r="B17" s="289"/>
      <c r="C17" s="289"/>
      <c r="D17" s="289"/>
      <c r="E17" s="289"/>
    </row>
    <row r="18" spans="1:5" ht="47.25" hidden="1" customHeight="1">
      <c r="A18" s="289" t="str">
        <f>""&amp;malumot!B123&amp;"ga tegishli "&amp;malumot!B131&amp;" ko'rinishidagi transport vositasini quyidagi ma'lumotlarga muvofiq garovga qabul qilinsin:"</f>
        <v>NUTFULLAYEV AKBARJON AXMEDOVICHga tegishli CHANGAN CHANGAN SC 1027SB ko'rinishidagi transport vositasini quyidagi ma'lumotlarga muvofiq garovga qabul qilinsin:</v>
      </c>
      <c r="B18" s="289"/>
      <c r="C18" s="289"/>
      <c r="D18" s="289"/>
      <c r="E18" s="289"/>
    </row>
    <row r="19" spans="1:5" s="37" customFormat="1" ht="60" customHeight="1" outlineLevel="1">
      <c r="A19" s="39" t="str">
        <f>dalolatnoma!A29</f>
        <v>Nomi</v>
      </c>
      <c r="B19" s="39" t="str">
        <f>dalolatnoma!B29</f>
        <v>Kuzov turi  va kuzov raqami*</v>
      </c>
      <c r="C19" s="39" t="str">
        <f>dalolatnoma!C29</f>
        <v>Dvigatel va shassi raqami*</v>
      </c>
      <c r="D19" s="39" t="str">
        <f>dalolatnoma!D29</f>
        <v>Ishlab chiqarilgan yili va rangi*</v>
      </c>
      <c r="E19" s="39" t="str">
        <f>dalolatnoma!E29</f>
        <v>Kelishilgan garov qiymati, so'm</v>
      </c>
    </row>
    <row r="20" spans="1:5" ht="94.5" customHeight="1" outlineLevel="1">
      <c r="A20" s="17" t="str">
        <f>dalolatnoma!A30</f>
        <v>CHANGAN CHANGAN SC 1027SB</v>
      </c>
      <c r="B20" s="17" t="str">
        <f>dalolatnoma!B30</f>
        <v>kuzov turi - YUK BORTLI TENT, kuzov raqami LSCAB23D8EG228387</v>
      </c>
      <c r="C20" s="17" t="str">
        <f>dalolatnoma!C30</f>
        <v>dvigatel raqami JL466Q1%E61H022801, shassi raqami - URINDIKLAR SONI 5TA</v>
      </c>
      <c r="D20" s="17" t="str">
        <f>dalolatnoma!D30</f>
        <v>rangi -  OQ BELIY, ishlab chiqarilgan yili - 2014</v>
      </c>
      <c r="E20" s="17" t="str">
        <f>dalolatnoma!E30</f>
        <v>40 500 000,00 
(qirq million besh yuz ming so'm)</v>
      </c>
    </row>
    <row r="21" spans="1:5" ht="20.25" customHeight="1" outlineLevel="1">
      <c r="A21" s="289" t="str">
        <f>dalolatnoma!A22:E22</f>
        <v>-* avtotransport egasi: NUTFULLAYEV AKBARJON AXMEDOVICH</v>
      </c>
      <c r="B21" s="289"/>
      <c r="C21" s="289"/>
      <c r="D21" s="289"/>
      <c r="E21" s="289"/>
    </row>
    <row r="22" spans="1:5" ht="20.25" customHeight="1" outlineLevel="1">
      <c r="A22" s="289" t="str">
        <f>dalolatnoma!A23:E23</f>
        <v>-* texnik pasport: AAG   2346592  13.09.2023y</v>
      </c>
      <c r="B22" s="289"/>
      <c r="C22" s="289"/>
      <c r="D22" s="289"/>
      <c r="E22" s="289"/>
    </row>
    <row r="23" spans="1:5" ht="36" customHeight="1" outlineLevel="1">
      <c r="A23" s="289" t="str">
        <f>dalolatnoma!A24:E24</f>
        <v>-* roʻyxatdan oʻtgan manzili/garaj manzili: BUXORO VILOYATI BUXORO SHAHAR TADBIRKOR KO'CHASI 12-UY</v>
      </c>
      <c r="B23" s="289"/>
      <c r="C23" s="289"/>
      <c r="D23" s="289"/>
      <c r="E23" s="289"/>
    </row>
    <row r="24" spans="1:5" ht="31.5" customHeight="1" outlineLevel="1">
      <c r="A24" s="289" t="str">
        <f>dalolatnoma!A25:E25</f>
        <v>-* davlat raqami: 80T312WA</v>
      </c>
      <c r="B24" s="289"/>
      <c r="C24" s="289"/>
      <c r="D24" s="289"/>
      <c r="E24" s="289"/>
    </row>
    <row r="25" spans="1:5" ht="23.25" customHeight="1">
      <c r="A25" s="225"/>
      <c r="B25" s="126" t="s">
        <v>378</v>
      </c>
      <c r="D25" s="226"/>
      <c r="E25" s="225"/>
    </row>
    <row r="26" spans="1:5" ht="22.5" customHeight="1">
      <c r="A26" s="225"/>
      <c r="B26" s="126" t="s">
        <v>332</v>
      </c>
      <c r="D26" s="226"/>
      <c r="E26" s="225"/>
    </row>
    <row r="27" spans="1:5">
      <c r="A27" s="225"/>
      <c r="B27" s="226" t="s">
        <v>423</v>
      </c>
      <c r="D27" s="225"/>
      <c r="E27" s="225"/>
    </row>
  </sheetData>
  <mergeCells count="17">
    <mergeCell ref="A16:E16"/>
    <mergeCell ref="A23:E23"/>
    <mergeCell ref="A24:E24"/>
    <mergeCell ref="A4:E6"/>
    <mergeCell ref="A22:E22"/>
    <mergeCell ref="A14:E14"/>
    <mergeCell ref="A18:E18"/>
    <mergeCell ref="A7:E7"/>
    <mergeCell ref="A8:E8"/>
    <mergeCell ref="A13:E13"/>
    <mergeCell ref="A9:E9"/>
    <mergeCell ref="A10:E10"/>
    <mergeCell ref="A11:E11"/>
    <mergeCell ref="A12:E12"/>
    <mergeCell ref="A21:E21"/>
    <mergeCell ref="A15:E15"/>
    <mergeCell ref="A17:E17"/>
  </mergeCells>
  <pageMargins left="0.70866141732283472" right="0.70866141732283472" top="0.74803149606299213" bottom="0.74803149606299213" header="0.31496062992125984" footer="0.31496062992125984"/>
  <pageSetup paperSize="9" scale="8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22" zoomScaleNormal="100" zoomScaleSheetLayoutView="100" workbookViewId="0">
      <selection activeCell="A37" sqref="A37:D39"/>
    </sheetView>
  </sheetViews>
  <sheetFormatPr defaultRowHeight="15"/>
  <cols>
    <col min="1" max="1" width="24.7109375" style="61" customWidth="1"/>
    <col min="2" max="2" width="24.28515625" style="61" customWidth="1"/>
    <col min="3" max="3" width="20.710937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97" t="str">
        <f>""&amp;malumot!B153&amp;"
mikromoliya tashkiloti
Kredit qo‘mitasining yig‘ilishi"</f>
        <v>«CLEVER MIKROMOLIYA TASHKILOTI» MChJ
mikromoliya tashkiloti
Kredit qo‘mitasining yig‘ilishi</v>
      </c>
      <c r="B1" s="297"/>
      <c r="C1" s="297"/>
      <c r="D1" s="297"/>
      <c r="E1" s="297"/>
    </row>
    <row r="2" spans="1:33" ht="29.25" customHeight="1">
      <c r="A2" s="297" t="str">
        <f>""&amp;H7&amp;" protokolidan ko'chirma"</f>
        <v>№ 23-AL protokolidan ko'chirma</v>
      </c>
      <c r="B2" s="297"/>
      <c r="C2" s="297"/>
      <c r="D2" s="297"/>
      <c r="E2" s="297"/>
    </row>
    <row r="3" spans="1:33" ht="29.25" customHeight="1">
      <c r="A3" s="127" t="s">
        <v>203</v>
      </c>
      <c r="B3" s="50"/>
      <c r="C3" s="50"/>
      <c r="D3" s="50"/>
      <c r="E3" s="128" t="str">
        <f>malumot!B68</f>
        <v>11 mart 2025 y.</v>
      </c>
    </row>
    <row r="4" spans="1:33" ht="29.25" customHeight="1">
      <c r="A4" s="50"/>
      <c r="B4" s="297" t="s">
        <v>202</v>
      </c>
      <c r="C4" s="297"/>
      <c r="D4" s="297"/>
      <c r="E4" s="50"/>
    </row>
    <row r="5" spans="1:33" ht="36" customHeight="1">
      <c r="A5" s="295" t="str">
        <f>"         "&amp;H8&amp;"."&amp;malumot!B5&amp;" ga "&amp;malumot!B65&amp;" berish masalasini ko‘rib chiqish to‘g‘risida."</f>
        <v xml:space="preserve">         1.NUTFULLAYEV AKBARJON AXMEDOVICH ga mikroqarz berish masalasini ko‘rib chiqish to‘g‘risida.</v>
      </c>
      <c r="B5" s="295"/>
      <c r="C5" s="295"/>
      <c r="D5" s="295"/>
      <c r="E5" s="295"/>
    </row>
    <row r="7" spans="1:33" ht="21" customHeight="1">
      <c r="A7" s="289" t="str">
        <f>"      "&amp;H9&amp;" masala yuzasidan: «Clever Mikromoliya Tashkiloti» MChJ mikromoliya tashkiloti kredit bo‘yicha menejeri  "&amp;malumot!B5&amp;"ga "&amp;FIXED(malumot!B75)&amp;" ("&amp;malumot!B76&amp;") so‘m miqdorida, muddati "&amp;malumot!B81&amp;" ("&amp;malumot!B82&amp;") oyga va yillik 60 (Oltmish) foiz miqdorida "&amp;malumot!B65&amp;" berich bo‘yicha "&amp;malumot!B5&amp;"ning kredit arizasi va "&amp;malumot!B153&amp;"ning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89"/>
      <c r="C7" s="289"/>
      <c r="D7" s="289"/>
      <c r="E7" s="289"/>
      <c r="G7" s="62" t="s">
        <v>257</v>
      </c>
      <c r="H7" s="63" t="str">
        <f>malumot!B1</f>
        <v>№ 23-AL</v>
      </c>
    </row>
    <row r="8" spans="1:33" ht="23.25">
      <c r="A8" s="289"/>
      <c r="B8" s="289"/>
      <c r="C8" s="289"/>
      <c r="D8" s="289"/>
      <c r="E8" s="289"/>
      <c r="G8" s="62" t="s">
        <v>258</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89"/>
      <c r="B9" s="289"/>
      <c r="C9" s="289"/>
      <c r="D9" s="289"/>
      <c r="E9" s="289"/>
      <c r="G9" s="62" t="s">
        <v>259</v>
      </c>
      <c r="H9" s="63" t="str">
        <f>IF(H8=I8,I9,IF(H8=J8,J9,IF(H8=K8,K9,IF(H8=L8,L9,IF(H8=M8,M9,IF(H8=N8,N9,IF(H8=O8,O9,IF(H8=P8,P9,IF(H8=Q8,Q9,IF(H8=R8,R9,IF(H8=S8,S9,IF(H8=T8,T9,IF(H8=U8,U9,IF(H8=V8,V9,IF(H8=W8,W9,IF(H8=X8,X9,IF(H8=Y8,Y9,IF(H8=Z8,Z9,IF(H8=AA8,AA9,IF(H8=AB8,AB9,IF(H8=AC8,AC9,IF(H8=AD8,AD9,IF(H8=AE8,AE9,IF(H8=AF8,AF9,IF(H8=AG8,AG9)))))))))))))))))))))))))</f>
        <v>Birinchi</v>
      </c>
      <c r="I9" s="146" t="s">
        <v>190</v>
      </c>
      <c r="J9" s="147" t="s">
        <v>191</v>
      </c>
      <c r="K9" s="147" t="s">
        <v>192</v>
      </c>
      <c r="L9" s="147" t="s">
        <v>368</v>
      </c>
      <c r="M9" s="147" t="s">
        <v>193</v>
      </c>
      <c r="N9" s="147" t="s">
        <v>369</v>
      </c>
      <c r="O9" s="147" t="s">
        <v>194</v>
      </c>
      <c r="P9" s="147" t="s">
        <v>195</v>
      </c>
      <c r="Q9" s="147" t="s">
        <v>196</v>
      </c>
      <c r="R9" s="147" t="s">
        <v>358</v>
      </c>
      <c r="S9" s="147" t="s">
        <v>359</v>
      </c>
      <c r="T9" s="147" t="s">
        <v>360</v>
      </c>
      <c r="U9" s="147" t="s">
        <v>361</v>
      </c>
      <c r="V9" s="147" t="s">
        <v>370</v>
      </c>
      <c r="W9" s="147" t="s">
        <v>362</v>
      </c>
      <c r="X9" s="147" t="s">
        <v>363</v>
      </c>
      <c r="Y9" s="147" t="s">
        <v>364</v>
      </c>
      <c r="Z9" s="147" t="s">
        <v>365</v>
      </c>
      <c r="AA9" s="147" t="s">
        <v>366</v>
      </c>
      <c r="AB9" s="147" t="s">
        <v>197</v>
      </c>
      <c r="AC9" s="147" t="s">
        <v>198</v>
      </c>
      <c r="AD9" s="147" t="s">
        <v>199</v>
      </c>
      <c r="AE9" s="147" t="s">
        <v>200</v>
      </c>
      <c r="AF9" s="147" t="s">
        <v>367</v>
      </c>
      <c r="AG9" s="147" t="s">
        <v>201</v>
      </c>
    </row>
    <row r="10" spans="1:33" ht="10.5" hidden="1" customHeight="1">
      <c r="A10" s="289"/>
      <c r="B10" s="289"/>
      <c r="C10" s="289"/>
      <c r="D10" s="289"/>
      <c r="E10" s="289"/>
    </row>
    <row r="11" spans="1:33" ht="9" hidden="1" customHeight="1">
      <c r="A11" s="289"/>
      <c r="B11" s="289"/>
      <c r="C11" s="289"/>
      <c r="D11" s="289"/>
      <c r="E11" s="289"/>
    </row>
    <row r="12" spans="1:33" ht="3" hidden="1" customHeight="1">
      <c r="A12" s="289"/>
      <c r="B12" s="289"/>
      <c r="C12" s="289"/>
      <c r="D12" s="289"/>
      <c r="E12" s="289"/>
    </row>
    <row r="13" spans="1:33" ht="7.5" customHeight="1"/>
    <row r="14" spans="1:33" ht="15.75" customHeight="1">
      <c r="A14" s="291" t="str">
        <f>""&amp;malumot!C64&amp;" ta’minoti:"</f>
        <v>Mikroqarz ta’minoti:</v>
      </c>
      <c r="B14" s="291"/>
      <c r="C14" s="291"/>
      <c r="D14" s="291"/>
      <c r="E14" s="291"/>
    </row>
    <row r="15" spans="1:33" ht="7.5" customHeight="1"/>
    <row r="16" spans="1:33" ht="57" customHeight="1">
      <c r="A16" s="289" t="str">
        <f>xulosa!A18:E18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89"/>
      <c r="C16" s="289"/>
      <c r="D16" s="289"/>
      <c r="E16" s="289"/>
    </row>
    <row r="17" spans="1:5" ht="17.25" customHeight="1">
      <c r="C17" s="148" t="s">
        <v>377</v>
      </c>
      <c r="D17" s="148" t="str">
        <f>""&amp;malumot!B153&amp;" kredit qo‘mitasi"</f>
        <v>«CLEVER MIKROMOLIYA TASHKILOTI» MChJ kredit qo‘mitasi</v>
      </c>
      <c r="E17" s="148"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89"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89"/>
      <c r="C18" s="289"/>
      <c r="D18" s="289"/>
      <c r="E18" s="289"/>
    </row>
    <row r="19" spans="1:5" ht="24" customHeight="1">
      <c r="A19" s="298" t="s">
        <v>260</v>
      </c>
      <c r="B19" s="298"/>
      <c r="C19" s="298"/>
      <c r="D19" s="298"/>
      <c r="E19" s="298"/>
    </row>
    <row r="20" spans="1:5" ht="32.25" customHeight="1">
      <c r="A20" s="289" t="str">
        <f>"       "&amp;malumot!B5&amp;"ga quyidagi shartlarda "&amp;malumot!B65&amp;" berish masalasi ma’qullansin:"</f>
        <v xml:space="preserve">       NUTFULLAYEV AKBARJON AXMEDOVICHga quyidagi shartlarda mikroqarz berish masalasi ma’qullansin:</v>
      </c>
      <c r="B20" s="289"/>
      <c r="C20" s="289"/>
      <c r="D20" s="289"/>
      <c r="E20" s="289"/>
    </row>
    <row r="21" spans="1:5" s="129" customFormat="1" ht="18.75" customHeight="1">
      <c r="A21" s="295" t="str">
        <f>"1. "&amp;malumot!C64&amp;" summasi: "&amp;FIXED(malumot!B75)&amp;" ("&amp;malumot!B76&amp;") so'm."</f>
        <v>1. Mikroqarz summasi: 27 000 000,00 (yigirma yetti million so'm) so'm.</v>
      </c>
      <c r="B21" s="295"/>
      <c r="C21" s="295"/>
      <c r="D21" s="295"/>
      <c r="E21" s="295"/>
    </row>
    <row r="22" spans="1:5" s="129" customFormat="1" ht="18.75" customHeight="1">
      <c r="A22" s="295" t="str">
        <f>"2. "&amp;malumot!C64&amp;" muddati: "&amp;malumot!B81&amp;" ("&amp;malumot!B82&amp;") oy "</f>
        <v xml:space="preserve">2. Mikroqarz muddati: 36 (o'ttiz olti) oy </v>
      </c>
      <c r="B22" s="295"/>
      <c r="C22" s="295"/>
      <c r="D22" s="295"/>
      <c r="E22" s="295"/>
    </row>
    <row r="23" spans="1:5" s="129" customFormat="1" ht="18.75" customHeight="1">
      <c r="A23" s="295" t="str">
        <f>"3. "&amp;malumot!C64&amp;"dan foydalanganlik uchun foiz stavkasi:yillik "&amp;malumot!B85&amp;"% ("&amp;malumot!B86&amp;") foiz."</f>
        <v>3. Mikroqarzdan foydalanganlik uchun foiz stavkasi:yillik 60% (Oltmish) foiz.</v>
      </c>
      <c r="B23" s="295"/>
      <c r="C23" s="295"/>
      <c r="D23" s="295"/>
      <c r="E23" s="295"/>
    </row>
    <row r="24" spans="1:5" s="129" customFormat="1" ht="18.75" customHeight="1">
      <c r="A24" s="295" t="str">
        <f>"4. "&amp;malumot!C64&amp;" bo‘yicha asosiy qarz va foizlarni to‘lash:"</f>
        <v>4. Mikroqarz bo‘yicha asosiy qarz va foizlarni to‘lash:</v>
      </c>
      <c r="B24" s="295"/>
      <c r="C24" s="295"/>
      <c r="D24" s="295"/>
      <c r="E24" s="295"/>
    </row>
    <row r="25" spans="1:5" s="129" customFormat="1" ht="18.75" customHeight="1">
      <c r="A25" s="295" t="str">
        <f>'Кредитная заявка'!A19:D19</f>
        <v xml:space="preserve"> - mikroqarz shartnomasi bo'yicha har oy differensial to'lovlari amalga oshiriladi</v>
      </c>
      <c r="B25" s="295"/>
      <c r="C25" s="295"/>
      <c r="D25" s="295"/>
      <c r="E25" s="295"/>
    </row>
    <row r="26" spans="1:5" ht="48" customHeight="1">
      <c r="A26" s="289" t="str">
        <f>"5. "&amp;malumot!C64&amp;" bo‘yicha garov  "&amp;xulosa!A29:E29&amp;""</f>
        <v>5. Mikroqarz bo‘yicha garov   - NUTFULLAYEV AKBARJON AXMEDOVICH ga mulk huquqi asosida tegishli avtotransport vositasi CHANGAN CHANGAN SC 1027SB , quyidagi tafsilotlarga muvofiq:</v>
      </c>
      <c r="B26" s="289"/>
      <c r="C26" s="289"/>
      <c r="D26" s="289"/>
      <c r="E26" s="289"/>
    </row>
    <row r="27" spans="1:5" ht="40.5" customHeight="1">
      <c r="A27" s="17" t="str">
        <f>dalolatnoma!A29</f>
        <v>Nomi</v>
      </c>
      <c r="B27" s="17" t="str">
        <f>dalolatnoma!B29</f>
        <v>Kuzov turi  va kuzov raqami*</v>
      </c>
      <c r="C27" s="17" t="str">
        <f>dalolatnoma!C29</f>
        <v>Dvigatel va shassi raqami*</v>
      </c>
      <c r="D27" s="17" t="str">
        <f>dalolatnoma!D29</f>
        <v>Ishlab chiqarilgan yili va rangi*</v>
      </c>
      <c r="E27" s="17" t="str">
        <f>dalolatnoma!E29</f>
        <v>Kelishilgan garov qiymati, so'm</v>
      </c>
    </row>
    <row r="28" spans="1:5" ht="84" customHeight="1">
      <c r="A28" s="17" t="str">
        <f>dalolatnoma!A30</f>
        <v>CHANGAN CHANGAN SC 1027SB</v>
      </c>
      <c r="B28" s="17" t="str">
        <f>dalolatnoma!B30</f>
        <v>kuzov turi - YUK BORTLI TENT, kuzov raqami LSCAB23D8EG228387</v>
      </c>
      <c r="C28" s="17" t="str">
        <f>dalolatnoma!C30</f>
        <v>dvigatel raqami JL466Q1%E61H022801, shassi raqami - URINDIKLAR SONI 5TA</v>
      </c>
      <c r="D28" s="17" t="str">
        <f>dalolatnoma!D30</f>
        <v>rangi -  OQ BELIY, ishlab chiqarilgan yili - 2014</v>
      </c>
      <c r="E28" s="17" t="str">
        <f>dalolatnoma!E30</f>
        <v>40 500 000,00 
(qirq million besh yuz ming so'm)</v>
      </c>
    </row>
    <row r="29" spans="1:5" ht="20.25" customHeight="1">
      <c r="A29" s="289" t="str">
        <f>dalolatnoma!A22:E22</f>
        <v>-* avtotransport egasi: NUTFULLAYEV AKBARJON AXMEDOVICH</v>
      </c>
      <c r="B29" s="289"/>
      <c r="C29" s="289"/>
      <c r="D29" s="289"/>
      <c r="E29" s="289"/>
    </row>
    <row r="30" spans="1:5" ht="20.25" customHeight="1">
      <c r="A30" s="289" t="str">
        <f>dalolatnoma!A23:E23</f>
        <v>-* texnik pasport: AAG   2346592  13.09.2023y</v>
      </c>
      <c r="B30" s="289"/>
      <c r="C30" s="289"/>
      <c r="D30" s="289"/>
      <c r="E30" s="289"/>
    </row>
    <row r="31" spans="1:5" ht="22.5" customHeight="1">
      <c r="A31" s="289" t="str">
        <f>dalolatnoma!A24:E24</f>
        <v>-* roʻyxatdan oʻtgan manzili/garaj manzili: BUXORO VILOYATI BUXORO SHAHAR TADBIRKOR KO'CHASI 12-UY</v>
      </c>
      <c r="B31" s="289"/>
      <c r="C31" s="289"/>
      <c r="D31" s="289"/>
      <c r="E31" s="289"/>
    </row>
    <row r="32" spans="1:5" ht="25.5" customHeight="1">
      <c r="A32" s="289" t="str">
        <f>dalolatnoma!A25:E25</f>
        <v>-* davlat raqami: 80T312WA</v>
      </c>
      <c r="B32" s="289"/>
      <c r="C32" s="289"/>
      <c r="D32" s="289"/>
      <c r="E32" s="289"/>
    </row>
    <row r="33" spans="1:5" ht="12" customHeight="1">
      <c r="A33" s="130"/>
      <c r="B33" s="130"/>
      <c r="C33" s="130"/>
      <c r="D33" s="130"/>
      <c r="E33" s="130"/>
    </row>
    <row r="34" spans="1:5" ht="20.25" customHeight="1">
      <c r="A34" s="289" t="str">
        <f>"6. Boshqa shartlar – "&amp;IF(malumot!B109=malumot!B110,"avtotransport vositasi",IF(malumot!B109=malumot!C110,"ko'chmas mulk",0))&amp;" shaklida garov ta'minlangandan keyin "&amp;malumot!B65&amp;" berish."</f>
        <v>6. Boshqa shartlar – 0 shaklida garov ta'minlangandan keyin mikroqarz berish.</v>
      </c>
      <c r="B34" s="289"/>
      <c r="C34" s="289"/>
      <c r="D34" s="289"/>
      <c r="E34" s="289"/>
    </row>
    <row r="36" spans="1:5" ht="29.25" customHeight="1">
      <c r="A36" s="296" t="s">
        <v>261</v>
      </c>
      <c r="B36" s="296"/>
      <c r="C36" s="296"/>
      <c r="D36" s="296"/>
      <c r="E36" s="296"/>
    </row>
    <row r="37" spans="1:5" ht="33" customHeight="1">
      <c r="A37" s="260"/>
      <c r="B37" s="292" t="str">
        <f>malumot!B153&amp;" ijrochi direktori"</f>
        <v>«CLEVER MIKROMOLIYA TASHKILOTI» MChJ ijrochi direktori</v>
      </c>
      <c r="C37" s="292"/>
      <c r="D37" s="262" t="s">
        <v>423</v>
      </c>
      <c r="E37" s="255"/>
    </row>
    <row r="38" spans="1:5" ht="18.75" customHeight="1">
      <c r="A38" s="222"/>
      <c r="B38" s="293" t="str">
        <f>malumot!A165</f>
        <v>Kreditlash bo’limi boshlig’i</v>
      </c>
      <c r="C38" s="293"/>
      <c r="D38" s="263" t="str">
        <f>malumot!B165</f>
        <v>B. Mominov</v>
      </c>
      <c r="E38" s="256"/>
    </row>
    <row r="39" spans="1:5" ht="23.25" customHeight="1">
      <c r="A39" s="260"/>
      <c r="B39" s="294" t="str">
        <f>malumot!A166</f>
        <v>Monitoring bo’limi boshlig’i</v>
      </c>
      <c r="C39" s="294"/>
      <c r="D39" s="264" t="str">
        <f>malumot!B166</f>
        <v>B. Jumanazarov</v>
      </c>
      <c r="E39" s="257"/>
    </row>
  </sheetData>
  <mergeCells count="25">
    <mergeCell ref="A22:E22"/>
    <mergeCell ref="A1:E1"/>
    <mergeCell ref="A2:E2"/>
    <mergeCell ref="B4:D4"/>
    <mergeCell ref="A5:E5"/>
    <mergeCell ref="A7:E12"/>
    <mergeCell ref="A14:E14"/>
    <mergeCell ref="A16:E16"/>
    <mergeCell ref="A18:E18"/>
    <mergeCell ref="A19:E19"/>
    <mergeCell ref="A20:E20"/>
    <mergeCell ref="A21:E21"/>
    <mergeCell ref="B37:C37"/>
    <mergeCell ref="B38:C38"/>
    <mergeCell ref="B39:C39"/>
    <mergeCell ref="A23:E23"/>
    <mergeCell ref="A24:E24"/>
    <mergeCell ref="A25:E25"/>
    <mergeCell ref="A36:E36"/>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3"/>
    <col min="2" max="2" width="12.28515625" style="83" customWidth="1"/>
    <col min="3" max="3" width="16.5703125" style="83" customWidth="1"/>
    <col min="4" max="4" width="16.7109375" style="83" customWidth="1"/>
    <col min="5" max="5" width="16.5703125" style="83" customWidth="1"/>
    <col min="6" max="6" width="20.85546875" style="83" customWidth="1"/>
    <col min="7" max="7" width="10.140625" style="83" customWidth="1" outlineLevel="1"/>
    <col min="8" max="8" width="19.140625" style="83" customWidth="1"/>
    <col min="9" max="9" width="21.42578125" style="83" customWidth="1"/>
    <col min="10" max="10" width="20.85546875" style="83" customWidth="1"/>
    <col min="11" max="11" width="20.140625" style="83" customWidth="1"/>
    <col min="12" max="12" width="21.42578125" style="83" customWidth="1"/>
    <col min="13" max="13" width="25.42578125" style="83" customWidth="1"/>
    <col min="14" max="14" width="18.28515625" style="83" customWidth="1"/>
    <col min="15" max="17" width="9.140625" style="15"/>
    <col min="18" max="18" width="24.42578125" style="15" customWidth="1"/>
    <col min="19" max="16384" width="9.140625" style="15"/>
  </cols>
  <sheetData>
    <row r="1" spans="1:22">
      <c r="A1" s="82"/>
      <c r="B1" s="82"/>
      <c r="C1" s="82"/>
      <c r="D1" s="82"/>
      <c r="E1" s="308" t="s">
        <v>16</v>
      </c>
      <c r="F1" s="308"/>
    </row>
    <row r="2" spans="1:22">
      <c r="A2" s="82"/>
      <c r="B2" s="82"/>
      <c r="C2" s="82"/>
      <c r="D2" s="82"/>
      <c r="E2" s="82"/>
      <c r="F2" s="84" t="str">
        <f>"к договору микрозайма "&amp;malumot!B74&amp;""</f>
        <v>к договору микрозайма 11 mart 2025 y.dan № 23-AL</v>
      </c>
    </row>
    <row r="3" spans="1:22" ht="19.5" customHeight="1">
      <c r="A3" s="82"/>
      <c r="B3" s="82"/>
      <c r="C3" s="82"/>
      <c r="D3" s="82"/>
      <c r="E3" s="82"/>
      <c r="F3" s="82"/>
      <c r="H3" s="85"/>
      <c r="I3" s="85"/>
      <c r="J3" s="86"/>
      <c r="K3" s="86"/>
    </row>
    <row r="4" spans="1:22" ht="19.5" customHeight="1">
      <c r="A4" s="309" t="s">
        <v>17</v>
      </c>
      <c r="B4" s="309"/>
      <c r="C4" s="309"/>
      <c r="D4" s="309"/>
      <c r="E4" s="309"/>
      <c r="F4" s="309"/>
      <c r="H4" s="85"/>
      <c r="I4" s="85"/>
      <c r="J4" s="85"/>
      <c r="K4" s="85"/>
    </row>
    <row r="5" spans="1:22" ht="19.5" customHeight="1">
      <c r="L5" s="83">
        <f>malumot!B81</f>
        <v>36</v>
      </c>
    </row>
    <row r="6" spans="1:22">
      <c r="A6" s="310" t="s">
        <v>15</v>
      </c>
      <c r="B6" s="311" t="s">
        <v>9</v>
      </c>
      <c r="C6" s="311" t="s">
        <v>10</v>
      </c>
      <c r="D6" s="312" t="s">
        <v>11</v>
      </c>
      <c r="E6" s="312"/>
      <c r="F6" s="312"/>
    </row>
    <row r="7" spans="1:22" s="16" customFormat="1">
      <c r="A7" s="310"/>
      <c r="B7" s="311"/>
      <c r="C7" s="311"/>
      <c r="D7" s="87" t="s">
        <v>12</v>
      </c>
      <c r="E7" s="87" t="s">
        <v>13</v>
      </c>
      <c r="F7" s="87" t="s">
        <v>14</v>
      </c>
      <c r="G7" s="88"/>
      <c r="H7" s="88"/>
      <c r="I7" s="88"/>
      <c r="J7" s="88"/>
      <c r="K7" s="88"/>
      <c r="L7" s="88"/>
      <c r="M7" s="88"/>
      <c r="N7" s="88"/>
    </row>
    <row r="8" spans="1:22">
      <c r="A8" s="89">
        <v>1</v>
      </c>
      <c r="B8" s="90">
        <f>malumot!B79</f>
        <v>45754</v>
      </c>
      <c r="C8" s="51">
        <f>malumot!B75</f>
        <v>27000000</v>
      </c>
      <c r="D8" s="51">
        <f>IF(IF(C8=0,L8,IF(C8&gt;1,I8))="",0,(IF(C8=0,L8,IF(C8&gt;1,I8))))</f>
        <v>750000</v>
      </c>
      <c r="E8" s="51">
        <f>IF(C8=0,N6,IF(C8&gt;1,L8))</f>
        <v>1198356.1199999999</v>
      </c>
      <c r="F8" s="51">
        <f>IF(C8=0,O6,IF(C8&gt;1,M8))</f>
        <v>1948356.1199999999</v>
      </c>
      <c r="G8" s="103">
        <f>B8-malumot!B67</f>
        <v>27</v>
      </c>
      <c r="H8" s="83">
        <f>DATE(YEAR(B8),12,31)-DATE(YEAR(B8),1,1)+1</f>
        <v>365</v>
      </c>
      <c r="I8" s="91">
        <f>IF(malumot!B83=0,ROUND(C8/L5,2),"")</f>
        <v>750000</v>
      </c>
      <c r="J8" s="91"/>
      <c r="K8" s="91"/>
      <c r="L8" s="85">
        <f>ROUND(C8*malumot!$B$84/H8,2)*G8</f>
        <v>1198356.1199999999</v>
      </c>
      <c r="M8" s="85">
        <f t="shared" ref="M8:M31" si="0">D8+E8</f>
        <v>1948356.1199999999</v>
      </c>
      <c r="N8" s="85"/>
      <c r="O8" s="100" t="str">
        <f>TEXT(B8,"ддд")</f>
        <v>Пн</v>
      </c>
      <c r="P8" s="102">
        <f>IF(O8=$U$8,2,IF(O8=$V$8,1,0))</f>
        <v>0</v>
      </c>
      <c r="Q8" s="102">
        <f>DAY(malumot!$B$78)+P8</f>
        <v>5</v>
      </c>
      <c r="R8" s="97"/>
      <c r="S8" s="98" t="s">
        <v>32</v>
      </c>
      <c r="T8" s="98" t="s">
        <v>33</v>
      </c>
      <c r="U8" s="98" t="s">
        <v>34</v>
      </c>
      <c r="V8" s="99" t="s">
        <v>35</v>
      </c>
    </row>
    <row r="9" spans="1:22">
      <c r="A9" s="89">
        <v>2</v>
      </c>
      <c r="B9" s="90">
        <f>IF(A9&lt;=malumot!$B$81,DATE(YEAR(R9),MONTH(R9),DAY(IF(A9=malumot!$B$81,malumot!$B$67,IF(A9&lt;malumot!$B$81,(Q9),IF(A9&gt;malumot!$B$81,$H$44,0))))))</f>
        <v>45782</v>
      </c>
      <c r="C9" s="51">
        <f t="shared" ref="C9:C30" si="1">C8-D8</f>
        <v>26250000</v>
      </c>
      <c r="D9" s="51">
        <f t="shared" ref="D9:D30" si="2">IF(C9=0,L9,IF(C9&gt;1,I9))</f>
        <v>750000</v>
      </c>
      <c r="E9" s="51">
        <f t="shared" ref="E9:E30" si="3">IF(C9=0,N8,IF(C9&gt;1,L9))</f>
        <v>1208219.04</v>
      </c>
      <c r="F9" s="51">
        <f t="shared" ref="F9:F30" si="4">IF(C9=0,N8,IF(C9&gt;1,M9))</f>
        <v>1958219.04</v>
      </c>
      <c r="G9" s="83">
        <f>B9-B8</f>
        <v>28</v>
      </c>
      <c r="H9" s="83">
        <f t="shared" ref="H9:H31" si="5">DATE(YEAR(B9),12,31)-DATE(YEAR(B9),1,1)+1</f>
        <v>365</v>
      </c>
      <c r="I9" s="91">
        <f>IF(I8="",ROUND(C8/(L5-1),2),I8)</f>
        <v>750000</v>
      </c>
      <c r="J9" s="91"/>
      <c r="K9" s="91"/>
      <c r="L9" s="85">
        <f>ROUND(C9*malumot!$B$84/H9,2)*G9</f>
        <v>1208219.04</v>
      </c>
      <c r="M9" s="85">
        <f t="shared" si="0"/>
        <v>1958219.04</v>
      </c>
      <c r="N9" s="85"/>
      <c r="O9" s="100" t="str">
        <f>TEXT(R9,"ддд")</f>
        <v>Пн</v>
      </c>
      <c r="P9" s="102">
        <f t="shared" ref="P9:P31" si="6">IF(O9=$U$8,2,IF(O9=$V$8,1,0))</f>
        <v>0</v>
      </c>
      <c r="Q9" s="102">
        <f>DAY(malumot!$B$78)+P9</f>
        <v>5</v>
      </c>
      <c r="R9" s="97">
        <f>IF(A9&lt;=malumot!$B$81,DATE(YEAR($B$8),MONTH($B$8)+A8,DAY(malumot!$B$78)),0)</f>
        <v>45782</v>
      </c>
      <c r="S9" s="83"/>
      <c r="T9" s="83"/>
      <c r="U9" s="83"/>
      <c r="V9" s="83"/>
    </row>
    <row r="10" spans="1:22">
      <c r="A10" s="89">
        <v>3</v>
      </c>
      <c r="B10" s="90">
        <f>IF(A10&lt;=malumot!$B$81,DATE(YEAR(R10),MONTH(R10),DAY(IF(A10=malumot!$B$81,malumot!$B$67,IF(A10&lt;malumot!$B$81,(Q10),IF(A10&gt;malumot!$B$81,$H$44,0))))))</f>
        <v>45813</v>
      </c>
      <c r="C10" s="51">
        <f t="shared" si="1"/>
        <v>25500000</v>
      </c>
      <c r="D10" s="51">
        <f t="shared" si="2"/>
        <v>750000</v>
      </c>
      <c r="E10" s="51">
        <f t="shared" si="3"/>
        <v>1299452.1099999999</v>
      </c>
      <c r="F10" s="51">
        <f t="shared" si="4"/>
        <v>2049452.1099999999</v>
      </c>
      <c r="G10" s="83">
        <f t="shared" ref="G10:G31" si="7">B10-B9</f>
        <v>31</v>
      </c>
      <c r="H10" s="83">
        <f t="shared" si="5"/>
        <v>365</v>
      </c>
      <c r="I10" s="91">
        <f>I9</f>
        <v>750000</v>
      </c>
      <c r="J10" s="91"/>
      <c r="K10" s="91"/>
      <c r="L10" s="85">
        <f>ROUND(C10*malumot!$B$84/H10,2)*G10</f>
        <v>1299452.1099999999</v>
      </c>
      <c r="M10" s="85">
        <f t="shared" si="0"/>
        <v>2049452.1099999999</v>
      </c>
      <c r="N10" s="85"/>
      <c r="O10" s="100" t="str">
        <f t="shared" ref="O10:O31" si="8">TEXT(R10,"ддд")</f>
        <v>Чт</v>
      </c>
      <c r="P10" s="102">
        <f t="shared" si="6"/>
        <v>0</v>
      </c>
      <c r="Q10" s="102">
        <f>DAY(malumot!$B$78)+P10</f>
        <v>5</v>
      </c>
      <c r="R10" s="97">
        <f>IF(A10&lt;=malumot!$B$81,DATE(YEAR($B$8),MONTH($B$8)+A9,DAY(malumot!$B$78)),0)</f>
        <v>45813</v>
      </c>
      <c r="S10" s="83"/>
      <c r="T10" s="83"/>
      <c r="U10" s="83"/>
      <c r="V10" s="83"/>
    </row>
    <row r="11" spans="1:22">
      <c r="A11" s="89">
        <v>4</v>
      </c>
      <c r="B11" s="90">
        <f>IF(A11&lt;=malumot!$B$81,DATE(YEAR(R11),MONTH(R11),DAY(IF(A11=malumot!$B$81,malumot!$B$67,IF(A11&lt;malumot!$B$81,(Q11),IF(A11&gt;malumot!$B$81,$H$44,0))))))</f>
        <v>45845</v>
      </c>
      <c r="C11" s="51">
        <f t="shared" si="1"/>
        <v>24750000</v>
      </c>
      <c r="D11" s="51">
        <f t="shared" si="2"/>
        <v>750000</v>
      </c>
      <c r="E11" s="51">
        <f t="shared" si="3"/>
        <v>1301917.76</v>
      </c>
      <c r="F11" s="51">
        <f t="shared" si="4"/>
        <v>2051917.76</v>
      </c>
      <c r="G11" s="83">
        <f t="shared" si="7"/>
        <v>32</v>
      </c>
      <c r="H11" s="83">
        <f t="shared" si="5"/>
        <v>365</v>
      </c>
      <c r="I11" s="91">
        <f>I10</f>
        <v>750000</v>
      </c>
      <c r="J11" s="91"/>
      <c r="K11" s="91"/>
      <c r="L11" s="85">
        <f>ROUND(C11*malumot!$B$84/H11,2)*G11</f>
        <v>1301917.76</v>
      </c>
      <c r="M11" s="85">
        <f t="shared" si="0"/>
        <v>2051917.76</v>
      </c>
      <c r="N11" s="85"/>
      <c r="O11" s="100" t="str">
        <f t="shared" si="8"/>
        <v>Сб</v>
      </c>
      <c r="P11" s="102">
        <f t="shared" si="6"/>
        <v>2</v>
      </c>
      <c r="Q11" s="102">
        <f>DAY(malumot!$B$78)+P11</f>
        <v>7</v>
      </c>
      <c r="R11" s="97">
        <f>IF(A11&lt;=malumot!$B$81,DATE(YEAR($B$8),MONTH($B$8)+A10,DAY(malumot!$B$78)),0)</f>
        <v>45843</v>
      </c>
      <c r="S11" s="83"/>
      <c r="T11" s="83"/>
      <c r="U11" s="83"/>
      <c r="V11" s="83"/>
    </row>
    <row r="12" spans="1:22">
      <c r="A12" s="89">
        <v>5</v>
      </c>
      <c r="B12" s="90">
        <f>IF(A12&lt;=malumot!$B$81,DATE(YEAR(R12),MONTH(R12),DAY(IF(A12=malumot!$B$81,malumot!$B$67,IF(A12&lt;malumot!$B$81,(Q12),IF(A12&gt;malumot!$B$81,$H$44,0))))))</f>
        <v>45874</v>
      </c>
      <c r="C12" s="51">
        <f t="shared" si="1"/>
        <v>24000000</v>
      </c>
      <c r="D12" s="51">
        <f t="shared" si="2"/>
        <v>750000</v>
      </c>
      <c r="E12" s="51">
        <f t="shared" si="3"/>
        <v>1144109.4500000002</v>
      </c>
      <c r="F12" s="51">
        <f t="shared" si="4"/>
        <v>1894109.4500000002</v>
      </c>
      <c r="G12" s="83">
        <f t="shared" si="7"/>
        <v>29</v>
      </c>
      <c r="H12" s="83">
        <f t="shared" si="5"/>
        <v>365</v>
      </c>
      <c r="I12" s="91">
        <f>I11</f>
        <v>750000</v>
      </c>
      <c r="J12" s="91">
        <f>malumot!B75</f>
        <v>27000000</v>
      </c>
      <c r="K12" s="91"/>
      <c r="L12" s="85">
        <f>ROUND(C12*malumot!$B$84/H12,2)*G12</f>
        <v>1144109.4500000002</v>
      </c>
      <c r="M12" s="85">
        <f t="shared" si="0"/>
        <v>1894109.4500000002</v>
      </c>
      <c r="N12" s="85"/>
      <c r="O12" s="100" t="str">
        <f t="shared" si="8"/>
        <v>Вт</v>
      </c>
      <c r="P12" s="102">
        <f t="shared" si="6"/>
        <v>0</v>
      </c>
      <c r="Q12" s="102">
        <f>DAY(malumot!$B$78)+P12</f>
        <v>5</v>
      </c>
      <c r="R12" s="97">
        <f>IF(A12&lt;=malumot!$B$81,DATE(YEAR($B$8),MONTH($B$8)+A11,DAY(malumot!$B$78)),0)</f>
        <v>45874</v>
      </c>
      <c r="S12" s="83"/>
      <c r="T12" s="83"/>
      <c r="U12" s="83"/>
      <c r="V12" s="83"/>
    </row>
    <row r="13" spans="1:22">
      <c r="A13" s="89">
        <v>6</v>
      </c>
      <c r="B13" s="90">
        <f>IF(A13&lt;=malumot!$B$81,DATE(YEAR(R13),MONTH(R13),DAY(IF(A13=malumot!$B$81,malumot!$B$67,IF(A13&lt;malumot!$B$81,(Q13),IF(A13&gt;malumot!$B$81,$H$44,0))))))</f>
        <v>45905</v>
      </c>
      <c r="C13" s="51">
        <f t="shared" si="1"/>
        <v>23250000</v>
      </c>
      <c r="D13" s="51">
        <f t="shared" si="2"/>
        <v>750000</v>
      </c>
      <c r="E13" s="51">
        <f t="shared" si="3"/>
        <v>1184794.58</v>
      </c>
      <c r="F13" s="51">
        <f t="shared" si="4"/>
        <v>1934794.58</v>
      </c>
      <c r="G13" s="83">
        <f t="shared" si="7"/>
        <v>31</v>
      </c>
      <c r="H13" s="83">
        <f t="shared" si="5"/>
        <v>365</v>
      </c>
      <c r="I13" s="91">
        <f>IF(L5=H1,K13,IF(L5&gt;H1,I12))</f>
        <v>750000</v>
      </c>
      <c r="J13" s="91">
        <f>SUM($I$8:I12)</f>
        <v>3750000</v>
      </c>
      <c r="K13" s="91">
        <f>$J$12-J13</f>
        <v>23250000</v>
      </c>
      <c r="L13" s="85">
        <f>ROUND(C13*malumot!$B$84/H13,2)*G13</f>
        <v>1184794.58</v>
      </c>
      <c r="M13" s="85">
        <f t="shared" si="0"/>
        <v>1934794.58</v>
      </c>
      <c r="N13" s="85"/>
      <c r="O13" s="100" t="str">
        <f t="shared" si="8"/>
        <v>Пт</v>
      </c>
      <c r="P13" s="102">
        <f t="shared" si="6"/>
        <v>0</v>
      </c>
      <c r="Q13" s="102">
        <f>DAY(malumot!$B$78)+P13</f>
        <v>5</v>
      </c>
      <c r="R13" s="97">
        <f>IF(A13&lt;=malumot!$B$81,DATE(YEAR($B$8),MONTH($B$8)+A12,DAY(malumot!$B$78)),0)</f>
        <v>45905</v>
      </c>
      <c r="S13" s="83"/>
      <c r="T13" s="83"/>
      <c r="U13" s="83"/>
      <c r="V13" s="83"/>
    </row>
    <row r="14" spans="1:22">
      <c r="A14" s="89">
        <v>7</v>
      </c>
      <c r="B14" s="90">
        <f>IF(A14&lt;=malumot!$B$81,DATE(YEAR(R14),MONTH(R14),DAY(IF(A14=malumot!$B$81,malumot!$B$67,IF(A14&lt;malumot!$B$81,(Q14),IF(A14&gt;malumot!$B$81,$H$44,0))))))</f>
        <v>45936</v>
      </c>
      <c r="C14" s="51">
        <f t="shared" si="1"/>
        <v>22500000</v>
      </c>
      <c r="D14" s="51">
        <f t="shared" si="2"/>
        <v>750000</v>
      </c>
      <c r="E14" s="51">
        <f t="shared" si="3"/>
        <v>1146575.3</v>
      </c>
      <c r="F14" s="51">
        <f t="shared" si="4"/>
        <v>1896575.3</v>
      </c>
      <c r="G14" s="83">
        <f t="shared" si="7"/>
        <v>31</v>
      </c>
      <c r="H14" s="83">
        <f t="shared" si="5"/>
        <v>365</v>
      </c>
      <c r="I14" s="91">
        <f>IF($L$5=A14,K14,IF($L$5&gt;A14,I13))</f>
        <v>750000</v>
      </c>
      <c r="J14" s="91">
        <f>SUM($I$8:I13)</f>
        <v>4500000</v>
      </c>
      <c r="K14" s="91">
        <f t="shared" ref="K14:K31" si="9">$J$12-J14</f>
        <v>22500000</v>
      </c>
      <c r="L14" s="85">
        <f>ROUND(C14*malumot!$B$84/H14,2)*G14</f>
        <v>1146575.3</v>
      </c>
      <c r="M14" s="85">
        <f t="shared" si="0"/>
        <v>1896575.3</v>
      </c>
      <c r="N14" s="85"/>
      <c r="O14" s="100" t="str">
        <f t="shared" si="8"/>
        <v>Вс</v>
      </c>
      <c r="P14" s="102">
        <f t="shared" si="6"/>
        <v>1</v>
      </c>
      <c r="Q14" s="102">
        <f>DAY(malumot!$B$78)+P14</f>
        <v>6</v>
      </c>
      <c r="R14" s="97">
        <f>IF(A14&lt;=malumot!$B$81,DATE(YEAR($B$8),MONTH($B$8)+A13,DAY(malumot!$B$78)),0)</f>
        <v>45935</v>
      </c>
      <c r="S14" s="83"/>
      <c r="T14" s="83"/>
      <c r="U14" s="83"/>
      <c r="V14" s="83"/>
    </row>
    <row r="15" spans="1:22">
      <c r="A15" s="89">
        <v>8</v>
      </c>
      <c r="B15" s="90">
        <f>IF(A15&lt;=malumot!$B$81,DATE(YEAR(R15),MONTH(R15),DAY(IF(A15=malumot!$B$81,malumot!$B$67,IF(A15&lt;malumot!$B$81,(Q15),IF(A15&gt;malumot!$B$81,$H$44,0))))))</f>
        <v>45966</v>
      </c>
      <c r="C15" s="51">
        <f t="shared" si="1"/>
        <v>21750000</v>
      </c>
      <c r="D15" s="51">
        <f t="shared" si="2"/>
        <v>750000</v>
      </c>
      <c r="E15" s="51">
        <f t="shared" si="3"/>
        <v>1072602.5999999999</v>
      </c>
      <c r="F15" s="51">
        <f t="shared" si="4"/>
        <v>1822602.5999999999</v>
      </c>
      <c r="G15" s="83">
        <f t="shared" si="7"/>
        <v>30</v>
      </c>
      <c r="H15" s="83">
        <f t="shared" si="5"/>
        <v>365</v>
      </c>
      <c r="I15" s="91">
        <f t="shared" ref="I15:I31" si="10">IF($L$5=A15,K15,IF($L$5&gt;A15,I14))</f>
        <v>750000</v>
      </c>
      <c r="J15" s="91">
        <f>SUM($I$8:I14)</f>
        <v>5250000</v>
      </c>
      <c r="K15" s="91">
        <f t="shared" si="9"/>
        <v>21750000</v>
      </c>
      <c r="L15" s="85">
        <f>ROUND(C15*malumot!$B$84/H15,2)*G15</f>
        <v>1072602.5999999999</v>
      </c>
      <c r="M15" s="85">
        <f t="shared" si="0"/>
        <v>1822602.5999999999</v>
      </c>
      <c r="N15" s="85"/>
      <c r="O15" s="100" t="str">
        <f t="shared" si="8"/>
        <v>Ср</v>
      </c>
      <c r="P15" s="102">
        <f t="shared" si="6"/>
        <v>0</v>
      </c>
      <c r="Q15" s="102">
        <f>DAY(malumot!$B$78)+P15</f>
        <v>5</v>
      </c>
      <c r="R15" s="97">
        <f>IF(A15&lt;=malumot!$B$81,DATE(YEAR($B$8),MONTH($B$8)+A14,DAY(malumot!$B$78)),0)</f>
        <v>45966</v>
      </c>
      <c r="S15" s="83"/>
      <c r="T15" s="83"/>
      <c r="U15" s="83"/>
      <c r="V15" s="83"/>
    </row>
    <row r="16" spans="1:22">
      <c r="A16" s="89">
        <v>9</v>
      </c>
      <c r="B16" s="90">
        <f>IF(A16&lt;=malumot!$B$81,DATE(YEAR(R16),MONTH(R16),DAY(IF(A16=malumot!$B$81,malumot!$B$67,IF(A16&lt;malumot!$B$81,(Q16),IF(A16&gt;malumot!$B$81,$H$44,0))))))</f>
        <v>45996</v>
      </c>
      <c r="C16" s="51">
        <f t="shared" si="1"/>
        <v>21000000</v>
      </c>
      <c r="D16" s="51">
        <f t="shared" si="2"/>
        <v>750000</v>
      </c>
      <c r="E16" s="51">
        <f t="shared" si="3"/>
        <v>1035616.5000000001</v>
      </c>
      <c r="F16" s="51">
        <f t="shared" si="4"/>
        <v>1785616.5</v>
      </c>
      <c r="G16" s="83">
        <f t="shared" si="7"/>
        <v>30</v>
      </c>
      <c r="H16" s="83">
        <f t="shared" si="5"/>
        <v>365</v>
      </c>
      <c r="I16" s="91">
        <f t="shared" si="10"/>
        <v>750000</v>
      </c>
      <c r="J16" s="91">
        <f>SUM($I$8:I15)</f>
        <v>6000000</v>
      </c>
      <c r="K16" s="91">
        <f t="shared" si="9"/>
        <v>21000000</v>
      </c>
      <c r="L16" s="85">
        <f>ROUND(C16*malumot!$B$84/H16,2)*G16</f>
        <v>1035616.5000000001</v>
      </c>
      <c r="M16" s="85">
        <f t="shared" si="0"/>
        <v>1785616.5</v>
      </c>
      <c r="N16" s="85"/>
      <c r="O16" s="100" t="str">
        <f t="shared" si="8"/>
        <v>Пт</v>
      </c>
      <c r="P16" s="102">
        <f t="shared" si="6"/>
        <v>0</v>
      </c>
      <c r="Q16" s="102">
        <f>DAY(malumot!$B$78)+P16</f>
        <v>5</v>
      </c>
      <c r="R16" s="97">
        <f>IF(A16&lt;=malumot!$B$81,DATE(YEAR($B$8),MONTH($B$8)+A15,DAY(malumot!$B$78)),0)</f>
        <v>45996</v>
      </c>
      <c r="S16" s="83"/>
      <c r="T16" s="83"/>
      <c r="U16" s="83"/>
      <c r="V16" s="83"/>
    </row>
    <row r="17" spans="1:22">
      <c r="A17" s="89">
        <v>10</v>
      </c>
      <c r="B17" s="90">
        <f>IF(A17&lt;=malumot!$B$81,DATE(YEAR(R17),MONTH(R17),DAY(IF(A17=malumot!$B$81,malumot!$B$67,IF(A17&lt;malumot!$B$81,(Q17),IF(A17&gt;malumot!$B$81,$H$44,0))))))</f>
        <v>46027</v>
      </c>
      <c r="C17" s="51">
        <f t="shared" si="1"/>
        <v>20250000</v>
      </c>
      <c r="D17" s="51">
        <f t="shared" si="2"/>
        <v>750000</v>
      </c>
      <c r="E17" s="51">
        <f t="shared" si="3"/>
        <v>1031917.7699999999</v>
      </c>
      <c r="F17" s="51">
        <f t="shared" si="4"/>
        <v>1781917.77</v>
      </c>
      <c r="G17" s="83">
        <f t="shared" si="7"/>
        <v>31</v>
      </c>
      <c r="H17" s="83">
        <f t="shared" si="5"/>
        <v>365</v>
      </c>
      <c r="I17" s="91">
        <f t="shared" si="10"/>
        <v>750000</v>
      </c>
      <c r="J17" s="91">
        <f>SUM($I$8:I16)</f>
        <v>6750000</v>
      </c>
      <c r="K17" s="91">
        <f>$J$12-J17</f>
        <v>20250000</v>
      </c>
      <c r="L17" s="85">
        <f>ROUND(C17*malumot!$B$84/H17,2)*G17</f>
        <v>1031917.7699999999</v>
      </c>
      <c r="M17" s="85">
        <f t="shared" si="0"/>
        <v>1781917.77</v>
      </c>
      <c r="N17" s="85"/>
      <c r="O17" s="100" t="str">
        <f t="shared" si="8"/>
        <v>Пн</v>
      </c>
      <c r="P17" s="102">
        <f t="shared" si="6"/>
        <v>0</v>
      </c>
      <c r="Q17" s="102">
        <f>DAY(malumot!$B$78)+P17</f>
        <v>5</v>
      </c>
      <c r="R17" s="97">
        <f>IF(A17&lt;=malumot!$B$81,DATE(YEAR($B$8),MONTH($B$8)+A16,DAY(malumot!$B$78)),0)</f>
        <v>46027</v>
      </c>
      <c r="S17" s="83"/>
      <c r="T17" s="83"/>
      <c r="U17" s="83"/>
      <c r="V17" s="83"/>
    </row>
    <row r="18" spans="1:22">
      <c r="A18" s="89">
        <v>11</v>
      </c>
      <c r="B18" s="90">
        <f>IF(A18&lt;=malumot!$B$81,DATE(YEAR(R18),MONTH(R18),DAY(IF(A18=malumot!$B$81,malumot!$B$67,IF(A18&lt;malumot!$B$81,(Q18),IF(A18&gt;malumot!$B$81,$H$44,0))))))</f>
        <v>46058</v>
      </c>
      <c r="C18" s="51">
        <f t="shared" si="1"/>
        <v>19500000</v>
      </c>
      <c r="D18" s="51">
        <f t="shared" si="2"/>
        <v>750000</v>
      </c>
      <c r="E18" s="51">
        <f t="shared" si="3"/>
        <v>993698.49</v>
      </c>
      <c r="F18" s="51">
        <f t="shared" si="4"/>
        <v>1743698.49</v>
      </c>
      <c r="G18" s="83">
        <f t="shared" si="7"/>
        <v>31</v>
      </c>
      <c r="H18" s="83">
        <f t="shared" si="5"/>
        <v>365</v>
      </c>
      <c r="I18" s="91">
        <f t="shared" si="10"/>
        <v>750000</v>
      </c>
      <c r="J18" s="91">
        <f>SUM($I$8:I17)</f>
        <v>7500000</v>
      </c>
      <c r="K18" s="91">
        <f t="shared" si="9"/>
        <v>19500000</v>
      </c>
      <c r="L18" s="85">
        <f>ROUND(C18*malumot!$B$84/H18,2)*G18</f>
        <v>993698.49</v>
      </c>
      <c r="M18" s="85">
        <f t="shared" si="0"/>
        <v>1743698.49</v>
      </c>
      <c r="N18" s="85"/>
      <c r="O18" s="100" t="str">
        <f t="shared" si="8"/>
        <v>Чт</v>
      </c>
      <c r="P18" s="102">
        <f t="shared" si="6"/>
        <v>0</v>
      </c>
      <c r="Q18" s="102">
        <f>DAY(malumot!$B$78)+P18</f>
        <v>5</v>
      </c>
      <c r="R18" s="97">
        <f>IF(A18&lt;=malumot!$B$81,DATE(YEAR($B$8),MONTH($B$8)+A17,DAY(malumot!$B$78)),0)</f>
        <v>46058</v>
      </c>
      <c r="S18" s="83"/>
      <c r="T18" s="83"/>
      <c r="U18" s="83"/>
      <c r="V18" s="83"/>
    </row>
    <row r="19" spans="1:22">
      <c r="A19" s="89">
        <v>12</v>
      </c>
      <c r="B19" s="90">
        <f>IF(A19&lt;=malumot!$B$81,DATE(YEAR(R19),MONTH(R19),DAY(IF(A19=malumot!$B$81,malumot!$B$67,IF(A19&lt;malumot!$B$81,(Q19),IF(A19&gt;malumot!$B$81,$H$44,0))))))</f>
        <v>46086</v>
      </c>
      <c r="C19" s="51">
        <f t="shared" si="1"/>
        <v>18750000</v>
      </c>
      <c r="D19" s="51">
        <f t="shared" si="2"/>
        <v>750000</v>
      </c>
      <c r="E19" s="51">
        <f t="shared" si="3"/>
        <v>863013.76</v>
      </c>
      <c r="F19" s="51">
        <f t="shared" si="4"/>
        <v>1613013.76</v>
      </c>
      <c r="G19" s="83">
        <f t="shared" si="7"/>
        <v>28</v>
      </c>
      <c r="H19" s="83">
        <f t="shared" si="5"/>
        <v>365</v>
      </c>
      <c r="I19" s="91">
        <f t="shared" si="10"/>
        <v>750000</v>
      </c>
      <c r="J19" s="91">
        <f>SUM($I$8:I18)</f>
        <v>8250000</v>
      </c>
      <c r="K19" s="91">
        <f t="shared" si="9"/>
        <v>18750000</v>
      </c>
      <c r="L19" s="85">
        <f>ROUND(C19*malumot!$B$84/H19,2)*G19</f>
        <v>863013.76</v>
      </c>
      <c r="M19" s="85">
        <f t="shared" si="0"/>
        <v>1613013.76</v>
      </c>
      <c r="N19" s="85"/>
      <c r="O19" s="100" t="str">
        <f t="shared" si="8"/>
        <v>Чт</v>
      </c>
      <c r="P19" s="102">
        <f t="shared" si="6"/>
        <v>0</v>
      </c>
      <c r="Q19" s="102">
        <f>DAY(malumot!$B$78)+P19</f>
        <v>5</v>
      </c>
      <c r="R19" s="97">
        <f>IF(A19&lt;=malumot!$B$81,DATE(YEAR($B$8),MONTH($B$8)+A18,DAY(malumot!$B$78)),0)</f>
        <v>46086</v>
      </c>
      <c r="S19" s="83"/>
      <c r="T19" s="83"/>
      <c r="U19" s="83"/>
      <c r="V19" s="83"/>
    </row>
    <row r="20" spans="1:22">
      <c r="A20" s="89">
        <v>13</v>
      </c>
      <c r="B20" s="90">
        <f>IF(A20&lt;=malumot!$B$81,DATE(YEAR(R20),MONTH(R20),DAY(IF(A20=malumot!$B$81,malumot!$B$67,IF(A20&lt;malumot!$B$81,(Q20),IF(A20&gt;malumot!$B$81,$H$44,0))))))</f>
        <v>46118</v>
      </c>
      <c r="C20" s="51">
        <f t="shared" si="1"/>
        <v>18000000</v>
      </c>
      <c r="D20" s="51">
        <f t="shared" si="2"/>
        <v>750000</v>
      </c>
      <c r="E20" s="51">
        <f t="shared" si="3"/>
        <v>946849.28000000003</v>
      </c>
      <c r="F20" s="51">
        <f t="shared" si="4"/>
        <v>1696849.28</v>
      </c>
      <c r="G20" s="83">
        <f t="shared" si="7"/>
        <v>32</v>
      </c>
      <c r="H20" s="83">
        <f t="shared" si="5"/>
        <v>365</v>
      </c>
      <c r="I20" s="91">
        <f t="shared" si="10"/>
        <v>750000</v>
      </c>
      <c r="J20" s="91">
        <f>SUM($I$8:I19)</f>
        <v>9000000</v>
      </c>
      <c r="K20" s="91">
        <f>$J$12-J20</f>
        <v>18000000</v>
      </c>
      <c r="L20" s="85">
        <f>ROUND(C20*malumot!$B$84/H20,2)*G20</f>
        <v>946849.28000000003</v>
      </c>
      <c r="M20" s="85">
        <f t="shared" si="0"/>
        <v>1696849.28</v>
      </c>
      <c r="N20" s="85"/>
      <c r="O20" s="100" t="str">
        <f t="shared" si="8"/>
        <v>Вс</v>
      </c>
      <c r="P20" s="102">
        <f t="shared" si="6"/>
        <v>1</v>
      </c>
      <c r="Q20" s="102">
        <f>DAY(malumot!$B$78)+P20</f>
        <v>6</v>
      </c>
      <c r="R20" s="97">
        <f>IF(A20&lt;=malumot!$B$81,DATE(YEAR($B$8),MONTH($B$8)+A19,DAY(malumot!$B$78)),0)</f>
        <v>46117</v>
      </c>
      <c r="S20" s="83"/>
      <c r="T20" s="83"/>
      <c r="U20" s="83"/>
      <c r="V20" s="83"/>
    </row>
    <row r="21" spans="1:22">
      <c r="A21" s="89">
        <v>14</v>
      </c>
      <c r="B21" s="90">
        <f>IF(A21&lt;=malumot!$B$81,DATE(YEAR(R21),MONTH(R21),DAY(IF(A21=malumot!$B$81,malumot!$B$67,IF(A21&lt;malumot!$B$81,(Q21),IF(A21&gt;malumot!$B$81,$H$44,0))))))</f>
        <v>46147</v>
      </c>
      <c r="C21" s="51">
        <f t="shared" si="1"/>
        <v>17250000</v>
      </c>
      <c r="D21" s="51">
        <f t="shared" si="2"/>
        <v>750000</v>
      </c>
      <c r="E21" s="51">
        <f t="shared" si="3"/>
        <v>822328.64</v>
      </c>
      <c r="F21" s="51">
        <f t="shared" si="4"/>
        <v>1572328.6400000001</v>
      </c>
      <c r="G21" s="83">
        <f t="shared" si="7"/>
        <v>29</v>
      </c>
      <c r="H21" s="83">
        <f t="shared" si="5"/>
        <v>365</v>
      </c>
      <c r="I21" s="91">
        <f t="shared" si="10"/>
        <v>750000</v>
      </c>
      <c r="J21" s="91">
        <f>SUM($I$8:I20)</f>
        <v>9750000</v>
      </c>
      <c r="K21" s="91">
        <f t="shared" si="9"/>
        <v>17250000</v>
      </c>
      <c r="L21" s="85">
        <f>ROUND(C21*malumot!$B$84/H21,2)*G21</f>
        <v>822328.64</v>
      </c>
      <c r="M21" s="85">
        <f t="shared" si="0"/>
        <v>1572328.6400000001</v>
      </c>
      <c r="N21" s="85"/>
      <c r="O21" s="100" t="str">
        <f t="shared" si="8"/>
        <v>Вт</v>
      </c>
      <c r="P21" s="102">
        <f t="shared" si="6"/>
        <v>0</v>
      </c>
      <c r="Q21" s="102">
        <f>DAY(malumot!$B$78)+P21</f>
        <v>5</v>
      </c>
      <c r="R21" s="97">
        <f>IF(A21&lt;=malumot!$B$81,DATE(YEAR($B$8),MONTH($B$8)+A20,DAY(malumot!$B$78)),0)</f>
        <v>46147</v>
      </c>
      <c r="S21" s="83"/>
      <c r="T21" s="83"/>
      <c r="U21" s="83"/>
      <c r="V21" s="83"/>
    </row>
    <row r="22" spans="1:22">
      <c r="A22" s="89">
        <v>15</v>
      </c>
      <c r="B22" s="90">
        <f>IF(A22&lt;=malumot!$B$81,DATE(YEAR(R22),MONTH(R22),DAY(IF(A22=malumot!$B$81,malumot!$B$67,IF(A22&lt;malumot!$B$81,(Q22),IF(A22&gt;malumot!$B$81,$H$44,0))))))</f>
        <v>46178</v>
      </c>
      <c r="C22" s="51">
        <f t="shared" si="1"/>
        <v>16500000</v>
      </c>
      <c r="D22" s="51">
        <f t="shared" si="2"/>
        <v>750000</v>
      </c>
      <c r="E22" s="51">
        <f t="shared" si="3"/>
        <v>840821.99</v>
      </c>
      <c r="F22" s="51">
        <f t="shared" si="4"/>
        <v>1590821.99</v>
      </c>
      <c r="G22" s="83">
        <f t="shared" si="7"/>
        <v>31</v>
      </c>
      <c r="H22" s="83">
        <f t="shared" si="5"/>
        <v>365</v>
      </c>
      <c r="I22" s="91">
        <f t="shared" si="10"/>
        <v>750000</v>
      </c>
      <c r="J22" s="91">
        <f>SUM($I$8:I21)</f>
        <v>10500000</v>
      </c>
      <c r="K22" s="91">
        <f t="shared" si="9"/>
        <v>16500000</v>
      </c>
      <c r="L22" s="85">
        <f>ROUND(C22*malumot!$B$84/H22,2)*G22</f>
        <v>840821.99</v>
      </c>
      <c r="M22" s="85">
        <f t="shared" si="0"/>
        <v>1590821.99</v>
      </c>
      <c r="N22" s="85"/>
      <c r="O22" s="100" t="str">
        <f t="shared" si="8"/>
        <v>Пт</v>
      </c>
      <c r="P22" s="102">
        <f t="shared" si="6"/>
        <v>0</v>
      </c>
      <c r="Q22" s="102">
        <f>DAY(malumot!$B$78)+P22</f>
        <v>5</v>
      </c>
      <c r="R22" s="97">
        <f>IF(A22&lt;=malumot!$B$81,DATE(YEAR($B$8),MONTH($B$8)+A21,DAY(malumot!$B$78)),0)</f>
        <v>46178</v>
      </c>
      <c r="S22" s="83"/>
      <c r="T22" s="83"/>
      <c r="U22" s="83"/>
      <c r="V22" s="83"/>
    </row>
    <row r="23" spans="1:22">
      <c r="A23" s="89">
        <v>16</v>
      </c>
      <c r="B23" s="90">
        <f>IF(A23&lt;=malumot!$B$81,DATE(YEAR(R23),MONTH(R23),DAY(IF(A23=malumot!$B$81,malumot!$B$67,IF(A23&lt;malumot!$B$81,(Q23),IF(A23&gt;malumot!$B$81,$H$44,0))))))</f>
        <v>46209</v>
      </c>
      <c r="C23" s="51">
        <f t="shared" si="1"/>
        <v>15750000</v>
      </c>
      <c r="D23" s="51">
        <f t="shared" si="2"/>
        <v>750000</v>
      </c>
      <c r="E23" s="51">
        <f t="shared" si="3"/>
        <v>802602.71</v>
      </c>
      <c r="F23" s="51">
        <f t="shared" si="4"/>
        <v>1552602.71</v>
      </c>
      <c r="G23" s="83">
        <f t="shared" si="7"/>
        <v>31</v>
      </c>
      <c r="H23" s="83">
        <f t="shared" si="5"/>
        <v>365</v>
      </c>
      <c r="I23" s="91">
        <f t="shared" si="10"/>
        <v>750000</v>
      </c>
      <c r="J23" s="91">
        <f>SUM($I$8:I22)</f>
        <v>11250000</v>
      </c>
      <c r="K23" s="91">
        <f t="shared" si="9"/>
        <v>15750000</v>
      </c>
      <c r="L23" s="85">
        <f>ROUND(C23*malumot!$B$84/H23,2)*G23</f>
        <v>802602.71</v>
      </c>
      <c r="M23" s="85">
        <f t="shared" si="0"/>
        <v>1552602.71</v>
      </c>
      <c r="N23" s="85"/>
      <c r="O23" s="100" t="str">
        <f t="shared" si="8"/>
        <v>Вс</v>
      </c>
      <c r="P23" s="102">
        <f t="shared" si="6"/>
        <v>1</v>
      </c>
      <c r="Q23" s="102">
        <f>DAY(malumot!$B$78)+P23</f>
        <v>6</v>
      </c>
      <c r="R23" s="97">
        <f>IF(A23&lt;=malumot!$B$81,DATE(YEAR($B$8),MONTH($B$8)+A22,DAY(malumot!$B$78)),0)</f>
        <v>46208</v>
      </c>
      <c r="S23" s="83"/>
      <c r="T23" s="83"/>
      <c r="U23" s="83"/>
      <c r="V23" s="83"/>
    </row>
    <row r="24" spans="1:22">
      <c r="A24" s="89">
        <v>17</v>
      </c>
      <c r="B24" s="90">
        <f>IF(A24&lt;=malumot!$B$81,DATE(YEAR(R24),MONTH(R24),DAY(IF(A24=malumot!$B$81,malumot!$B$67,IF(A24&lt;malumot!$B$81,(Q24),IF(A24&gt;malumot!$B$81,$H$44,0))))))</f>
        <v>46239</v>
      </c>
      <c r="C24" s="51">
        <f t="shared" si="1"/>
        <v>15000000</v>
      </c>
      <c r="D24" s="51">
        <f t="shared" si="2"/>
        <v>750000</v>
      </c>
      <c r="E24" s="51">
        <f t="shared" si="3"/>
        <v>739725.89999999991</v>
      </c>
      <c r="F24" s="51">
        <f t="shared" si="4"/>
        <v>1489725.9</v>
      </c>
      <c r="G24" s="83">
        <f t="shared" si="7"/>
        <v>30</v>
      </c>
      <c r="H24" s="83">
        <f t="shared" si="5"/>
        <v>365</v>
      </c>
      <c r="I24" s="91">
        <f t="shared" si="10"/>
        <v>750000</v>
      </c>
      <c r="J24" s="91">
        <f>SUM($I$8:I23)</f>
        <v>12000000</v>
      </c>
      <c r="K24" s="91">
        <f t="shared" si="9"/>
        <v>15000000</v>
      </c>
      <c r="L24" s="85">
        <f>ROUND(C24*malumot!$B$84/H24,2)*G24</f>
        <v>739725.89999999991</v>
      </c>
      <c r="M24" s="85">
        <f t="shared" si="0"/>
        <v>1489725.9</v>
      </c>
      <c r="N24" s="85"/>
      <c r="O24" s="100" t="str">
        <f t="shared" si="8"/>
        <v>Ср</v>
      </c>
      <c r="P24" s="102">
        <f t="shared" si="6"/>
        <v>0</v>
      </c>
      <c r="Q24" s="102">
        <f>DAY(malumot!$B$78)+P24</f>
        <v>5</v>
      </c>
      <c r="R24" s="97">
        <f>IF(A24&lt;=malumot!$B$81,DATE(YEAR($B$8),MONTH($B$8)+A23,DAY(malumot!$B$78)),0)</f>
        <v>46239</v>
      </c>
      <c r="S24" s="83"/>
      <c r="T24" s="83"/>
      <c r="U24" s="83"/>
      <c r="V24" s="83"/>
    </row>
    <row r="25" spans="1:22">
      <c r="A25" s="89">
        <v>18</v>
      </c>
      <c r="B25" s="90">
        <f>IF(A25&lt;=malumot!$B$81,DATE(YEAR(R25),MONTH(R25),DAY(IF(A25=malumot!$B$81,malumot!$B$67,IF(A25&lt;malumot!$B$81,(Q25),IF(A25&gt;malumot!$B$81,$H$44,0))))))</f>
        <v>46272</v>
      </c>
      <c r="C25" s="51">
        <f t="shared" si="1"/>
        <v>14250000</v>
      </c>
      <c r="D25" s="51">
        <f t="shared" si="2"/>
        <v>750000</v>
      </c>
      <c r="E25" s="51">
        <f t="shared" si="3"/>
        <v>773013.78</v>
      </c>
      <c r="F25" s="51">
        <f t="shared" si="4"/>
        <v>1523013.78</v>
      </c>
      <c r="G25" s="83">
        <f t="shared" si="7"/>
        <v>33</v>
      </c>
      <c r="H25" s="83">
        <f t="shared" si="5"/>
        <v>365</v>
      </c>
      <c r="I25" s="91">
        <f t="shared" si="10"/>
        <v>750000</v>
      </c>
      <c r="J25" s="91">
        <f>SUM($I$8:I24)</f>
        <v>12750000</v>
      </c>
      <c r="K25" s="91">
        <f t="shared" si="9"/>
        <v>14250000</v>
      </c>
      <c r="L25" s="85">
        <f>ROUND(C25*malumot!$B$84/H25,2)*G25</f>
        <v>773013.78</v>
      </c>
      <c r="M25" s="85">
        <f t="shared" si="0"/>
        <v>1523013.78</v>
      </c>
      <c r="N25" s="85"/>
      <c r="O25" s="100" t="str">
        <f t="shared" si="8"/>
        <v>Сб</v>
      </c>
      <c r="P25" s="102">
        <f t="shared" si="6"/>
        <v>2</v>
      </c>
      <c r="Q25" s="102">
        <f>DAY(malumot!$B$78)+P25</f>
        <v>7</v>
      </c>
      <c r="R25" s="97">
        <f>IF(A25&lt;=malumot!$B$81,DATE(YEAR($B$8),MONTH($B$8)+A24,DAY(malumot!$B$78)),0)</f>
        <v>46270</v>
      </c>
      <c r="S25" s="83"/>
      <c r="T25" s="83"/>
      <c r="U25" s="83"/>
      <c r="V25" s="83"/>
    </row>
    <row r="26" spans="1:22">
      <c r="A26" s="89">
        <v>19</v>
      </c>
      <c r="B26" s="90">
        <f>IF(A26&lt;=malumot!$B$81,DATE(YEAR(R26),MONTH(R26),DAY(IF(A26=malumot!$B$81,malumot!$B$67,IF(A26&lt;malumot!$B$81,(Q26),IF(A26&gt;malumot!$B$81,$H$44,0))))))</f>
        <v>46300</v>
      </c>
      <c r="C26" s="51">
        <f t="shared" si="1"/>
        <v>13500000</v>
      </c>
      <c r="D26" s="51">
        <f t="shared" si="2"/>
        <v>750000</v>
      </c>
      <c r="E26" s="51">
        <f t="shared" si="3"/>
        <v>621369.84</v>
      </c>
      <c r="F26" s="51">
        <f t="shared" si="4"/>
        <v>1371369.8399999999</v>
      </c>
      <c r="G26" s="83">
        <f t="shared" si="7"/>
        <v>28</v>
      </c>
      <c r="H26" s="83">
        <f t="shared" si="5"/>
        <v>365</v>
      </c>
      <c r="I26" s="91">
        <f t="shared" si="10"/>
        <v>750000</v>
      </c>
      <c r="J26" s="91">
        <f>SUM($I$8:I25)</f>
        <v>13500000</v>
      </c>
      <c r="K26" s="91">
        <f t="shared" si="9"/>
        <v>13500000</v>
      </c>
      <c r="L26" s="85">
        <f>ROUND(C26*malumot!$B$84/H26,2)*G26</f>
        <v>621369.84</v>
      </c>
      <c r="M26" s="85">
        <f t="shared" si="0"/>
        <v>1371369.8399999999</v>
      </c>
      <c r="N26" s="85"/>
      <c r="O26" s="100" t="str">
        <f t="shared" si="8"/>
        <v>Пн</v>
      </c>
      <c r="P26" s="102">
        <f t="shared" si="6"/>
        <v>0</v>
      </c>
      <c r="Q26" s="102">
        <f>DAY(malumot!$B$78)+P26</f>
        <v>5</v>
      </c>
      <c r="R26" s="97">
        <f>IF(A26&lt;=malumot!$B$81,DATE(YEAR($B$8),MONTH($B$8)+A25,DAY(malumot!$B$78)),0)</f>
        <v>46300</v>
      </c>
      <c r="S26" s="83"/>
      <c r="T26" s="83"/>
      <c r="U26" s="83"/>
      <c r="V26" s="83"/>
    </row>
    <row r="27" spans="1:22">
      <c r="A27" s="89">
        <v>20</v>
      </c>
      <c r="B27" s="90">
        <f>IF(A27&lt;=malumot!$B$81,DATE(YEAR(R27),MONTH(R27),DAY(IF(A27=malumot!$B$81,malumot!$B$67,IF(A27&lt;malumot!$B$81,(Q27),IF(A27&gt;malumot!$B$81,$H$44,0))))))</f>
        <v>46331</v>
      </c>
      <c r="C27" s="51">
        <f t="shared" si="1"/>
        <v>12750000</v>
      </c>
      <c r="D27" s="51">
        <f t="shared" si="2"/>
        <v>750000</v>
      </c>
      <c r="E27" s="51">
        <f t="shared" si="3"/>
        <v>649725.9</v>
      </c>
      <c r="F27" s="51">
        <f t="shared" si="4"/>
        <v>1399725.9</v>
      </c>
      <c r="G27" s="83">
        <f t="shared" si="7"/>
        <v>31</v>
      </c>
      <c r="H27" s="83">
        <f t="shared" si="5"/>
        <v>365</v>
      </c>
      <c r="I27" s="91">
        <f t="shared" si="10"/>
        <v>750000</v>
      </c>
      <c r="J27" s="91">
        <f>SUM($I$8:I26)</f>
        <v>14250000</v>
      </c>
      <c r="K27" s="91">
        <f t="shared" si="9"/>
        <v>12750000</v>
      </c>
      <c r="L27" s="85">
        <f>ROUND(C27*malumot!$B$84/H27,2)*G27</f>
        <v>649725.9</v>
      </c>
      <c r="M27" s="85">
        <f t="shared" si="0"/>
        <v>1399725.9</v>
      </c>
      <c r="N27" s="85"/>
      <c r="O27" s="100" t="str">
        <f t="shared" si="8"/>
        <v>Чт</v>
      </c>
      <c r="P27" s="102">
        <f t="shared" si="6"/>
        <v>0</v>
      </c>
      <c r="Q27" s="102">
        <f>DAY(malumot!$B$78)+P27</f>
        <v>5</v>
      </c>
      <c r="R27" s="97">
        <f>IF(A27&lt;=malumot!$B$81,DATE(YEAR($B$8),MONTH($B$8)+A26,DAY(malumot!$B$78)),0)</f>
        <v>46331</v>
      </c>
      <c r="S27" s="83"/>
      <c r="T27" s="83"/>
      <c r="U27" s="83"/>
      <c r="V27" s="83"/>
    </row>
    <row r="28" spans="1:22">
      <c r="A28" s="89">
        <v>21</v>
      </c>
      <c r="B28" s="90">
        <f>IF(A28&lt;=malumot!$B$81,DATE(YEAR(R28),MONTH(R28),DAY(IF(A28=malumot!$B$81,malumot!$B$67,IF(A28&lt;malumot!$B$81,(Q28),IF(A28&gt;malumot!$B$81,$H$44,0))))))</f>
        <v>46363</v>
      </c>
      <c r="C28" s="51">
        <f t="shared" si="1"/>
        <v>12000000</v>
      </c>
      <c r="D28" s="51">
        <f t="shared" si="2"/>
        <v>750000</v>
      </c>
      <c r="E28" s="51">
        <f t="shared" si="3"/>
        <v>631232.96</v>
      </c>
      <c r="F28" s="51">
        <f t="shared" si="4"/>
        <v>1381232.96</v>
      </c>
      <c r="G28" s="83">
        <f t="shared" si="7"/>
        <v>32</v>
      </c>
      <c r="H28" s="83">
        <f t="shared" si="5"/>
        <v>365</v>
      </c>
      <c r="I28" s="91">
        <f t="shared" si="10"/>
        <v>750000</v>
      </c>
      <c r="J28" s="91">
        <f>SUM($I$8:I27)</f>
        <v>15000000</v>
      </c>
      <c r="K28" s="91">
        <f t="shared" si="9"/>
        <v>12000000</v>
      </c>
      <c r="L28" s="85">
        <f>ROUND(C28*malumot!$B$84/H28,2)*G28</f>
        <v>631232.96</v>
      </c>
      <c r="M28" s="85">
        <f t="shared" si="0"/>
        <v>1381232.96</v>
      </c>
      <c r="N28" s="85"/>
      <c r="O28" s="100" t="str">
        <f t="shared" si="8"/>
        <v>Сб</v>
      </c>
      <c r="P28" s="102">
        <f t="shared" si="6"/>
        <v>2</v>
      </c>
      <c r="Q28" s="102">
        <f>DAY(malumot!$B$78)+P28</f>
        <v>7</v>
      </c>
      <c r="R28" s="97">
        <f>IF(A28&lt;=malumot!$B$81,DATE(YEAR($B$8),MONTH($B$8)+A27,DAY(malumot!$B$78)),0)</f>
        <v>46361</v>
      </c>
      <c r="S28" s="83"/>
      <c r="T28" s="83"/>
      <c r="U28" s="83"/>
      <c r="V28" s="83"/>
    </row>
    <row r="29" spans="1:22">
      <c r="A29" s="89">
        <v>22</v>
      </c>
      <c r="B29" s="90">
        <f>IF(A29&lt;=malumot!$B$81,DATE(YEAR(R29),MONTH(R29),DAY(IF(A29=malumot!$B$81,malumot!$B$67,IF(A29&lt;malumot!$B$81,(Q29),IF(A29&gt;malumot!$B$81,$H$44,0))))))</f>
        <v>46392</v>
      </c>
      <c r="C29" s="51">
        <f t="shared" si="1"/>
        <v>11250000</v>
      </c>
      <c r="D29" s="51">
        <f t="shared" si="2"/>
        <v>750000</v>
      </c>
      <c r="E29" s="51">
        <f t="shared" si="3"/>
        <v>536301.35000000009</v>
      </c>
      <c r="F29" s="51">
        <f t="shared" si="4"/>
        <v>1286301.3500000001</v>
      </c>
      <c r="G29" s="83">
        <f t="shared" si="7"/>
        <v>29</v>
      </c>
      <c r="H29" s="83">
        <f t="shared" si="5"/>
        <v>365</v>
      </c>
      <c r="I29" s="91">
        <f t="shared" si="10"/>
        <v>750000</v>
      </c>
      <c r="J29" s="91">
        <f>SUM($I$8:I28)</f>
        <v>15750000</v>
      </c>
      <c r="K29" s="91">
        <f t="shared" si="9"/>
        <v>11250000</v>
      </c>
      <c r="L29" s="85">
        <f>ROUND(C29*malumot!$B$84/H29,2)*G29</f>
        <v>536301.35000000009</v>
      </c>
      <c r="M29" s="85">
        <f t="shared" si="0"/>
        <v>1286301.3500000001</v>
      </c>
      <c r="N29" s="85"/>
      <c r="O29" s="100" t="str">
        <f t="shared" si="8"/>
        <v>Вт</v>
      </c>
      <c r="P29" s="102">
        <f t="shared" si="6"/>
        <v>0</v>
      </c>
      <c r="Q29" s="102">
        <f>DAY(malumot!$B$78)+P29</f>
        <v>5</v>
      </c>
      <c r="R29" s="97">
        <f>IF(A29&lt;=malumot!$B$81,DATE(YEAR($B$8),MONTH($B$8)+A28,DAY(malumot!$B$78)),0)</f>
        <v>46392</v>
      </c>
      <c r="S29" s="83"/>
      <c r="T29" s="83"/>
      <c r="U29" s="83"/>
      <c r="V29" s="83"/>
    </row>
    <row r="30" spans="1:22">
      <c r="A30" s="89">
        <v>23</v>
      </c>
      <c r="B30" s="90">
        <f>IF(A30&lt;=malumot!$B$81,DATE(YEAR(R30),MONTH(R30),DAY(IF(A30=malumot!$B$81,malumot!$B$67,IF(A30&lt;malumot!$B$81,(Q30),IF(A30&gt;malumot!$B$81,$H$44,0))))))</f>
        <v>46423</v>
      </c>
      <c r="C30" s="51">
        <f t="shared" si="1"/>
        <v>10500000</v>
      </c>
      <c r="D30" s="51">
        <f t="shared" si="2"/>
        <v>750000</v>
      </c>
      <c r="E30" s="51">
        <f t="shared" si="3"/>
        <v>535068.37</v>
      </c>
      <c r="F30" s="51">
        <f t="shared" si="4"/>
        <v>1285068.3700000001</v>
      </c>
      <c r="G30" s="83">
        <f t="shared" si="7"/>
        <v>31</v>
      </c>
      <c r="H30" s="83">
        <f t="shared" si="5"/>
        <v>365</v>
      </c>
      <c r="I30" s="91">
        <f t="shared" si="10"/>
        <v>750000</v>
      </c>
      <c r="J30" s="91">
        <f>SUM($I$8:I29)</f>
        <v>16500000</v>
      </c>
      <c r="K30" s="91">
        <f t="shared" si="9"/>
        <v>10500000</v>
      </c>
      <c r="L30" s="85">
        <f>ROUND(C30*malumot!$B$84/H30,2)*G30</f>
        <v>535068.37</v>
      </c>
      <c r="M30" s="85">
        <f t="shared" si="0"/>
        <v>1285068.3700000001</v>
      </c>
      <c r="N30" s="85"/>
      <c r="O30" s="100" t="str">
        <f t="shared" si="8"/>
        <v>Пт</v>
      </c>
      <c r="P30" s="102">
        <f t="shared" si="6"/>
        <v>0</v>
      </c>
      <c r="Q30" s="102">
        <f>DAY(malumot!$B$78)+P30</f>
        <v>5</v>
      </c>
      <c r="R30" s="97">
        <f>IF(A30&lt;=malumot!$B$81,DATE(YEAR($B$8),MONTH($B$8)+A29,DAY(malumot!$B$78)),0)</f>
        <v>46423</v>
      </c>
      <c r="S30" s="83"/>
      <c r="T30" s="83"/>
      <c r="U30" s="83"/>
      <c r="V30" s="83"/>
    </row>
    <row r="31" spans="1:22">
      <c r="A31" s="89">
        <v>24</v>
      </c>
      <c r="B31" s="90">
        <f>IF(A31&lt;=malumot!$B$81,DATE(YEAR(R31),MONTH(R31),DAY(IF(A31=malumot!$B$81,malumot!$B$67,IF(A31&lt;malumot!$B$81,(Q31),IF(A31&gt;malumot!$B$81,$H$44,0))))))</f>
        <v>46451</v>
      </c>
      <c r="C31" s="51">
        <f t="shared" ref="C31" si="11">C30-D30</f>
        <v>9750000</v>
      </c>
      <c r="D31" s="51">
        <f t="shared" ref="D31" si="12">IF(C31=0,L31,IF(C31&gt;1,I31))</f>
        <v>750000</v>
      </c>
      <c r="E31" s="51">
        <f t="shared" ref="E31" si="13">IF(C31=0,N30,IF(C31&gt;1,L31))</f>
        <v>448767.2</v>
      </c>
      <c r="F31" s="51">
        <f t="shared" ref="F31" si="14">IF(C31=0,N30,IF(C31&gt;1,M31))</f>
        <v>1198767.2</v>
      </c>
      <c r="G31" s="83">
        <f t="shared" si="7"/>
        <v>28</v>
      </c>
      <c r="H31" s="83">
        <f t="shared" si="5"/>
        <v>365</v>
      </c>
      <c r="I31" s="91">
        <f t="shared" si="10"/>
        <v>750000</v>
      </c>
      <c r="J31" s="91">
        <f>SUM($I$8:I30)</f>
        <v>17250000</v>
      </c>
      <c r="K31" s="91">
        <f t="shared" si="9"/>
        <v>9750000</v>
      </c>
      <c r="L31" s="85">
        <f>ROUND(C31*malumot!$B$84/H31,2)*G31</f>
        <v>448767.2</v>
      </c>
      <c r="M31" s="85">
        <f t="shared" si="0"/>
        <v>1198767.2</v>
      </c>
      <c r="N31" s="85"/>
      <c r="O31" s="100" t="str">
        <f t="shared" si="8"/>
        <v>Пт</v>
      </c>
      <c r="P31" s="102">
        <f t="shared" si="6"/>
        <v>0</v>
      </c>
      <c r="Q31" s="102">
        <f>DAY(malumot!$B$78)+P31</f>
        <v>5</v>
      </c>
      <c r="R31" s="97">
        <f>IF(A31&lt;=malumot!$B$81,DATE(YEAR($B$8),MONTH($B$8)+A30,DAY(malumot!$B$78)),0)</f>
        <v>46451</v>
      </c>
      <c r="S31" s="83"/>
      <c r="T31" s="83"/>
      <c r="U31" s="83"/>
      <c r="V31" s="83"/>
    </row>
    <row r="32" spans="1:22">
      <c r="A32" s="89">
        <f>1+A31</f>
        <v>25</v>
      </c>
      <c r="B32" s="90">
        <f>IF(A32&lt;=malumot!$B$81,DATE(YEAR(R32),MONTH(R32),DAY(IF(A32=malumot!$B$81,malumot!$B$67,IF(A32&lt;malumot!$B$81,(Q32),IF(A32&gt;malumot!$B$81,$H$44,0))))))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3">
        <f t="shared" ref="G32:G42" si="19">B32-B31</f>
        <v>31</v>
      </c>
      <c r="H32" s="83">
        <f t="shared" ref="H32:H42" si="20">DATE(YEAR(B32),12,31)-DATE(YEAR(B32),1,1)+1</f>
        <v>365</v>
      </c>
      <c r="I32" s="91">
        <f t="shared" ref="I32:I42" si="21">IF($L$5=A32,K32,IF($L$5&gt;A32,I31))</f>
        <v>750000</v>
      </c>
      <c r="J32" s="91">
        <f>SUM($I$8:I31)</f>
        <v>18000000</v>
      </c>
      <c r="K32" s="91">
        <f t="shared" ref="K32:K42" si="22">$J$12-J32</f>
        <v>9000000</v>
      </c>
      <c r="L32" s="85">
        <f>ROUND(C32*malumot!$B$84/H32,2)*G32</f>
        <v>458630.12</v>
      </c>
      <c r="M32" s="85">
        <f t="shared" ref="M32:M42" si="23">D32+E32</f>
        <v>1208630.1200000001</v>
      </c>
      <c r="N32" s="85"/>
      <c r="O32" s="100" t="str">
        <f t="shared" ref="O32:O42" si="24">TEXT(R32,"ддд")</f>
        <v>Пн</v>
      </c>
      <c r="P32" s="102">
        <f t="shared" ref="P32:P42" si="25">IF(O32=$U$8,2,IF(O32=$V$8,1,0))</f>
        <v>0</v>
      </c>
      <c r="Q32" s="102">
        <f>DAY(malumot!$B$78)+P32</f>
        <v>5</v>
      </c>
      <c r="R32" s="97">
        <f>IF(A32&lt;=malumot!$B$81,DATE(YEAR($B$8),MONTH($B$8)+A31,DAY(malumot!$B$78)),0)</f>
        <v>46482</v>
      </c>
      <c r="S32" s="83"/>
      <c r="T32" s="83"/>
      <c r="U32" s="83"/>
      <c r="V32" s="83"/>
    </row>
    <row r="33" spans="1:22">
      <c r="A33" s="89">
        <f t="shared" ref="A33:A42" si="26">1+A32</f>
        <v>26</v>
      </c>
      <c r="B33" s="90">
        <f>IF(A33&lt;=malumot!$B$81,DATE(YEAR(R33),MONTH(R33),DAY(IF(A33=malumot!$B$81,malumot!$B$67,IF(A33&lt;malumot!$B$81,(Q33),IF(A33&gt;malumot!$B$81,$H$44,0))))))</f>
        <v>46512</v>
      </c>
      <c r="C33" s="51">
        <f t="shared" si="15"/>
        <v>8250000</v>
      </c>
      <c r="D33" s="51">
        <f t="shared" si="16"/>
        <v>750000</v>
      </c>
      <c r="E33" s="51">
        <f t="shared" si="17"/>
        <v>406849.19999999995</v>
      </c>
      <c r="F33" s="51">
        <f t="shared" si="18"/>
        <v>1156849.2</v>
      </c>
      <c r="G33" s="83">
        <f t="shared" si="19"/>
        <v>30</v>
      </c>
      <c r="H33" s="83">
        <f t="shared" si="20"/>
        <v>365</v>
      </c>
      <c r="I33" s="91">
        <f t="shared" si="21"/>
        <v>750000</v>
      </c>
      <c r="J33" s="91">
        <f>SUM($I$8:I32)</f>
        <v>18750000</v>
      </c>
      <c r="K33" s="91">
        <f t="shared" si="22"/>
        <v>8250000</v>
      </c>
      <c r="L33" s="85">
        <f>ROUND(C33*malumot!$B$84/H33,2)*G33</f>
        <v>406849.19999999995</v>
      </c>
      <c r="M33" s="85">
        <f t="shared" si="23"/>
        <v>1156849.2</v>
      </c>
      <c r="N33" s="85"/>
      <c r="O33" s="100" t="str">
        <f t="shared" si="24"/>
        <v>Ср</v>
      </c>
      <c r="P33" s="102">
        <f t="shared" si="25"/>
        <v>0</v>
      </c>
      <c r="Q33" s="102">
        <f>DAY(malumot!$B$78)+P33</f>
        <v>5</v>
      </c>
      <c r="R33" s="97">
        <f>IF(A33&lt;=malumot!$B$81,DATE(YEAR($B$8),MONTH($B$8)+A32,DAY(malumot!$B$78)),0)</f>
        <v>46512</v>
      </c>
      <c r="S33" s="83"/>
      <c r="T33" s="83"/>
      <c r="U33" s="83"/>
      <c r="V33" s="83"/>
    </row>
    <row r="34" spans="1:22">
      <c r="A34" s="89">
        <f t="shared" si="26"/>
        <v>27</v>
      </c>
      <c r="B34" s="90">
        <f>IF(A34&lt;=malumot!$B$81,DATE(YEAR(R34),MONTH(R34),DAY(IF(A34=malumot!$B$81,malumot!$B$67,IF(A34&lt;malumot!$B$81,(Q34),IF(A34&gt;malumot!$B$81,$H$44,0))))))</f>
        <v>46545</v>
      </c>
      <c r="C34" s="51">
        <f t="shared" si="15"/>
        <v>7500000</v>
      </c>
      <c r="D34" s="51">
        <f t="shared" si="16"/>
        <v>750000</v>
      </c>
      <c r="E34" s="51">
        <f t="shared" si="17"/>
        <v>406849.41000000003</v>
      </c>
      <c r="F34" s="51">
        <f t="shared" si="18"/>
        <v>1156849.4100000001</v>
      </c>
      <c r="G34" s="83">
        <f t="shared" si="19"/>
        <v>33</v>
      </c>
      <c r="H34" s="83">
        <f t="shared" si="20"/>
        <v>365</v>
      </c>
      <c r="I34" s="91">
        <f t="shared" si="21"/>
        <v>750000</v>
      </c>
      <c r="J34" s="91">
        <f>SUM($I$8:I33)</f>
        <v>19500000</v>
      </c>
      <c r="K34" s="91">
        <f t="shared" si="22"/>
        <v>7500000</v>
      </c>
      <c r="L34" s="85">
        <f>ROUND(C34*malumot!$B$84/H34,2)*G34</f>
        <v>406849.41000000003</v>
      </c>
      <c r="M34" s="85">
        <f t="shared" si="23"/>
        <v>1156849.4100000001</v>
      </c>
      <c r="N34" s="85"/>
      <c r="O34" s="100" t="str">
        <f t="shared" si="24"/>
        <v>Сб</v>
      </c>
      <c r="P34" s="102">
        <f t="shared" si="25"/>
        <v>2</v>
      </c>
      <c r="Q34" s="102">
        <f>DAY(malumot!$B$78)+P34</f>
        <v>7</v>
      </c>
      <c r="R34" s="97">
        <f>IF(A34&lt;=malumot!$B$81,DATE(YEAR($B$8),MONTH($B$8)+A33,DAY(malumot!$B$78)),0)</f>
        <v>46543</v>
      </c>
      <c r="S34" s="83"/>
      <c r="T34" s="83"/>
      <c r="U34" s="83"/>
      <c r="V34" s="83"/>
    </row>
    <row r="35" spans="1:22">
      <c r="A35" s="89">
        <f t="shared" si="26"/>
        <v>28</v>
      </c>
      <c r="B35" s="90">
        <f>IF(A35&lt;=malumot!$B$81,DATE(YEAR(R35),MONTH(R35),DAY(IF(A35=malumot!$B$81,malumot!$B$67,IF(A35&lt;malumot!$B$81,(Q35),IF(A35&gt;malumot!$B$81,$H$44,0))))))</f>
        <v>46573</v>
      </c>
      <c r="C35" s="51">
        <f t="shared" si="15"/>
        <v>6750000</v>
      </c>
      <c r="D35" s="51">
        <f t="shared" si="16"/>
        <v>750000</v>
      </c>
      <c r="E35" s="51">
        <f t="shared" si="17"/>
        <v>310684.92</v>
      </c>
      <c r="F35" s="51">
        <f t="shared" si="18"/>
        <v>1060684.92</v>
      </c>
      <c r="G35" s="83">
        <f t="shared" si="19"/>
        <v>28</v>
      </c>
      <c r="H35" s="83">
        <f t="shared" si="20"/>
        <v>365</v>
      </c>
      <c r="I35" s="91">
        <f t="shared" si="21"/>
        <v>750000</v>
      </c>
      <c r="J35" s="91">
        <f>SUM($I$8:I34)</f>
        <v>20250000</v>
      </c>
      <c r="K35" s="91">
        <f t="shared" si="22"/>
        <v>6750000</v>
      </c>
      <c r="L35" s="85">
        <f>ROUND(C35*malumot!$B$84/H35,2)*G35</f>
        <v>310684.92</v>
      </c>
      <c r="M35" s="85">
        <f t="shared" si="23"/>
        <v>1060684.92</v>
      </c>
      <c r="N35" s="85"/>
      <c r="O35" s="100" t="str">
        <f t="shared" si="24"/>
        <v>Пн</v>
      </c>
      <c r="P35" s="102">
        <f t="shared" si="25"/>
        <v>0</v>
      </c>
      <c r="Q35" s="102">
        <f>DAY(malumot!$B$78)+P35</f>
        <v>5</v>
      </c>
      <c r="R35" s="97">
        <f>IF(A35&lt;=malumot!$B$81,DATE(YEAR($B$8),MONTH($B$8)+A34,DAY(malumot!$B$78)),0)</f>
        <v>46573</v>
      </c>
      <c r="S35" s="83"/>
      <c r="T35" s="83"/>
      <c r="U35" s="83"/>
      <c r="V35" s="83"/>
    </row>
    <row r="36" spans="1:22">
      <c r="A36" s="89">
        <f t="shared" si="26"/>
        <v>29</v>
      </c>
      <c r="B36" s="90">
        <f>IF(A36&lt;=malumot!$B$81,DATE(YEAR(R36),MONTH(R36),DAY(IF(A36=malumot!$B$81,malumot!$B$67,IF(A36&lt;malumot!$B$81,(Q36),IF(A36&gt;malumot!$B$81,$H$44,0))))))</f>
        <v>46604</v>
      </c>
      <c r="C36" s="51">
        <f t="shared" si="15"/>
        <v>6000000</v>
      </c>
      <c r="D36" s="51">
        <f t="shared" si="16"/>
        <v>750000</v>
      </c>
      <c r="E36" s="51">
        <f t="shared" si="17"/>
        <v>305753.31</v>
      </c>
      <c r="F36" s="51">
        <f t="shared" si="18"/>
        <v>1055753.31</v>
      </c>
      <c r="G36" s="83">
        <f t="shared" si="19"/>
        <v>31</v>
      </c>
      <c r="H36" s="83">
        <f t="shared" si="20"/>
        <v>365</v>
      </c>
      <c r="I36" s="91">
        <f t="shared" si="21"/>
        <v>750000</v>
      </c>
      <c r="J36" s="91">
        <f>SUM($I$8:I35)</f>
        <v>21000000</v>
      </c>
      <c r="K36" s="91">
        <f t="shared" si="22"/>
        <v>6000000</v>
      </c>
      <c r="L36" s="85">
        <f>ROUND(C36*malumot!$B$84/H36,2)*G36</f>
        <v>305753.31</v>
      </c>
      <c r="M36" s="85">
        <f t="shared" si="23"/>
        <v>1055753.31</v>
      </c>
      <c r="N36" s="85"/>
      <c r="O36" s="100" t="str">
        <f t="shared" si="24"/>
        <v>Чт</v>
      </c>
      <c r="P36" s="102">
        <f t="shared" si="25"/>
        <v>0</v>
      </c>
      <c r="Q36" s="102">
        <f>DAY(malumot!$B$78)+P36</f>
        <v>5</v>
      </c>
      <c r="R36" s="97">
        <f>IF(A36&lt;=malumot!$B$81,DATE(YEAR($B$8),MONTH($B$8)+A35,DAY(malumot!$B$78)),0)</f>
        <v>46604</v>
      </c>
      <c r="S36" s="83"/>
      <c r="T36" s="83"/>
      <c r="U36" s="83"/>
      <c r="V36" s="83"/>
    </row>
    <row r="37" spans="1:22">
      <c r="A37" s="89">
        <f t="shared" si="26"/>
        <v>30</v>
      </c>
      <c r="B37" s="90">
        <f>IF(A37&lt;=malumot!$B$81,DATE(YEAR(R37),MONTH(R37),DAY(IF(A37=malumot!$B$81,malumot!$B$67,IF(A37&lt;malumot!$B$81,(Q37),IF(A37&gt;malumot!$B$81,$H$44,0))))))</f>
        <v>46636</v>
      </c>
      <c r="C37" s="51">
        <f t="shared" si="15"/>
        <v>5250000</v>
      </c>
      <c r="D37" s="51">
        <f t="shared" si="16"/>
        <v>750000</v>
      </c>
      <c r="E37" s="51">
        <f t="shared" si="17"/>
        <v>276164.47999999998</v>
      </c>
      <c r="F37" s="51">
        <f t="shared" si="18"/>
        <v>1026164.48</v>
      </c>
      <c r="G37" s="83">
        <f t="shared" si="19"/>
        <v>32</v>
      </c>
      <c r="H37" s="83">
        <f t="shared" si="20"/>
        <v>365</v>
      </c>
      <c r="I37" s="91">
        <f t="shared" si="21"/>
        <v>750000</v>
      </c>
      <c r="J37" s="91">
        <f>SUM($I$8:I36)</f>
        <v>21750000</v>
      </c>
      <c r="K37" s="91">
        <f t="shared" si="22"/>
        <v>5250000</v>
      </c>
      <c r="L37" s="85">
        <f>ROUND(C37*malumot!$B$84/H37,2)*G37</f>
        <v>276164.47999999998</v>
      </c>
      <c r="M37" s="85">
        <f t="shared" si="23"/>
        <v>1026164.48</v>
      </c>
      <c r="N37" s="85"/>
      <c r="O37" s="100" t="str">
        <f t="shared" si="24"/>
        <v>Вс</v>
      </c>
      <c r="P37" s="102">
        <f t="shared" si="25"/>
        <v>1</v>
      </c>
      <c r="Q37" s="102">
        <f>DAY(malumot!$B$78)+P37</f>
        <v>6</v>
      </c>
      <c r="R37" s="97">
        <f>IF(A37&lt;=malumot!$B$81,DATE(YEAR($B$8),MONTH($B$8)+A36,DAY(malumot!$B$78)),0)</f>
        <v>46635</v>
      </c>
      <c r="S37" s="83"/>
      <c r="T37" s="83"/>
      <c r="U37" s="83"/>
      <c r="V37" s="83"/>
    </row>
    <row r="38" spans="1:22">
      <c r="A38" s="89">
        <f t="shared" si="26"/>
        <v>31</v>
      </c>
      <c r="B38" s="90">
        <f>IF(A38&lt;=malumot!$B$81,DATE(YEAR(R38),MONTH(R38),DAY(IF(A38=malumot!$B$81,malumot!$B$67,IF(A38&lt;malumot!$B$81,(Q38),IF(A38&gt;malumot!$B$81,$H$44,0))))))</f>
        <v>46665</v>
      </c>
      <c r="C38" s="51">
        <f t="shared" si="15"/>
        <v>4500000</v>
      </c>
      <c r="D38" s="51">
        <f t="shared" si="16"/>
        <v>750000</v>
      </c>
      <c r="E38" s="51">
        <f t="shared" si="17"/>
        <v>214520.54</v>
      </c>
      <c r="F38" s="51">
        <f t="shared" si="18"/>
        <v>964520.54</v>
      </c>
      <c r="G38" s="83">
        <f t="shared" si="19"/>
        <v>29</v>
      </c>
      <c r="H38" s="83">
        <f t="shared" si="20"/>
        <v>365</v>
      </c>
      <c r="I38" s="91">
        <f t="shared" si="21"/>
        <v>750000</v>
      </c>
      <c r="J38" s="91">
        <f>SUM($I$8:I37)</f>
        <v>22500000</v>
      </c>
      <c r="K38" s="91">
        <f t="shared" si="22"/>
        <v>4500000</v>
      </c>
      <c r="L38" s="85">
        <f>ROUND(C38*malumot!$B$84/H38,2)*G38</f>
        <v>214520.54</v>
      </c>
      <c r="M38" s="85">
        <f t="shared" si="23"/>
        <v>964520.54</v>
      </c>
      <c r="N38" s="85"/>
      <c r="O38" s="100" t="str">
        <f t="shared" si="24"/>
        <v>Вт</v>
      </c>
      <c r="P38" s="102">
        <f t="shared" si="25"/>
        <v>0</v>
      </c>
      <c r="Q38" s="102">
        <f>DAY(malumot!$B$78)+P38</f>
        <v>5</v>
      </c>
      <c r="R38" s="97">
        <f>IF(A38&lt;=malumot!$B$81,DATE(YEAR($B$8),MONTH($B$8)+A37,DAY(malumot!$B$78)),0)</f>
        <v>46665</v>
      </c>
      <c r="S38" s="83"/>
      <c r="T38" s="83"/>
      <c r="U38" s="83"/>
      <c r="V38" s="83"/>
    </row>
    <row r="39" spans="1:22">
      <c r="A39" s="89">
        <f t="shared" si="26"/>
        <v>32</v>
      </c>
      <c r="B39" s="90">
        <f>IF(A39&lt;=malumot!$B$81,DATE(YEAR(R39),MONTH(R39),DAY(IF(A39=malumot!$B$81,malumot!$B$67,IF(A39&lt;malumot!$B$81,(Q39),IF(A39&gt;malumot!$B$81,$H$44,0))))))</f>
        <v>46696</v>
      </c>
      <c r="C39" s="51">
        <f t="shared" si="15"/>
        <v>3750000</v>
      </c>
      <c r="D39" s="51">
        <f t="shared" si="16"/>
        <v>750000</v>
      </c>
      <c r="E39" s="51">
        <f t="shared" si="17"/>
        <v>191095.78</v>
      </c>
      <c r="F39" s="51">
        <f t="shared" si="18"/>
        <v>941095.78</v>
      </c>
      <c r="G39" s="83">
        <f t="shared" si="19"/>
        <v>31</v>
      </c>
      <c r="H39" s="83">
        <f t="shared" si="20"/>
        <v>365</v>
      </c>
      <c r="I39" s="91">
        <f t="shared" si="21"/>
        <v>750000</v>
      </c>
      <c r="J39" s="91">
        <f>SUM($I$8:I38)</f>
        <v>23250000</v>
      </c>
      <c r="K39" s="91">
        <f t="shared" si="22"/>
        <v>3750000</v>
      </c>
      <c r="L39" s="85">
        <f>ROUND(C39*malumot!$B$84/H39,2)*G39</f>
        <v>191095.78</v>
      </c>
      <c r="M39" s="85">
        <f t="shared" si="23"/>
        <v>941095.78</v>
      </c>
      <c r="N39" s="85"/>
      <c r="O39" s="100" t="str">
        <f t="shared" si="24"/>
        <v>Пт</v>
      </c>
      <c r="P39" s="102">
        <f t="shared" si="25"/>
        <v>0</v>
      </c>
      <c r="Q39" s="102">
        <f>DAY(malumot!$B$78)+P39</f>
        <v>5</v>
      </c>
      <c r="R39" s="97">
        <f>IF(A39&lt;=malumot!$B$81,DATE(YEAR($B$8),MONTH($B$8)+A38,DAY(malumot!$B$78)),0)</f>
        <v>46696</v>
      </c>
      <c r="S39" s="83"/>
      <c r="T39" s="83"/>
      <c r="U39" s="83"/>
      <c r="V39" s="83"/>
    </row>
    <row r="40" spans="1:22">
      <c r="A40" s="89">
        <f t="shared" si="26"/>
        <v>33</v>
      </c>
      <c r="B40" s="90">
        <f>IF(A40&lt;=malumot!$B$81,DATE(YEAR(R40),MONTH(R40),DAY(IF(A40=malumot!$B$81,malumot!$B$67,IF(A40&lt;malumot!$B$81,(Q40),IF(A40&gt;malumot!$B$81,$H$44,0))))))</f>
        <v>46727</v>
      </c>
      <c r="C40" s="51">
        <f t="shared" si="15"/>
        <v>3000000</v>
      </c>
      <c r="D40" s="51">
        <f t="shared" si="16"/>
        <v>750000</v>
      </c>
      <c r="E40" s="51">
        <f t="shared" si="17"/>
        <v>152876.81</v>
      </c>
      <c r="F40" s="51">
        <f t="shared" si="18"/>
        <v>902876.81</v>
      </c>
      <c r="G40" s="83">
        <f t="shared" si="19"/>
        <v>31</v>
      </c>
      <c r="H40" s="83">
        <f t="shared" si="20"/>
        <v>365</v>
      </c>
      <c r="I40" s="91">
        <f t="shared" si="21"/>
        <v>750000</v>
      </c>
      <c r="J40" s="91">
        <f>SUM($I$8:I39)</f>
        <v>24000000</v>
      </c>
      <c r="K40" s="91">
        <f t="shared" si="22"/>
        <v>3000000</v>
      </c>
      <c r="L40" s="85">
        <f>ROUND(C40*malumot!$B$84/H40,2)*G40</f>
        <v>152876.81</v>
      </c>
      <c r="M40" s="85">
        <f t="shared" si="23"/>
        <v>902876.81</v>
      </c>
      <c r="N40" s="85"/>
      <c r="O40" s="100" t="str">
        <f t="shared" si="24"/>
        <v>Вс</v>
      </c>
      <c r="P40" s="102">
        <f t="shared" si="25"/>
        <v>1</v>
      </c>
      <c r="Q40" s="102">
        <f>DAY(malumot!$B$78)+P40</f>
        <v>6</v>
      </c>
      <c r="R40" s="97">
        <f>IF(A40&lt;=malumot!$B$81,DATE(YEAR($B$8),MONTH($B$8)+A39,DAY(malumot!$B$78)),0)</f>
        <v>46726</v>
      </c>
      <c r="S40" s="83"/>
      <c r="T40" s="83"/>
      <c r="U40" s="83"/>
      <c r="V40" s="83"/>
    </row>
    <row r="41" spans="1:22">
      <c r="A41" s="89">
        <f t="shared" si="26"/>
        <v>34</v>
      </c>
      <c r="B41" s="90">
        <f>IF(A41&lt;=malumot!$B$81,DATE(YEAR(R41),MONTH(R41),DAY(IF(A41=malumot!$B$81,malumot!$B$67,IF(A41&lt;malumot!$B$81,(Q41),IF(A41&gt;malumot!$B$81,$H$44,0))))))</f>
        <v>46757</v>
      </c>
      <c r="C41" s="51">
        <f t="shared" si="15"/>
        <v>2250000</v>
      </c>
      <c r="D41" s="51">
        <f t="shared" si="16"/>
        <v>750000</v>
      </c>
      <c r="E41" s="51">
        <f t="shared" si="17"/>
        <v>110655.6</v>
      </c>
      <c r="F41" s="51">
        <f t="shared" si="18"/>
        <v>860655.6</v>
      </c>
      <c r="G41" s="83">
        <f t="shared" si="19"/>
        <v>30</v>
      </c>
      <c r="H41" s="83">
        <f t="shared" si="20"/>
        <v>366</v>
      </c>
      <c r="I41" s="91">
        <f t="shared" si="21"/>
        <v>750000</v>
      </c>
      <c r="J41" s="91">
        <f>SUM($I$8:I40)</f>
        <v>24750000</v>
      </c>
      <c r="K41" s="91">
        <f t="shared" si="22"/>
        <v>2250000</v>
      </c>
      <c r="L41" s="85">
        <f>ROUND(C41*malumot!$B$84/H41,2)*G41</f>
        <v>110655.6</v>
      </c>
      <c r="M41" s="85">
        <f t="shared" si="23"/>
        <v>860655.6</v>
      </c>
      <c r="N41" s="85"/>
      <c r="O41" s="100" t="str">
        <f t="shared" si="24"/>
        <v>Ср</v>
      </c>
      <c r="P41" s="102">
        <f t="shared" si="25"/>
        <v>0</v>
      </c>
      <c r="Q41" s="102">
        <f>DAY(malumot!$B$78)+P41</f>
        <v>5</v>
      </c>
      <c r="R41" s="97">
        <f>IF(A41&lt;=malumot!$B$81,DATE(YEAR($B$8),MONTH($B$8)+A40,DAY(malumot!$B$78)),0)</f>
        <v>46757</v>
      </c>
      <c r="S41" s="83"/>
      <c r="T41" s="83"/>
      <c r="U41" s="83"/>
      <c r="V41" s="83"/>
    </row>
    <row r="42" spans="1:22">
      <c r="A42" s="89">
        <f t="shared" si="26"/>
        <v>35</v>
      </c>
      <c r="B42" s="90">
        <f>IF(A42&lt;=malumot!$B$81,DATE(YEAR(R42),MONTH(R42),DAY(IF(A42=malumot!$B$81,malumot!$B$67,IF(A42&lt;malumot!$B$81,(Q42),IF(A42&gt;malumot!$B$81,$H$44,0))))))</f>
        <v>46790</v>
      </c>
      <c r="C42" s="51">
        <f t="shared" si="15"/>
        <v>1500000</v>
      </c>
      <c r="D42" s="51">
        <f t="shared" si="16"/>
        <v>750000</v>
      </c>
      <c r="E42" s="51">
        <f t="shared" si="17"/>
        <v>81147.66</v>
      </c>
      <c r="F42" s="51">
        <f t="shared" si="18"/>
        <v>831147.66</v>
      </c>
      <c r="G42" s="83">
        <f t="shared" si="19"/>
        <v>33</v>
      </c>
      <c r="H42" s="83">
        <f t="shared" si="20"/>
        <v>366</v>
      </c>
      <c r="I42" s="91">
        <f t="shared" si="21"/>
        <v>750000</v>
      </c>
      <c r="J42" s="91">
        <f>SUM($I$8:I41)</f>
        <v>25500000</v>
      </c>
      <c r="K42" s="91">
        <f t="shared" si="22"/>
        <v>1500000</v>
      </c>
      <c r="L42" s="85">
        <f>ROUND(C42*malumot!$B$84/H42,2)*G42</f>
        <v>81147.66</v>
      </c>
      <c r="M42" s="85">
        <f t="shared" si="23"/>
        <v>831147.66</v>
      </c>
      <c r="N42" s="85"/>
      <c r="O42" s="100" t="str">
        <f t="shared" si="24"/>
        <v>Сб</v>
      </c>
      <c r="P42" s="102">
        <f t="shared" si="25"/>
        <v>2</v>
      </c>
      <c r="Q42" s="102">
        <f>DAY(malumot!$B$78)+P42</f>
        <v>7</v>
      </c>
      <c r="R42" s="97">
        <f>IF(A42&lt;=malumot!$B$81,DATE(YEAR($B$8),MONTH($B$8)+A41,DAY(malumot!$B$78)),0)</f>
        <v>46788</v>
      </c>
      <c r="S42" s="83"/>
      <c r="T42" s="83"/>
      <c r="U42" s="83"/>
      <c r="V42" s="83"/>
    </row>
    <row r="43" spans="1:22">
      <c r="A43" s="89">
        <f t="shared" ref="A43" si="27">1+A42</f>
        <v>36</v>
      </c>
      <c r="B43" s="90">
        <f>IF(A43&lt;=malumot!$B$81,DATE(YEAR(R43),MONTH(R43),DAY(IF(A43=malumot!$B$81,malumot!$B$67,IF(A43&lt;malumot!$B$81,(Q43),IF(A43&gt;malumot!$B$81,$H$44,0))))))</f>
        <v>46823</v>
      </c>
      <c r="C43" s="51">
        <f t="shared" ref="C43" si="28">C42-D42</f>
        <v>750000</v>
      </c>
      <c r="D43" s="51">
        <f t="shared" ref="D43" si="29">IF(C43=0,L43,IF(C43&gt;1,I43))</f>
        <v>750000</v>
      </c>
      <c r="E43" s="51">
        <f t="shared" ref="E43" si="30">IF(C43=0,N42,IF(C43&gt;1,L43))</f>
        <v>40573.83</v>
      </c>
      <c r="F43" s="51">
        <f t="shared" ref="F43" si="31">IF(C43=0,N42,IF(C43&gt;1,M43))</f>
        <v>790573.83</v>
      </c>
      <c r="G43" s="83">
        <f t="shared" ref="G43" si="32">B43-B42</f>
        <v>33</v>
      </c>
      <c r="H43" s="83">
        <f t="shared" ref="H43" si="33">DATE(YEAR(B43),12,31)-DATE(YEAR(B43),1,1)+1</f>
        <v>366</v>
      </c>
      <c r="I43" s="91">
        <f t="shared" ref="I43" si="34">IF($L$5=A43,K43,IF($L$5&gt;A43,I42))</f>
        <v>750000</v>
      </c>
      <c r="J43" s="91">
        <f>SUM($I$8:I42)</f>
        <v>26250000</v>
      </c>
      <c r="K43" s="91">
        <f t="shared" ref="K43" si="35">$J$12-J43</f>
        <v>750000</v>
      </c>
      <c r="L43" s="85">
        <f>ROUND(C43*malumot!$B$84/H43,2)*G43</f>
        <v>40573.83</v>
      </c>
      <c r="M43" s="85">
        <f t="shared" ref="M43" si="36">D43+E43</f>
        <v>790573.83</v>
      </c>
      <c r="N43" s="85"/>
      <c r="O43" s="100" t="str">
        <f t="shared" ref="O43" si="37">TEXT(R43,"ддд")</f>
        <v>Вс</v>
      </c>
      <c r="P43" s="102">
        <f t="shared" ref="P43" si="38">IF(O43=$U$8,2,IF(O43=$V$8,1,0))</f>
        <v>1</v>
      </c>
      <c r="Q43" s="102">
        <f>DAY(malumot!$B$78)+P43</f>
        <v>6</v>
      </c>
      <c r="R43" s="97">
        <f>IF(A43&lt;=malumot!$B$81,DATE(YEAR($B$8),MONTH($B$8)+A42,DAY(malumot!$B$78)),0)</f>
        <v>46817</v>
      </c>
      <c r="S43" s="83"/>
      <c r="T43" s="83"/>
      <c r="U43" s="83"/>
      <c r="V43" s="83"/>
    </row>
    <row r="44" spans="1:22">
      <c r="A44" s="92"/>
      <c r="B44" s="93" t="s">
        <v>7</v>
      </c>
      <c r="C44" s="94"/>
      <c r="D44" s="94">
        <f>SUM(D8:D43)</f>
        <v>27000000</v>
      </c>
      <c r="E44" s="94">
        <f t="shared" ref="E44:F44" si="39">SUM(E8:E43)</f>
        <v>24783883.060000002</v>
      </c>
      <c r="F44" s="94">
        <f t="shared" si="39"/>
        <v>51783883.06000001</v>
      </c>
    </row>
    <row r="45" spans="1:22" ht="9" customHeight="1">
      <c r="B45" s="95"/>
      <c r="C45" s="96"/>
      <c r="D45" s="96"/>
      <c r="E45" s="96"/>
      <c r="F45" s="96"/>
    </row>
    <row r="46" spans="1:22" ht="47.25" customHeight="1">
      <c r="A46" s="305" t="s">
        <v>18</v>
      </c>
      <c r="B46" s="305"/>
      <c r="C46" s="305"/>
      <c r="D46" s="305"/>
      <c r="E46" s="305"/>
      <c r="F46" s="305"/>
    </row>
    <row r="47" spans="1:22" ht="7.5" customHeight="1"/>
    <row r="48" spans="1:22">
      <c r="A48" s="306" t="e">
        <f>#REF!</f>
        <v>#REF!</v>
      </c>
      <c r="B48" s="306"/>
      <c r="C48" s="306"/>
      <c r="D48" s="306" t="e">
        <f>#REF!</f>
        <v>#REF!</v>
      </c>
      <c r="E48" s="306"/>
      <c r="F48" s="306"/>
    </row>
    <row r="49" spans="1:6" ht="11.25" customHeight="1">
      <c r="A49" s="307"/>
      <c r="B49" s="307"/>
      <c r="C49" s="307"/>
      <c r="D49" s="307"/>
      <c r="E49" s="307"/>
      <c r="F49" s="307"/>
    </row>
    <row r="50" spans="1:6" ht="30" customHeight="1">
      <c r="A50" s="304" t="e">
        <f>#REF!</f>
        <v>#REF!</v>
      </c>
      <c r="B50" s="304"/>
      <c r="C50" s="304"/>
      <c r="D50" s="304" t="e">
        <f>#REF!</f>
        <v>#REF!</v>
      </c>
      <c r="E50" s="304"/>
      <c r="F50" s="304"/>
    </row>
    <row r="51" spans="1:6" ht="32.25" customHeight="1">
      <c r="A51" s="300" t="e">
        <f>#REF!</f>
        <v>#REF!</v>
      </c>
      <c r="B51" s="300"/>
      <c r="C51" s="300"/>
      <c r="D51" s="300" t="e">
        <f>#REF!</f>
        <v>#REF!</v>
      </c>
      <c r="E51" s="300"/>
      <c r="F51" s="300"/>
    </row>
    <row r="52" spans="1:6">
      <c r="A52" s="300" t="e">
        <f>#REF!</f>
        <v>#REF!</v>
      </c>
      <c r="B52" s="300"/>
      <c r="C52" s="300"/>
      <c r="D52" s="300" t="str">
        <f>"паспорт серии "&amp;malumot!B16&amp;", "&amp;malumot!B20&amp;""</f>
        <v>паспорт серии AA 9481167, BUXORO VILOYATI BUXORO SHAHAR IIB tomonidan 24.04.2015 yilda berilgan</v>
      </c>
      <c r="E52" s="300"/>
      <c r="F52" s="300"/>
    </row>
    <row r="53" spans="1:6" ht="32.25" customHeight="1">
      <c r="A53" s="300" t="e">
        <f>#REF!</f>
        <v>#REF!</v>
      </c>
      <c r="B53" s="300"/>
      <c r="C53" s="300"/>
      <c r="D53" s="300"/>
      <c r="E53" s="300"/>
      <c r="F53" s="300"/>
    </row>
    <row r="54" spans="1:6">
      <c r="A54" s="300" t="e">
        <f>#REF!</f>
        <v>#REF!</v>
      </c>
      <c r="B54" s="300"/>
      <c r="C54" s="300"/>
      <c r="D54" s="300" t="e">
        <f>#REF!</f>
        <v>#REF!</v>
      </c>
      <c r="E54" s="300"/>
      <c r="F54" s="300"/>
    </row>
    <row r="55" spans="1:6">
      <c r="A55" s="300" t="e">
        <f>#REF!</f>
        <v>#REF!</v>
      </c>
      <c r="B55" s="300"/>
      <c r="C55" s="300"/>
      <c r="D55" s="300" t="e">
        <f>#REF!</f>
        <v>#REF!</v>
      </c>
      <c r="E55" s="300"/>
      <c r="F55" s="300"/>
    </row>
    <row r="56" spans="1:6">
      <c r="A56" s="300" t="e">
        <f>#REF!</f>
        <v>#REF!</v>
      </c>
      <c r="B56" s="300"/>
      <c r="C56" s="300"/>
      <c r="D56" s="300" t="e">
        <f>#REF!</f>
        <v>#REF!</v>
      </c>
      <c r="E56" s="300"/>
      <c r="F56" s="300"/>
    </row>
    <row r="57" spans="1:6" ht="8.25" customHeight="1">
      <c r="A57" s="300"/>
      <c r="B57" s="300"/>
      <c r="C57" s="300"/>
      <c r="D57" s="300"/>
      <c r="E57" s="300"/>
      <c r="F57" s="300"/>
    </row>
    <row r="58" spans="1:6">
      <c r="A58" s="304" t="e">
        <f>#REF!</f>
        <v>#REF!</v>
      </c>
      <c r="B58" s="304"/>
      <c r="C58" s="304"/>
      <c r="D58" s="304" t="e">
        <f>#REF!</f>
        <v>#REF!</v>
      </c>
      <c r="E58" s="304"/>
      <c r="F58" s="304"/>
    </row>
    <row r="59" spans="1:6" ht="7.5" customHeight="1">
      <c r="A59" s="304"/>
      <c r="B59" s="304"/>
      <c r="C59" s="304"/>
      <c r="D59" s="304"/>
      <c r="E59" s="304"/>
      <c r="F59" s="304"/>
    </row>
    <row r="60" spans="1:6">
      <c r="A60" s="304" t="e">
        <f>#REF!</f>
        <v>#REF!</v>
      </c>
      <c r="B60" s="304"/>
      <c r="C60" s="304"/>
      <c r="D60" s="304" t="e">
        <f>#REF!</f>
        <v>#REF!</v>
      </c>
      <c r="E60" s="304"/>
      <c r="F60" s="304"/>
    </row>
    <row r="61" spans="1:6" ht="8.25" customHeight="1">
      <c r="A61" s="300"/>
      <c r="B61" s="300"/>
      <c r="C61" s="300"/>
      <c r="D61" s="300"/>
      <c r="E61" s="300"/>
      <c r="F61" s="300"/>
    </row>
    <row r="62" spans="1:6" ht="30" customHeight="1">
      <c r="A62" s="301"/>
      <c r="B62" s="301"/>
      <c r="C62" s="301"/>
      <c r="D62" s="302" t="e">
        <f>#REF!</f>
        <v>#REF!</v>
      </c>
      <c r="E62" s="302"/>
      <c r="F62" s="302"/>
    </row>
    <row r="63" spans="1:6">
      <c r="A63" s="303"/>
      <c r="B63" s="303"/>
      <c r="C63" s="303"/>
      <c r="D63" s="303"/>
      <c r="E63" s="303"/>
      <c r="F63" s="303"/>
    </row>
    <row r="64" spans="1:6">
      <c r="A64" s="299"/>
      <c r="B64" s="299"/>
      <c r="C64" s="299"/>
      <c r="D64" s="299"/>
      <c r="E64" s="299"/>
      <c r="F64" s="299"/>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09"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5" customFormat="1" ht="36.75" customHeight="1">
      <c r="A1" s="114" t="s">
        <v>15</v>
      </c>
      <c r="B1" s="115" t="s">
        <v>3</v>
      </c>
      <c r="D1" s="114"/>
      <c r="E1" s="114" t="s">
        <v>40</v>
      </c>
      <c r="F1" s="114" t="s">
        <v>41</v>
      </c>
      <c r="G1" s="114"/>
      <c r="H1" s="114"/>
      <c r="I1" s="114"/>
      <c r="J1" s="114"/>
      <c r="K1" s="114"/>
      <c r="L1" s="114" t="s">
        <v>42</v>
      </c>
      <c r="M1" s="114" t="s">
        <v>44</v>
      </c>
      <c r="N1" s="114" t="s">
        <v>43</v>
      </c>
    </row>
    <row r="2" spans="1:23" ht="15" customHeight="1">
      <c r="A2" s="108">
        <v>1</v>
      </c>
      <c r="B2" t="s">
        <v>256</v>
      </c>
      <c r="C2" t="s">
        <v>67</v>
      </c>
      <c r="D2" s="110" t="s">
        <v>256</v>
      </c>
      <c r="E2" s="110" t="s">
        <v>46</v>
      </c>
      <c r="F2" s="111">
        <v>44207</v>
      </c>
      <c r="G2" s="101">
        <f>MONTH(F2)</f>
        <v>1</v>
      </c>
      <c r="H2" s="111" t="str">
        <f>IF(G2=$A$26,$A$28,IF(G2=$B$26,$B$28,IF(G2=$C$26,$C$28,IF(G2=$D$26,$D$28,IF(G2=$E$26,$E$28,IF(G2=$F$26,$F$28,IF(G2=$K$26,$K$28,IF(G2=$L$26,$L$28,IF(G2=$M$26,$M$28,IF(G2=$N$26,$N$28,IF(G2=$O$26,$O$28,IF(G2=$P$26,$P$28,0))))))))))))</f>
        <v>yanvar</v>
      </c>
      <c r="I2" s="101">
        <f>DAY(F2)</f>
        <v>11</v>
      </c>
      <c r="J2" s="113">
        <f>YEAR(F2)</f>
        <v>2021</v>
      </c>
      <c r="K2" s="111" t="str">
        <f>""&amp;I2&amp;" "&amp;H2&amp;" "&amp;J2&amp;" г."</f>
        <v>11 yanvar 2021 г.</v>
      </c>
      <c r="L2" s="110">
        <v>5</v>
      </c>
      <c r="M2" s="112">
        <v>15000000</v>
      </c>
      <c r="N2" s="110"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08">
        <v>2</v>
      </c>
      <c r="D3" s="110" t="s">
        <v>256</v>
      </c>
      <c r="E3" s="110" t="s">
        <v>45</v>
      </c>
      <c r="F3" s="111">
        <v>43775</v>
      </c>
      <c r="G3" s="101">
        <f>MONTH(F3)</f>
        <v>11</v>
      </c>
      <c r="H3" s="111" t="str">
        <f>IF(G3=$A$26,$A$28,IF(G3=$B$26,$B$28,IF(G3=$C$26,$C$28,IF(G3=$D$26,$D$28,IF(G3=$E$26,$E$28,IF(G3=$F$26,$F$28,IF(G3=$K$26,$K$28,IF(G3=$L$26,$L$28,IF(G3=$M$26,$M$28,IF(G3=$N$26,$N$28,IF(G3=$O$26,$O$28,IF(G3=$P$26,$P$28,0))))))))))))</f>
        <v>noyabr</v>
      </c>
      <c r="I3" s="101">
        <f>DAY(F3)</f>
        <v>6</v>
      </c>
      <c r="J3" s="113">
        <f>YEAR(F3)</f>
        <v>2019</v>
      </c>
      <c r="K3" s="111" t="str">
        <f>""&amp;I3&amp;" "&amp;H3&amp;" "&amp;J3&amp;" г."</f>
        <v>6 noyabr 2019 г.</v>
      </c>
      <c r="L3" s="110">
        <v>386</v>
      </c>
      <c r="M3" s="112">
        <v>15000000</v>
      </c>
      <c r="N3" s="110"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08">
        <v>3</v>
      </c>
      <c r="D4" s="110" t="s">
        <v>256</v>
      </c>
      <c r="E4" s="110" t="s">
        <v>45</v>
      </c>
      <c r="F4" s="111">
        <v>44217</v>
      </c>
      <c r="G4" s="101">
        <f>MONTH(F4)</f>
        <v>1</v>
      </c>
      <c r="H4" s="111" t="str">
        <f>IF(G4=$A$26,$A$28,IF(G4=$B$26,$B$28,IF(G4=$C$26,$C$28,IF(G4=$D$26,$D$28,IF(G4=$E$26,$E$28,IF(G4=$F$26,$F$28,IF(G4=$K$26,$K$28,IF(G4=$L$26,$L$28,IF(G4=$M$26,$M$28,IF(G4=$N$26,$N$28,IF(G4=$O$26,$O$28,IF(G4=$P$26,$P$28,0))))))))))))</f>
        <v>yanvar</v>
      </c>
      <c r="I4" s="101">
        <f>DAY(F4)</f>
        <v>21</v>
      </c>
      <c r="J4" s="113">
        <f>YEAR(F4)</f>
        <v>2021</v>
      </c>
      <c r="K4" s="111" t="str">
        <f>""&amp;I4&amp;" "&amp;H4&amp;" "&amp;J4&amp;" г."</f>
        <v>21 yanvar 2021 г.</v>
      </c>
      <c r="L4" s="110">
        <v>33</v>
      </c>
      <c r="M4" s="112">
        <v>15000000</v>
      </c>
      <c r="N4" s="110"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08">
        <v>4</v>
      </c>
      <c r="D5" s="110" t="s">
        <v>256</v>
      </c>
      <c r="E5" s="110"/>
      <c r="F5" s="111"/>
      <c r="G5" s="101">
        <f t="shared" ref="G5:G21" si="2">MONTH(F5)</f>
        <v>1</v>
      </c>
      <c r="H5" s="111" t="str">
        <f t="shared" ref="H5:H21" si="3">IF(G5=$A$26,$A$28,IF(G5=$B$26,$B$28,IF(G5=$C$26,$C$28,IF(G5=$D$26,$D$28,IF(G5=$E$26,$E$28,IF(G5=$F$26,$F$28,IF(G5=$K$26,$K$28,IF(G5=$L$26,$L$28,IF(G5=$M$26,$M$28,IF(G5=$N$26,$N$28,IF(G5=$O$26,$O$28,IF(G5=$P$26,$P$28,0))))))))))))</f>
        <v>yanvar</v>
      </c>
      <c r="I5" s="101">
        <f t="shared" ref="I5:I21" si="4">DAY(F5)</f>
        <v>0</v>
      </c>
      <c r="J5" s="113">
        <f t="shared" ref="J5:J21" si="5">YEAR(F5)</f>
        <v>1900</v>
      </c>
      <c r="K5" s="111" t="str">
        <f t="shared" ref="K5:K21" si="6">""&amp;I5&amp;" "&amp;H5&amp;" "&amp;J5&amp;" г."</f>
        <v>0 yanvar 1900 г.</v>
      </c>
      <c r="L5" s="110"/>
      <c r="M5" s="112"/>
      <c r="N5" s="110"/>
      <c r="P5">
        <f t="shared" si="1"/>
        <v>0</v>
      </c>
    </row>
    <row r="6" spans="1:23" ht="15" customHeight="1">
      <c r="A6" s="108">
        <v>5</v>
      </c>
      <c r="D6" s="110" t="s">
        <v>256</v>
      </c>
      <c r="E6" s="110"/>
      <c r="F6" s="111"/>
      <c r="G6" s="101">
        <f t="shared" si="2"/>
        <v>1</v>
      </c>
      <c r="H6" s="111" t="str">
        <f t="shared" si="3"/>
        <v>yanvar</v>
      </c>
      <c r="I6" s="101">
        <f t="shared" si="4"/>
        <v>0</v>
      </c>
      <c r="J6" s="113">
        <f t="shared" si="5"/>
        <v>1900</v>
      </c>
      <c r="K6" s="111" t="str">
        <f t="shared" si="6"/>
        <v>0 yanvar 1900 г.</v>
      </c>
      <c r="L6" s="110"/>
      <c r="M6" s="112"/>
      <c r="N6" s="110"/>
      <c r="P6">
        <f t="shared" si="1"/>
        <v>0</v>
      </c>
    </row>
    <row r="7" spans="1:23" ht="15" customHeight="1">
      <c r="A7" s="108">
        <v>6</v>
      </c>
      <c r="D7" s="110" t="s">
        <v>256</v>
      </c>
      <c r="E7" s="110"/>
      <c r="F7" s="111"/>
      <c r="G7" s="101">
        <f t="shared" si="2"/>
        <v>1</v>
      </c>
      <c r="H7" s="111" t="str">
        <f t="shared" si="3"/>
        <v>yanvar</v>
      </c>
      <c r="I7" s="101">
        <f t="shared" si="4"/>
        <v>0</v>
      </c>
      <c r="J7" s="113">
        <f t="shared" si="5"/>
        <v>1900</v>
      </c>
      <c r="K7" s="111" t="str">
        <f t="shared" si="6"/>
        <v>0 yanvar 1900 г.</v>
      </c>
      <c r="L7" s="110"/>
      <c r="M7" s="112"/>
      <c r="N7" s="110"/>
      <c r="P7">
        <f t="shared" si="1"/>
        <v>0</v>
      </c>
    </row>
    <row r="8" spans="1:23" ht="15" customHeight="1">
      <c r="A8" s="108">
        <v>7</v>
      </c>
      <c r="D8" s="110" t="s">
        <v>256</v>
      </c>
      <c r="E8" s="110"/>
      <c r="F8" s="111"/>
      <c r="G8" s="101">
        <f t="shared" si="2"/>
        <v>1</v>
      </c>
      <c r="H8" s="111" t="str">
        <f t="shared" si="3"/>
        <v>yanvar</v>
      </c>
      <c r="I8" s="101">
        <f t="shared" si="4"/>
        <v>0</v>
      </c>
      <c r="J8" s="113">
        <f t="shared" si="5"/>
        <v>1900</v>
      </c>
      <c r="K8" s="111" t="str">
        <f t="shared" si="6"/>
        <v>0 yanvar 1900 г.</v>
      </c>
      <c r="L8" s="110"/>
      <c r="M8" s="112"/>
      <c r="N8" s="110"/>
      <c r="P8">
        <f t="shared" si="1"/>
        <v>0</v>
      </c>
    </row>
    <row r="9" spans="1:23" ht="15" customHeight="1">
      <c r="A9" s="108">
        <v>8</v>
      </c>
      <c r="D9" s="110" t="s">
        <v>256</v>
      </c>
      <c r="E9" s="110"/>
      <c r="F9" s="111"/>
      <c r="G9" s="101">
        <f t="shared" si="2"/>
        <v>1</v>
      </c>
      <c r="H9" s="111" t="str">
        <f t="shared" si="3"/>
        <v>yanvar</v>
      </c>
      <c r="I9" s="101">
        <f t="shared" si="4"/>
        <v>0</v>
      </c>
      <c r="J9" s="113">
        <f t="shared" si="5"/>
        <v>1900</v>
      </c>
      <c r="K9" s="111" t="str">
        <f t="shared" si="6"/>
        <v>0 yanvar 1900 г.</v>
      </c>
      <c r="L9" s="110"/>
      <c r="M9" s="112"/>
      <c r="N9" s="110"/>
      <c r="P9">
        <f t="shared" si="1"/>
        <v>0</v>
      </c>
    </row>
    <row r="10" spans="1:23" ht="15" customHeight="1">
      <c r="A10" s="108">
        <v>9</v>
      </c>
      <c r="D10" s="110" t="s">
        <v>256</v>
      </c>
      <c r="E10" s="110"/>
      <c r="F10" s="111"/>
      <c r="G10" s="101">
        <f t="shared" si="2"/>
        <v>1</v>
      </c>
      <c r="H10" s="111" t="str">
        <f t="shared" si="3"/>
        <v>yanvar</v>
      </c>
      <c r="I10" s="101">
        <f t="shared" si="4"/>
        <v>0</v>
      </c>
      <c r="J10" s="113">
        <f t="shared" si="5"/>
        <v>1900</v>
      </c>
      <c r="K10" s="111" t="str">
        <f t="shared" si="6"/>
        <v>0 yanvar 1900 г.</v>
      </c>
      <c r="L10" s="110"/>
      <c r="M10" s="112"/>
      <c r="N10" s="110"/>
      <c r="P10">
        <f t="shared" si="1"/>
        <v>0</v>
      </c>
    </row>
    <row r="11" spans="1:23" ht="15" customHeight="1">
      <c r="A11" s="108">
        <v>10</v>
      </c>
      <c r="D11" s="110" t="s">
        <v>256</v>
      </c>
      <c r="E11" s="110"/>
      <c r="F11" s="111"/>
      <c r="G11" s="101">
        <f t="shared" si="2"/>
        <v>1</v>
      </c>
      <c r="H11" s="111" t="str">
        <f t="shared" si="3"/>
        <v>yanvar</v>
      </c>
      <c r="I11" s="101">
        <f t="shared" si="4"/>
        <v>0</v>
      </c>
      <c r="J11" s="113">
        <f t="shared" si="5"/>
        <v>1900</v>
      </c>
      <c r="K11" s="111" t="str">
        <f t="shared" si="6"/>
        <v>0 yanvar 1900 г.</v>
      </c>
      <c r="L11" s="110"/>
      <c r="M11" s="112"/>
      <c r="N11" s="110"/>
      <c r="P11">
        <f t="shared" si="1"/>
        <v>0</v>
      </c>
    </row>
    <row r="12" spans="1:23" ht="15" customHeight="1">
      <c r="A12" s="108">
        <v>11</v>
      </c>
      <c r="D12" s="110" t="s">
        <v>256</v>
      </c>
      <c r="E12" s="110"/>
      <c r="F12" s="111"/>
      <c r="G12" s="101">
        <f t="shared" si="2"/>
        <v>1</v>
      </c>
      <c r="H12" s="111" t="str">
        <f t="shared" si="3"/>
        <v>yanvar</v>
      </c>
      <c r="I12" s="101">
        <f t="shared" si="4"/>
        <v>0</v>
      </c>
      <c r="J12" s="113">
        <f t="shared" si="5"/>
        <v>1900</v>
      </c>
      <c r="K12" s="111" t="str">
        <f t="shared" si="6"/>
        <v>0 yanvar 1900 г.</v>
      </c>
      <c r="L12" s="110"/>
      <c r="M12" s="112"/>
      <c r="N12" s="110"/>
      <c r="P12">
        <f t="shared" si="1"/>
        <v>0</v>
      </c>
    </row>
    <row r="13" spans="1:23" ht="15" customHeight="1">
      <c r="A13" s="108">
        <v>12</v>
      </c>
      <c r="D13" s="110" t="s">
        <v>256</v>
      </c>
      <c r="E13" s="110"/>
      <c r="F13" s="111"/>
      <c r="G13" s="101">
        <f t="shared" si="2"/>
        <v>1</v>
      </c>
      <c r="H13" s="111" t="str">
        <f t="shared" si="3"/>
        <v>yanvar</v>
      </c>
      <c r="I13" s="101">
        <f t="shared" si="4"/>
        <v>0</v>
      </c>
      <c r="J13" s="113">
        <f t="shared" si="5"/>
        <v>1900</v>
      </c>
      <c r="K13" s="111" t="str">
        <f t="shared" si="6"/>
        <v>0 yanvar 1900 г.</v>
      </c>
      <c r="L13" s="110"/>
      <c r="M13" s="112"/>
      <c r="N13" s="110"/>
      <c r="P13">
        <f t="shared" si="1"/>
        <v>0</v>
      </c>
    </row>
    <row r="14" spans="1:23" ht="15" customHeight="1">
      <c r="A14" s="108">
        <v>13</v>
      </c>
      <c r="D14" s="110" t="s">
        <v>256</v>
      </c>
      <c r="E14" s="110"/>
      <c r="F14" s="111"/>
      <c r="G14" s="101">
        <f t="shared" si="2"/>
        <v>1</v>
      </c>
      <c r="H14" s="111" t="str">
        <f t="shared" si="3"/>
        <v>yanvar</v>
      </c>
      <c r="I14" s="101">
        <f t="shared" si="4"/>
        <v>0</v>
      </c>
      <c r="J14" s="113">
        <f t="shared" si="5"/>
        <v>1900</v>
      </c>
      <c r="K14" s="111" t="str">
        <f t="shared" si="6"/>
        <v>0 yanvar 1900 г.</v>
      </c>
      <c r="L14" s="110"/>
      <c r="M14" s="112"/>
      <c r="N14" s="110"/>
      <c r="P14">
        <f t="shared" si="1"/>
        <v>0</v>
      </c>
    </row>
    <row r="15" spans="1:23" ht="15" customHeight="1">
      <c r="A15" s="108">
        <v>14</v>
      </c>
      <c r="D15" s="110" t="s">
        <v>256</v>
      </c>
      <c r="E15" s="110"/>
      <c r="F15" s="111"/>
      <c r="G15" s="101">
        <f t="shared" si="2"/>
        <v>1</v>
      </c>
      <c r="H15" s="111" t="str">
        <f t="shared" si="3"/>
        <v>yanvar</v>
      </c>
      <c r="I15" s="101">
        <f t="shared" si="4"/>
        <v>0</v>
      </c>
      <c r="J15" s="113">
        <f t="shared" si="5"/>
        <v>1900</v>
      </c>
      <c r="K15" s="111" t="str">
        <f t="shared" si="6"/>
        <v>0 yanvar 1900 г.</v>
      </c>
      <c r="L15" s="110"/>
      <c r="M15" s="112"/>
      <c r="N15" s="110"/>
      <c r="P15">
        <f t="shared" si="1"/>
        <v>0</v>
      </c>
    </row>
    <row r="16" spans="1:23" ht="15" customHeight="1">
      <c r="A16" s="108">
        <v>15</v>
      </c>
      <c r="D16" s="110" t="s">
        <v>256</v>
      </c>
      <c r="E16" s="110"/>
      <c r="F16" s="111"/>
      <c r="G16" s="101">
        <f t="shared" si="2"/>
        <v>1</v>
      </c>
      <c r="H16" s="111" t="str">
        <f t="shared" si="3"/>
        <v>yanvar</v>
      </c>
      <c r="I16" s="101">
        <f t="shared" si="4"/>
        <v>0</v>
      </c>
      <c r="J16" s="113">
        <f t="shared" si="5"/>
        <v>1900</v>
      </c>
      <c r="K16" s="111" t="str">
        <f t="shared" si="6"/>
        <v>0 yanvar 1900 г.</v>
      </c>
      <c r="L16" s="110"/>
      <c r="M16" s="112"/>
      <c r="N16" s="110"/>
      <c r="P16">
        <f t="shared" si="1"/>
        <v>0</v>
      </c>
    </row>
    <row r="17" spans="1:17" ht="15" customHeight="1">
      <c r="A17" s="108">
        <v>16</v>
      </c>
      <c r="D17" s="110" t="s">
        <v>256</v>
      </c>
      <c r="E17" s="110"/>
      <c r="F17" s="111"/>
      <c r="G17" s="101">
        <f t="shared" si="2"/>
        <v>1</v>
      </c>
      <c r="H17" s="111" t="str">
        <f t="shared" si="3"/>
        <v>yanvar</v>
      </c>
      <c r="I17" s="101">
        <f t="shared" si="4"/>
        <v>0</v>
      </c>
      <c r="J17" s="113">
        <f t="shared" si="5"/>
        <v>1900</v>
      </c>
      <c r="K17" s="111" t="str">
        <f t="shared" si="6"/>
        <v>0 yanvar 1900 г.</v>
      </c>
      <c r="L17" s="110"/>
      <c r="M17" s="112"/>
      <c r="N17" s="110"/>
      <c r="P17">
        <f t="shared" si="1"/>
        <v>0</v>
      </c>
    </row>
    <row r="18" spans="1:17" ht="15" customHeight="1">
      <c r="A18" s="108">
        <v>17</v>
      </c>
      <c r="D18" s="110" t="s">
        <v>256</v>
      </c>
      <c r="E18" s="110"/>
      <c r="F18" s="111"/>
      <c r="G18" s="101">
        <f t="shared" si="2"/>
        <v>1</v>
      </c>
      <c r="H18" s="111" t="str">
        <f t="shared" si="3"/>
        <v>yanvar</v>
      </c>
      <c r="I18" s="101">
        <f t="shared" si="4"/>
        <v>0</v>
      </c>
      <c r="J18" s="113">
        <f t="shared" si="5"/>
        <v>1900</v>
      </c>
      <c r="K18" s="111" t="str">
        <f t="shared" si="6"/>
        <v>0 yanvar 1900 г.</v>
      </c>
      <c r="L18" s="110"/>
      <c r="M18" s="112"/>
      <c r="N18" s="110"/>
      <c r="P18">
        <f t="shared" si="1"/>
        <v>0</v>
      </c>
    </row>
    <row r="19" spans="1:17" ht="15" customHeight="1">
      <c r="A19" s="108">
        <v>18</v>
      </c>
      <c r="D19" s="110" t="s">
        <v>256</v>
      </c>
      <c r="E19" s="110"/>
      <c r="F19" s="111"/>
      <c r="G19" s="101">
        <f t="shared" si="2"/>
        <v>1</v>
      </c>
      <c r="H19" s="111" t="str">
        <f t="shared" si="3"/>
        <v>yanvar</v>
      </c>
      <c r="I19" s="101">
        <f t="shared" si="4"/>
        <v>0</v>
      </c>
      <c r="J19" s="113">
        <f t="shared" si="5"/>
        <v>1900</v>
      </c>
      <c r="K19" s="111" t="str">
        <f t="shared" si="6"/>
        <v>0 yanvar 1900 г.</v>
      </c>
      <c r="L19" s="110"/>
      <c r="M19" s="112"/>
      <c r="N19" s="110"/>
      <c r="P19">
        <f t="shared" si="1"/>
        <v>0</v>
      </c>
    </row>
    <row r="20" spans="1:17" ht="15" customHeight="1">
      <c r="A20" s="108">
        <v>19</v>
      </c>
      <c r="D20" s="110" t="s">
        <v>256</v>
      </c>
      <c r="E20" s="110"/>
      <c r="F20" s="111"/>
      <c r="G20" s="101">
        <f t="shared" si="2"/>
        <v>1</v>
      </c>
      <c r="H20" s="111" t="str">
        <f t="shared" si="3"/>
        <v>yanvar</v>
      </c>
      <c r="I20" s="101">
        <f t="shared" si="4"/>
        <v>0</v>
      </c>
      <c r="J20" s="113">
        <f t="shared" si="5"/>
        <v>1900</v>
      </c>
      <c r="K20" s="111" t="str">
        <f t="shared" si="6"/>
        <v>0 yanvar 1900 г.</v>
      </c>
      <c r="L20" s="110"/>
      <c r="M20" s="112"/>
      <c r="N20" s="110"/>
      <c r="P20">
        <f t="shared" si="1"/>
        <v>0</v>
      </c>
    </row>
    <row r="21" spans="1:17" ht="15" customHeight="1">
      <c r="A21" s="108">
        <v>20</v>
      </c>
      <c r="D21" s="110" t="s">
        <v>256</v>
      </c>
      <c r="E21" s="110"/>
      <c r="F21" s="111"/>
      <c r="G21" s="101">
        <f t="shared" si="2"/>
        <v>1</v>
      </c>
      <c r="H21" s="111" t="str">
        <f t="shared" si="3"/>
        <v>yanvar</v>
      </c>
      <c r="I21" s="101">
        <f t="shared" si="4"/>
        <v>0</v>
      </c>
      <c r="J21" s="113">
        <f t="shared" si="5"/>
        <v>1900</v>
      </c>
      <c r="K21" s="111" t="str">
        <f t="shared" si="6"/>
        <v>0 yanvar 1900 г.</v>
      </c>
      <c r="L21" s="110"/>
      <c r="M21" s="112"/>
      <c r="N21" s="110"/>
      <c r="P21">
        <f t="shared" si="1"/>
        <v>0</v>
      </c>
    </row>
    <row r="22" spans="1:17">
      <c r="M22" s="116">
        <f>SUM(M2:M21)+malumot!B142</f>
        <v>85500000</v>
      </c>
      <c r="Q22" t="s">
        <v>255</v>
      </c>
    </row>
    <row r="23" spans="1:17">
      <c r="A23" s="97"/>
      <c r="B23" s="98"/>
      <c r="C23" s="98"/>
      <c r="D23" s="98"/>
      <c r="E23" s="98"/>
      <c r="F23" s="98"/>
      <c r="G23" s="98"/>
      <c r="H23" s="98"/>
      <c r="I23" s="98"/>
      <c r="J23" s="98"/>
      <c r="K23" s="98"/>
      <c r="L23" s="98"/>
      <c r="M23" s="98"/>
      <c r="N23" s="98"/>
      <c r="O23" s="98"/>
    </row>
    <row r="24" spans="1:17">
      <c r="A24" s="98"/>
      <c r="B24" s="98"/>
      <c r="C24" s="98"/>
      <c r="D24" s="98"/>
      <c r="E24" s="98"/>
      <c r="F24" s="98"/>
      <c r="G24" s="98"/>
      <c r="H24" s="98"/>
      <c r="I24" s="98"/>
      <c r="J24" s="98"/>
      <c r="K24" s="98"/>
      <c r="L24" s="98"/>
      <c r="M24" s="98"/>
      <c r="N24" s="98"/>
      <c r="O24" s="98"/>
    </row>
    <row r="25" spans="1:17">
      <c r="A25" s="98">
        <f>MONTH(F2)</f>
        <v>1</v>
      </c>
      <c r="B25" s="98" t="str">
        <f>IF(A25=A26,A28,IF(A25=B26,B28,IF(A25=C26,C28,IF(A25=D26,D28,IF(A25=E26,E28,IF(A25=F26,F28,IF(A25=K26,K28,IF(A25=L26,L28,IF(A25=M26,M28,IF(A25=N26,N28,IF(A25=O26,O28,IF(A25=#REF!,#REF!,))))))))))))</f>
        <v>yanvar</v>
      </c>
      <c r="C25" s="98">
        <f>DAY(F2)</f>
        <v>11</v>
      </c>
      <c r="D25" s="98">
        <f>YEAR(F2)</f>
        <v>2021</v>
      </c>
      <c r="E25" s="98"/>
      <c r="F25" s="98"/>
      <c r="G25" s="98"/>
      <c r="H25" s="98"/>
      <c r="I25" s="98"/>
      <c r="J25" s="98"/>
      <c r="K25" s="98"/>
      <c r="L25" s="98"/>
      <c r="M25" s="98"/>
      <c r="N25" s="98"/>
      <c r="O25" s="98"/>
    </row>
    <row r="26" spans="1:17">
      <c r="A26" s="98">
        <v>1</v>
      </c>
      <c r="B26" s="98">
        <v>2</v>
      </c>
      <c r="C26" s="98">
        <v>3</v>
      </c>
      <c r="D26" s="98">
        <v>4</v>
      </c>
      <c r="E26" s="98">
        <v>5</v>
      </c>
      <c r="F26" s="98">
        <v>6</v>
      </c>
      <c r="G26" s="98"/>
      <c r="H26" s="98"/>
      <c r="I26" s="98"/>
      <c r="J26" s="98"/>
      <c r="K26" s="98">
        <v>7</v>
      </c>
      <c r="L26" s="98">
        <v>8</v>
      </c>
      <c r="M26" s="98">
        <v>9</v>
      </c>
      <c r="N26" s="98">
        <v>10</v>
      </c>
      <c r="O26" s="98">
        <v>11</v>
      </c>
      <c r="P26" s="98">
        <v>12</v>
      </c>
    </row>
    <row r="27" spans="1:17">
      <c r="A27" s="98"/>
      <c r="B27" s="98"/>
      <c r="C27" s="98"/>
      <c r="D27" s="98"/>
      <c r="E27" s="98"/>
      <c r="F27" s="98"/>
      <c r="G27" s="98"/>
      <c r="H27" s="98"/>
      <c r="I27" s="98"/>
      <c r="J27" s="98"/>
      <c r="K27" s="98"/>
      <c r="L27" s="98"/>
      <c r="M27" s="98"/>
      <c r="N27" s="98"/>
      <c r="O27" s="98"/>
    </row>
    <row r="28" spans="1:17">
      <c r="A28" s="98" t="s">
        <v>119</v>
      </c>
      <c r="B28" s="98" t="s">
        <v>120</v>
      </c>
      <c r="C28" s="98" t="s">
        <v>109</v>
      </c>
      <c r="D28" s="98" t="s">
        <v>110</v>
      </c>
      <c r="E28" s="98" t="s">
        <v>111</v>
      </c>
      <c r="F28" s="98" t="s">
        <v>112</v>
      </c>
      <c r="G28" s="98"/>
      <c r="H28" s="98"/>
      <c r="I28" s="98"/>
      <c r="J28" s="98"/>
      <c r="K28" s="98" t="s">
        <v>24</v>
      </c>
      <c r="L28" s="98" t="s">
        <v>114</v>
      </c>
      <c r="M28" s="98" t="s">
        <v>254</v>
      </c>
      <c r="N28" s="98" t="s">
        <v>253</v>
      </c>
      <c r="O28" s="98" t="s">
        <v>117</v>
      </c>
      <c r="P28" s="98" t="s">
        <v>118</v>
      </c>
    </row>
    <row r="29" spans="1:17">
      <c r="A29" s="98" t="s">
        <v>119</v>
      </c>
      <c r="B29" s="98" t="s">
        <v>120</v>
      </c>
      <c r="C29" s="98" t="s">
        <v>109</v>
      </c>
      <c r="D29" s="98" t="s">
        <v>110</v>
      </c>
      <c r="E29" s="98" t="s">
        <v>111</v>
      </c>
      <c r="F29" s="98" t="s">
        <v>112</v>
      </c>
      <c r="G29" s="98"/>
      <c r="H29" s="98"/>
      <c r="I29" s="98"/>
      <c r="J29" s="98"/>
      <c r="K29" s="98" t="s">
        <v>28</v>
      </c>
      <c r="L29" s="98" t="s">
        <v>114</v>
      </c>
      <c r="M29" s="98" t="s">
        <v>254</v>
      </c>
      <c r="N29" s="98" t="s">
        <v>253</v>
      </c>
      <c r="O29" s="98" t="s">
        <v>117</v>
      </c>
      <c r="P29" s="98" t="s">
        <v>118</v>
      </c>
    </row>
    <row r="30" spans="1:17">
      <c r="A30" s="98"/>
      <c r="B30" s="98"/>
      <c r="C30" s="98"/>
      <c r="D30" s="98"/>
      <c r="E30" s="98"/>
      <c r="F30" s="98"/>
      <c r="G30" s="98"/>
      <c r="H30" s="98"/>
      <c r="I30" s="98"/>
      <c r="J30" s="98"/>
      <c r="K30" s="98"/>
      <c r="L30" s="99"/>
      <c r="M30" s="99"/>
      <c r="N30" s="99"/>
      <c r="O30" s="99"/>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320" t="s">
        <v>16</v>
      </c>
      <c r="F1" s="320"/>
    </row>
    <row r="2" spans="1:8">
      <c r="A2" s="37"/>
      <c r="B2" s="37"/>
      <c r="C2" s="37"/>
      <c r="D2" s="37"/>
      <c r="E2" s="37"/>
      <c r="F2" s="38" t="str">
        <f>"к договору микрозайма "&amp;malumot!B74&amp;""</f>
        <v>к договору микрозайма 11 mart 2025 y.dan № 23-AL</v>
      </c>
    </row>
    <row r="3" spans="1:8" ht="6.75" customHeight="1">
      <c r="A3" s="37"/>
      <c r="B3" s="37"/>
      <c r="C3" s="37"/>
      <c r="D3" s="37"/>
      <c r="E3" s="37"/>
      <c r="F3" s="37"/>
    </row>
    <row r="4" spans="1:8">
      <c r="A4" s="321" t="s">
        <v>17</v>
      </c>
      <c r="B4" s="321"/>
      <c r="C4" s="321"/>
      <c r="D4" s="321"/>
      <c r="E4" s="321"/>
      <c r="F4" s="321"/>
    </row>
    <row r="5" spans="1:8" ht="7.5" customHeight="1"/>
    <row r="6" spans="1:8">
      <c r="A6" s="322" t="s">
        <v>15</v>
      </c>
      <c r="B6" s="323" t="s">
        <v>9</v>
      </c>
      <c r="C6" s="323" t="s">
        <v>10</v>
      </c>
      <c r="D6" s="324" t="s">
        <v>11</v>
      </c>
      <c r="E6" s="324"/>
      <c r="F6" s="324"/>
    </row>
    <row r="7" spans="1:8" s="16" customFormat="1">
      <c r="A7" s="322"/>
      <c r="B7" s="323"/>
      <c r="C7" s="323"/>
      <c r="D7" s="17" t="s">
        <v>12</v>
      </c>
      <c r="E7" s="17" t="s">
        <v>13</v>
      </c>
      <c r="F7" s="17" t="s">
        <v>14</v>
      </c>
    </row>
    <row r="8" spans="1:8">
      <c r="A8" s="18">
        <v>1</v>
      </c>
      <c r="B8" s="33">
        <f>'График дифференц'!B8</f>
        <v>45754</v>
      </c>
      <c r="C8" s="34">
        <f>malumot!B75</f>
        <v>27000000</v>
      </c>
      <c r="D8" s="34">
        <f>IF(A8&lt;malumot!$B$81,'График аннуитет.'!F8-'График аннуитет.'!E8,'График аннуитет.'!C8)</f>
        <v>853561.64000000013</v>
      </c>
      <c r="E8" s="34">
        <f>ROUND(C8*malumot!$B$84/H8,2)*'График аннуитет.'!G8</f>
        <v>1198356.1199999999</v>
      </c>
      <c r="F8" s="34">
        <f>malumot!B90</f>
        <v>2051917.76</v>
      </c>
      <c r="G8" s="15">
        <f>B8-malumot!B67</f>
        <v>27</v>
      </c>
      <c r="H8" s="15">
        <f>DATE(YEAR(B8),12,31)-DATE(YEAR(B8),1,1)+1</f>
        <v>365</v>
      </c>
    </row>
    <row r="9" spans="1:8">
      <c r="A9" s="18">
        <v>2</v>
      </c>
      <c r="B9" s="33">
        <f>'График дифференц'!B9</f>
        <v>45782</v>
      </c>
      <c r="C9" s="34">
        <f t="shared" ref="C9:C30" si="0">C8-D8</f>
        <v>26146438.359999999</v>
      </c>
      <c r="D9" s="34">
        <f>IF(A9&lt;malumot!$B$81,'График аннуитет.'!F9-'График аннуитет.'!E9,'График аннуитет.'!C9)</f>
        <v>848465.16000000015</v>
      </c>
      <c r="E9" s="34">
        <f>ROUND(C9*malumot!$B$84/H9,2)*'График аннуитет.'!G9</f>
        <v>1203452.5999999999</v>
      </c>
      <c r="F9" s="34">
        <f>IF(A9&lt;malumot!$B$81,'График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IF(A10&lt;malumot!$B$81,'График аннуитет.'!F10-'График аннуитет.'!E10,'График аннуитет.'!C10)</f>
        <v>762760.75</v>
      </c>
      <c r="E10" s="34">
        <f>ROUND(C10*malumot!$B$84/H10,2)*'График аннуитет.'!G10</f>
        <v>1289157.01</v>
      </c>
      <c r="F10" s="34">
        <f>IF(A10&lt;malumot!$B$81,'График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IF(A11&lt;malumot!$B$81,'График аннуитет.'!F11-'График аннуитет.'!E11,'График аннуитет.'!C11)</f>
        <v>761298.24</v>
      </c>
      <c r="E11" s="34">
        <f>ROUND(C11*malumot!$B$84/H11,2)*'График аннуитет.'!G11</f>
        <v>1290619.52</v>
      </c>
      <c r="F11" s="34">
        <f>IF(A11&lt;malumot!$B$81,'График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IF(A12&lt;malumot!$B$81,'График аннуитет.'!F12-'График аннуитет.'!E12,'График аннуитет.'!C12)</f>
        <v>918585.86999999988</v>
      </c>
      <c r="E12" s="34">
        <f>ROUND(C12*malumot!$B$84/H12,2)*'График аннуитет.'!G12</f>
        <v>1133331.8900000001</v>
      </c>
      <c r="F12" s="34">
        <f>IF(A12&lt;malumot!$B$81,'График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IF(A13&lt;malumot!$B$81,'График аннуитет.'!F13-'График аннуитет.'!E13,'График аннуитет.'!C13)</f>
        <v>887235.35999999987</v>
      </c>
      <c r="E13" s="34">
        <f>ROUND(C13*malumot!$B$84/H13,2)*'График аннуитет.'!G13</f>
        <v>1164682.4000000001</v>
      </c>
      <c r="F13" s="34">
        <f>IF(A13&lt;malumot!$B$81,'График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IF(A14&lt;malumot!$B$81,'График аннуитет.'!F14-'График аннуитет.'!E14,'График аннуитет.'!C14)</f>
        <v>932447.92999999993</v>
      </c>
      <c r="E14" s="34">
        <f>ROUND(C14*malumot!$B$84/H14,2)*'График аннуитет.'!G14</f>
        <v>1119469.83</v>
      </c>
      <c r="F14" s="34">
        <f>IF(A14&lt;malumot!$B$81,'График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IF(A15&lt;malumot!$B$81,'График аннуитет.'!F15-'График аннуитет.'!E15,'График аннуитет.'!C15)</f>
        <v>1014543.56</v>
      </c>
      <c r="E15" s="34">
        <f>ROUND(C15*malumot!$B$84/H15,2)*'График аннуитет.'!G15</f>
        <v>1037374.2</v>
      </c>
      <c r="F15" s="34">
        <f>IF(A15&lt;malumot!$B$81,'График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IF(A16&lt;malumot!$B$81,'График аннуитет.'!F16-'График аннуитет.'!E16,'График аннуитет.'!C16)</f>
        <v>1064575.76</v>
      </c>
      <c r="E16" s="34">
        <f>ROUND(C16*malumot!$B$84/H16,2)*'График аннуитет.'!G16</f>
        <v>987342</v>
      </c>
      <c r="F16" s="34">
        <f>IF(A16&lt;malumot!$B$81,'График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IF(A17&lt;malumot!$B$81,'График аннуитет.'!F17-'График аннуитет.'!E17,'График аннуитет.'!C17)</f>
        <v>1085914.05</v>
      </c>
      <c r="E17" s="34">
        <f>ROUND(C17*malumot!$B$84/H17,2)*'График аннуитет.'!G17</f>
        <v>966003.71</v>
      </c>
      <c r="F17" s="34">
        <f>IF(A17&lt;malumot!$B$81,'График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IF(A18&lt;malumot!$B$81,'График аннуитет.'!F18-'График аннуитет.'!E18,'График аннуитет.'!C18)</f>
        <v>1141250.9100000001</v>
      </c>
      <c r="E18" s="34">
        <f>ROUND(C18*malumot!$B$84/H18,2)*'График аннуитет.'!G18</f>
        <v>910666.85</v>
      </c>
      <c r="F18" s="34">
        <f>IF(A18&lt;malumot!$B$81,'График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IF(A19&lt;malumot!$B$81,'График аннуитет.'!F19-'График аннуитет.'!E19,'График аннуитет.'!C19)</f>
        <v>1281908.8</v>
      </c>
      <c r="E19" s="34">
        <f>ROUND(C19*malumot!$B$84/H19,2)*'График аннуитет.'!G19</f>
        <v>770008.96</v>
      </c>
      <c r="F19" s="34">
        <f>IF(A19&lt;malumot!$B$81,'График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IF(A20&lt;malumot!$B$81,'График аннуитет.'!F20-'График аннуитет.'!E20,'График аннуитет.'!C20)</f>
        <v>1239339.52</v>
      </c>
      <c r="E20" s="34">
        <f>ROUND(C20*malumot!$B$84/H20,2)*'График аннуитет.'!G20</f>
        <v>812578.24</v>
      </c>
      <c r="F20" s="34">
        <f>IF(A20&lt;malumot!$B$81,'График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IF(A21&lt;malumot!$B$81,'График аннуитет.'!F21-'График аннуитет.'!E21,'График аннуитет.'!C21)</f>
        <v>1374599.56</v>
      </c>
      <c r="E21" s="34">
        <f>ROUND(C21*malumot!$B$84/H21,2)*'График аннуитет.'!G21</f>
        <v>677318.2</v>
      </c>
      <c r="F21" s="34">
        <f>IF(A21&lt;malumot!$B$81,'График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IF(A22&lt;malumot!$B$81,'График аннуитет.'!F22-'График аннуитет.'!E22,'График аннуитет.'!C22)</f>
        <v>1397935.87</v>
      </c>
      <c r="E22" s="34">
        <f>ROUND(C22*malumot!$B$84/H22,2)*'График аннуитет.'!G22</f>
        <v>653981.89</v>
      </c>
      <c r="F22" s="34">
        <f>IF(A22&lt;malumot!$B$81,'График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IF(A23&lt;malumot!$B$81,'График аннуитет.'!F23-'График аннуитет.'!E23,'График аннуитет.'!C23)</f>
        <v>1469173.25</v>
      </c>
      <c r="E23" s="34">
        <f>ROUND(C23*malumot!$B$84/H23,2)*'График аннуитет.'!G23</f>
        <v>582744.51</v>
      </c>
      <c r="F23" s="34">
        <f>IF(A23&lt;malumot!$B$81,'График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IF(A24&lt;malumot!$B$81,'График аннуитет.'!F24-'График аннуитет.'!E24,'График аннуитет.'!C24)</f>
        <v>1560423.86</v>
      </c>
      <c r="E24" s="34">
        <f>ROUND(C24*malumot!$B$84/H24,2)*'График аннуитет.'!G24</f>
        <v>491493.89999999997</v>
      </c>
      <c r="F24" s="34">
        <f>IF(A24&lt;malumot!$B$81,'График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IF(A25&lt;malumot!$B$81,'График аннуитет.'!F25-'График аннуитет.'!E25,'График аннуитет.'!C25)</f>
        <v>1595922.11</v>
      </c>
      <c r="E25" s="34">
        <f>ROUND(C25*malumot!$B$84/H25,2)*'График аннуитет.'!G25</f>
        <v>455995.64999999997</v>
      </c>
      <c r="F25" s="34">
        <f>IF(A25&lt;malumot!$B$81,'График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IF(A26&lt;malumot!$B$81,'График аннуитет.'!F26-'График аннуитет.'!E26,'График аннуитет.'!C26)</f>
        <v>1738468.4</v>
      </c>
      <c r="E26" s="34">
        <f>ROUND(C26*malumot!$B$84/H26,2)*'График аннуитет.'!G26</f>
        <v>313449.36000000004</v>
      </c>
      <c r="F26" s="34">
        <f>IF(A26&lt;malumot!$B$81,'График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IF(A27&lt;malumot!$B$81,'График аннуитет.'!F27-'График аннуитет.'!E27,'График аннуитет.'!C27)</f>
        <v>1793475.1</v>
      </c>
      <c r="E27" s="34">
        <f>ROUND(C27*malumot!$B$84/H27,2)*'График аннуитет.'!G27</f>
        <v>258442.66000000003</v>
      </c>
      <c r="F27" s="34">
        <f>IF(A27&lt;malumot!$B$81,'График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IF(A28&lt;malumot!$B$81,'График аннуитет.'!F28-'График аннуитет.'!E28,'График аннуитет.'!C28)</f>
        <v>1879480</v>
      </c>
      <c r="E28" s="34">
        <f>ROUND(C28*malumot!$B$84/H28,2)*'График аннуитет.'!G28</f>
        <v>172437.76000000001</v>
      </c>
      <c r="F28" s="34">
        <f>IF(A28&lt;malumot!$B$81,'График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IF(A29&lt;malumot!$B$81,'График аннуитет.'!F29-'График аннуитет.'!E29,'График аннуитет.'!C29)</f>
        <v>1985243.28</v>
      </c>
      <c r="E29" s="34">
        <f>ROUND(C29*malumot!$B$84/H29,2)*'График аннуитет.'!G29</f>
        <v>66674.48</v>
      </c>
      <c r="F29" s="34">
        <f>IF(A29&lt;malumot!$B$81,'График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IF(A30&lt;malumot!$B$81,'График аннуитет.'!F30-'График аннуитет.'!E30,'График аннуитет.'!C30)</f>
        <v>2081810.75</v>
      </c>
      <c r="E30" s="34">
        <f>ROUND(C30*malumot!$B$84/H30,2)*'График аннуитет.'!G30</f>
        <v>-29892.989999999998</v>
      </c>
      <c r="F30" s="34">
        <f>IF(A30&lt;malumot!$B$81,'График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IF(A31&lt;malumot!$B$81,'График аннуитет.'!F31-'График аннуитет.'!E31,'График аннуитет.'!C31)</f>
        <v>2174738.08</v>
      </c>
      <c r="E31" s="34">
        <f>ROUND(C31*malumot!$B$84/H31,2)*'График аннуитет.'!G31</f>
        <v>-122820.31999999999</v>
      </c>
      <c r="F31" s="34">
        <f>IF(A31&lt;malumot!$B$81,'График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IF(A32&lt;malumot!$B$81,'График аннуитет.'!F32-'График аннуитет.'!E32,'График аннуитет.'!C32)</f>
        <v>2298719.92</v>
      </c>
      <c r="E32" s="34">
        <f>ROUND(C32*malumot!$B$84/H32,2)*'График аннуитет.'!G32</f>
        <v>-246802.16</v>
      </c>
      <c r="F32" s="34">
        <f>IF(A32&lt;malumot!$B$81,'График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IF(A33&lt;malumot!$B$81,'График аннуитет.'!F33-'График аннуитет.'!E33,'График аннуитет.'!C33)</f>
        <v>2404119.86</v>
      </c>
      <c r="E33" s="34">
        <f>ROUND(C33*malumot!$B$84/H33,2)*'График аннуитет.'!G33</f>
        <v>-352202.1</v>
      </c>
      <c r="F33" s="34">
        <f>IF(A33&lt;malumot!$B$81,'График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IF(A34&lt;malumot!$B$81,'График аннуитет.'!F34-'График аннуитет.'!E34,'График аннуитет.'!C34)</f>
        <v>2569755.41</v>
      </c>
      <c r="E34" s="34">
        <f>ROUND(C34*malumot!$B$84/H34,2)*'График аннуитет.'!G34</f>
        <v>-517837.64999999997</v>
      </c>
      <c r="F34" s="34">
        <f>IF(A34&lt;malumot!$B$81,'График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IF(A35&lt;malumot!$B$81,'График аннуитет.'!F35-'График аннуитет.'!E35,'График аннуитет.'!C35)</f>
        <v>2609574.44</v>
      </c>
      <c r="E35" s="34">
        <f>ROUND(C35*malumot!$B$84/H35,2)*'График аннуитет.'!G35</f>
        <v>-557656.68000000005</v>
      </c>
      <c r="F35" s="34">
        <f>IF(A35&lt;malumot!$B$81,'График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IF(A36&lt;malumot!$B$81,'График аннуитет.'!F36-'График аннуитет.'!E36,'График аннуитет.'!C36)</f>
        <v>2802304.38</v>
      </c>
      <c r="E36" s="34">
        <f>ROUND(C36*malumot!$B$84/H36,2)*'График аннуитет.'!G36</f>
        <v>-750386.62</v>
      </c>
      <c r="F36" s="34">
        <f>IF(A36&lt;malumot!$B$81,'График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IF(A37&lt;malumot!$B$81,'График аннуитет.'!F37-'График аннуитет.'!E37,'График аннуитет.'!C37)</f>
        <v>2973919.36</v>
      </c>
      <c r="E37" s="34">
        <f>ROUND(C37*malumot!$B$84/H37,2)*'График аннуитет.'!G37</f>
        <v>-922001.6</v>
      </c>
      <c r="F37" s="34">
        <f>IF(A37&lt;malumot!$B$81,'График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IF(A38&lt;malumot!$B$81,'График аннуитет.'!F38-'График аннуитет.'!E38,'График аннуитет.'!C38)</f>
        <v>3029251.98</v>
      </c>
      <c r="E38" s="34">
        <f>ROUND(C38*malumot!$B$84/H38,2)*'График аннуитет.'!G38</f>
        <v>-977334.22</v>
      </c>
      <c r="F38" s="34">
        <f>IF(A38&lt;malumot!$B$81,'График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IF(A39&lt;malumot!$B$81,'График аннуитет.'!F39-'График аннуитет.'!E39,'График аннуитет.'!C39)</f>
        <v>3251021.63</v>
      </c>
      <c r="E39" s="34">
        <f>ROUND(C39*malumot!$B$84/H39,2)*'График аннуитет.'!G39</f>
        <v>-1199103.8699999999</v>
      </c>
      <c r="F39" s="34">
        <f>IF(A39&lt;malumot!$B$81,'График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IF(A40&lt;malumot!$B$81,'График аннуитет.'!F40-'График аннуитет.'!E40,'График аннуитет.'!C40)</f>
        <v>3416690.2800000003</v>
      </c>
      <c r="E40" s="34">
        <f>ROUND(C40*malumot!$B$84/H40,2)*'График аннуитет.'!G40</f>
        <v>-1364772.52</v>
      </c>
      <c r="F40" s="34">
        <f>IF(A40&lt;malumot!$B$81,'График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IF(A41&lt;malumot!$B$81,'График аннуитет.'!F41-'График аннуитет.'!E41,'График аннуитет.'!C41)</f>
        <v>3537090.5600000001</v>
      </c>
      <c r="E41" s="34">
        <f>ROUND(C41*malumot!$B$84/H41,2)*'График аннуитет.'!G41</f>
        <v>-1485172.8</v>
      </c>
      <c r="F41" s="34">
        <f>IF(A41&lt;malumot!$B$81,'График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IF(A42&lt;malumot!$B$81,'График аннуитет.'!F42-'График аннуитет.'!E42,'График аннуитет.'!C42)</f>
        <v>3876958.67</v>
      </c>
      <c r="E42" s="34">
        <f>ROUND(C42*malumot!$B$84/H42,2)*'График аннуитет.'!G42</f>
        <v>-1825040.91</v>
      </c>
      <c r="F42" s="34">
        <f>IF(A42&lt;malumot!$B$81,'График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IF(A43&lt;malumot!$B$81,'График аннуитет.'!F43-'График аннуитет.'!E43,'График аннуитет.'!C43)</f>
        <v>-37612564.300000004</v>
      </c>
      <c r="E43" s="34">
        <f>ROUND(C43*malumot!$B$84/H43,2)*'График аннуитет.'!G43</f>
        <v>-2034778.02</v>
      </c>
      <c r="F43" s="34">
        <f>IF(A43&lt;malumot!$B$81,'График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89" t="s">
        <v>18</v>
      </c>
      <c r="B46" s="289"/>
      <c r="C46" s="289"/>
      <c r="D46" s="289"/>
      <c r="E46" s="289"/>
      <c r="F46" s="289"/>
    </row>
    <row r="47" spans="1:8" ht="7.5" customHeight="1"/>
    <row r="48" spans="1:8">
      <c r="A48" s="318" t="e">
        <f>#REF!</f>
        <v>#REF!</v>
      </c>
      <c r="B48" s="318"/>
      <c r="C48" s="318"/>
      <c r="D48" s="318" t="e">
        <f>#REF!</f>
        <v>#REF!</v>
      </c>
      <c r="E48" s="318"/>
      <c r="F48" s="318"/>
    </row>
    <row r="49" spans="1:6" ht="11.25" customHeight="1">
      <c r="A49" s="319"/>
      <c r="B49" s="319"/>
      <c r="C49" s="319"/>
      <c r="D49" s="319"/>
      <c r="E49" s="319"/>
      <c r="F49" s="319"/>
    </row>
    <row r="50" spans="1:6" ht="30" customHeight="1">
      <c r="A50" s="290" t="e">
        <f>#REF!</f>
        <v>#REF!</v>
      </c>
      <c r="B50" s="290"/>
      <c r="C50" s="290"/>
      <c r="D50" s="290" t="e">
        <f>#REF!</f>
        <v>#REF!</v>
      </c>
      <c r="E50" s="290"/>
      <c r="F50" s="290"/>
    </row>
    <row r="51" spans="1:6" ht="32.25" customHeight="1">
      <c r="A51" s="314" t="e">
        <f>#REF!</f>
        <v>#REF!</v>
      </c>
      <c r="B51" s="314"/>
      <c r="C51" s="314"/>
      <c r="D51" s="314" t="e">
        <f>#REF!</f>
        <v>#REF!</v>
      </c>
      <c r="E51" s="314"/>
      <c r="F51" s="314"/>
    </row>
    <row r="52" spans="1:6">
      <c r="A52" s="314" t="e">
        <f>#REF!</f>
        <v>#REF!</v>
      </c>
      <c r="B52" s="314"/>
      <c r="C52" s="314"/>
      <c r="D52" s="314" t="str">
        <f>"паспорт серии "&amp;malumot!B16&amp;", "&amp;malumot!B20&amp;""</f>
        <v>паспорт серии AA 9481167, BUXORO VILOYATI BUXORO SHAHAR IIB tomonidan 24.04.2015 yilda berilgan</v>
      </c>
      <c r="E52" s="314"/>
      <c r="F52" s="314"/>
    </row>
    <row r="53" spans="1:6" ht="32.25" customHeight="1">
      <c r="A53" s="314" t="e">
        <f>#REF!</f>
        <v>#REF!</v>
      </c>
      <c r="B53" s="314"/>
      <c r="C53" s="314"/>
      <c r="D53" s="314"/>
      <c r="E53" s="314"/>
      <c r="F53" s="314"/>
    </row>
    <row r="54" spans="1:6">
      <c r="A54" s="314" t="e">
        <f>#REF!</f>
        <v>#REF!</v>
      </c>
      <c r="B54" s="314"/>
      <c r="C54" s="314"/>
      <c r="D54" s="314" t="e">
        <f>#REF!</f>
        <v>#REF!</v>
      </c>
      <c r="E54" s="314"/>
      <c r="F54" s="314"/>
    </row>
    <row r="55" spans="1:6">
      <c r="A55" s="314" t="e">
        <f>#REF!</f>
        <v>#REF!</v>
      </c>
      <c r="B55" s="314"/>
      <c r="C55" s="314"/>
      <c r="D55" s="314" t="e">
        <f>#REF!</f>
        <v>#REF!</v>
      </c>
      <c r="E55" s="314"/>
      <c r="F55" s="314"/>
    </row>
    <row r="56" spans="1:6">
      <c r="A56" s="314" t="e">
        <f>#REF!</f>
        <v>#REF!</v>
      </c>
      <c r="B56" s="314"/>
      <c r="C56" s="314"/>
      <c r="D56" s="314" t="e">
        <f>#REF!</f>
        <v>#REF!</v>
      </c>
      <c r="E56" s="314"/>
      <c r="F56" s="314"/>
    </row>
    <row r="57" spans="1:6" ht="8.25" customHeight="1">
      <c r="A57" s="314"/>
      <c r="B57" s="314"/>
      <c r="C57" s="314"/>
      <c r="D57" s="314"/>
      <c r="E57" s="314"/>
      <c r="F57" s="314"/>
    </row>
    <row r="58" spans="1:6">
      <c r="A58" s="290" t="e">
        <f>#REF!</f>
        <v>#REF!</v>
      </c>
      <c r="B58" s="290"/>
      <c r="C58" s="290"/>
      <c r="D58" s="290" t="e">
        <f>#REF!</f>
        <v>#REF!</v>
      </c>
      <c r="E58" s="290"/>
      <c r="F58" s="290"/>
    </row>
    <row r="59" spans="1:6" ht="7.5" customHeight="1">
      <c r="A59" s="290"/>
      <c r="B59" s="290"/>
      <c r="C59" s="290"/>
      <c r="D59" s="290"/>
      <c r="E59" s="290"/>
      <c r="F59" s="290"/>
    </row>
    <row r="60" spans="1:6">
      <c r="A60" s="290" t="e">
        <f>#REF!</f>
        <v>#REF!</v>
      </c>
      <c r="B60" s="290"/>
      <c r="C60" s="290"/>
      <c r="D60" s="290" t="e">
        <f>#REF!</f>
        <v>#REF!</v>
      </c>
      <c r="E60" s="290"/>
      <c r="F60" s="290"/>
    </row>
    <row r="61" spans="1:6" ht="8.25" customHeight="1">
      <c r="A61" s="314"/>
      <c r="B61" s="314"/>
      <c r="C61" s="314"/>
      <c r="D61" s="314"/>
      <c r="E61" s="314"/>
      <c r="F61" s="314"/>
    </row>
    <row r="62" spans="1:6" ht="30" customHeight="1">
      <c r="A62" s="315"/>
      <c r="B62" s="315"/>
      <c r="C62" s="315"/>
      <c r="D62" s="316"/>
      <c r="E62" s="316"/>
      <c r="F62" s="316"/>
    </row>
    <row r="63" spans="1:6">
      <c r="A63" s="317"/>
      <c r="B63" s="317"/>
      <c r="C63" s="317"/>
      <c r="D63" s="317"/>
      <c r="E63" s="317"/>
      <c r="F63" s="317"/>
    </row>
    <row r="64" spans="1:6">
      <c r="A64" s="313"/>
      <c r="B64" s="313"/>
      <c r="C64" s="313"/>
      <c r="D64" s="313"/>
      <c r="E64" s="313"/>
      <c r="F64" s="313"/>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8"/>
  <sheetViews>
    <sheetView view="pageBreakPreview" topLeftCell="A35" zoomScaleSheetLayoutView="100" workbookViewId="0">
      <selection activeCell="C54" sqref="C54:C57"/>
    </sheetView>
  </sheetViews>
  <sheetFormatPr defaultColWidth="9.140625" defaultRowHeight="15" outlineLevelRow="1"/>
  <cols>
    <col min="1" max="1" width="17.28515625" style="15" customWidth="1"/>
    <col min="2" max="2" width="24.7109375" style="15" customWidth="1"/>
    <col min="3" max="5" width="17" style="15" customWidth="1"/>
    <col min="6" max="16384" width="9.140625" style="15"/>
  </cols>
  <sheetData>
    <row r="1" spans="1:5" ht="36" customHeight="1">
      <c r="A1" s="290" t="str">
        <f>""&amp;malumot!B153&amp;"
mikromoliya tashkilotining Xulosasi"</f>
        <v>«CLEVER MIKROMOLIYA TASHKILOTI» MChJ
mikromoliya tashkilotining Xulosasi</v>
      </c>
      <c r="B1" s="290"/>
      <c r="C1" s="290"/>
      <c r="D1" s="290"/>
      <c r="E1" s="290"/>
    </row>
    <row r="2" spans="1:5">
      <c r="A2" s="289"/>
      <c r="B2" s="289"/>
      <c r="C2" s="289"/>
      <c r="D2" s="289"/>
      <c r="E2" s="289"/>
    </row>
    <row r="3" spans="1:5">
      <c r="A3" s="290" t="s">
        <v>204</v>
      </c>
      <c r="B3" s="290"/>
      <c r="C3" s="290"/>
      <c r="D3" s="290"/>
      <c r="E3" s="290"/>
    </row>
    <row r="4" spans="1:5" ht="19.5" customHeight="1">
      <c r="A4" s="289" t="str">
        <f>"Mijozning to'liq ismi sharifi: "&amp;malumot!B5&amp;""</f>
        <v>Mijozning to'liq ismi sharifi: NUTFULLAYEV AKBARJON AXMEDOVICH</v>
      </c>
      <c r="B4" s="289"/>
      <c r="C4" s="289"/>
      <c r="D4" s="289"/>
      <c r="E4" s="289"/>
    </row>
    <row r="5" spans="1:5">
      <c r="A5" s="289" t="str">
        <f>"Tug'ilgan sanasi: "&amp;malumot!B15&amp;""</f>
        <v>Tug'ilgan sanasi: 14.09.1989 y</v>
      </c>
      <c r="B5" s="289"/>
      <c r="C5" s="289"/>
      <c r="D5" s="289"/>
      <c r="E5" s="289"/>
    </row>
    <row r="6" spans="1:5" ht="31.5" customHeight="1">
      <c r="A6" s="289" t="str">
        <f>"Pasport seriyasi "&amp;malumot!B16&amp;" "&amp;malumot!B20&amp;", amal qilish muddati - "&amp;malumot!B21&amp;""</f>
        <v>Pasport seriyasi AA 9481167 BUXORO VILOYATI BUXORO SHAHAR IIB tomonidan 24.04.2015 yilda berilgan, amal qilish muddati - 23.04.2025 y.</v>
      </c>
      <c r="B6" s="289"/>
      <c r="C6" s="289"/>
      <c r="D6" s="289"/>
      <c r="E6" s="289"/>
    </row>
    <row r="7" spans="1:5" ht="39.75" customHeight="1">
      <c r="A7" s="289" t="str">
        <f>"Ro‘yxatdan o‘tgan manzili: "&amp;malumot!B28&amp;", mo'ljal: "&amp;malumot!B26&amp;""</f>
        <v>Ro‘yxatdan o‘tgan manzili: BUXORO VILOYATI BUXORO SHAHAR TADBIRKOR KO'CHASI 12-UY, mo'ljal: GOR VODAKANAL</v>
      </c>
      <c r="B7" s="289"/>
      <c r="C7" s="289"/>
      <c r="D7" s="289"/>
      <c r="E7" s="289"/>
    </row>
    <row r="8" spans="1:5" ht="26.25" customHeight="1">
      <c r="A8" s="289" t="str">
        <f>"Ish joyi: "&amp;malumot!B52&amp;" lavozimi "&amp;malumot!B49&amp;"da "&amp;malumot!B44&amp;""</f>
        <v>Ish joyi:  lavozimi Yakka tartibdagi tadbirkorda Yakka tartibdagi tadbirkor</v>
      </c>
      <c r="B8" s="289"/>
      <c r="C8" s="289"/>
      <c r="D8" s="289"/>
      <c r="E8" s="289"/>
    </row>
    <row r="9" spans="1:5">
      <c r="A9" s="289"/>
      <c r="B9" s="289"/>
      <c r="C9" s="289"/>
      <c r="D9" s="289"/>
      <c r="E9" s="289"/>
    </row>
    <row r="10" spans="1:5">
      <c r="A10" s="290" t="str">
        <f>"Mijoz tomonidan so’ralgan "&amp;malumot!B65&amp;" shartlari:"</f>
        <v>Mijoz tomonidan so’ralgan mikroqarz shartlari:</v>
      </c>
      <c r="B10" s="290"/>
      <c r="C10" s="290"/>
      <c r="D10" s="290"/>
      <c r="E10" s="290"/>
    </row>
    <row r="11" spans="1:5">
      <c r="A11" s="289" t="str">
        <f>'Кредитная заявка'!A13:D13</f>
        <v>Mikroqarz summasi: 27 000 000,00 (yigirma yetti million so'm) so'm.</v>
      </c>
      <c r="B11" s="289"/>
      <c r="C11" s="289"/>
      <c r="D11" s="289"/>
      <c r="E11" s="289"/>
    </row>
    <row r="12" spans="1:5">
      <c r="A12" s="289" t="str">
        <f>'Кредитная заявка'!A14:D14</f>
        <v>Mikroqarz muddati: 36 (o'ttiz olti) oy.</v>
      </c>
      <c r="B12" s="289"/>
      <c r="C12" s="289"/>
      <c r="D12" s="289"/>
      <c r="E12" s="289"/>
    </row>
    <row r="13" spans="1:5">
      <c r="A13" s="289" t="str">
        <f>'Кредитная заявка'!A15:D15</f>
        <v>Mikroqarzdan foydalanganlik uchun foiz stavkasi: yillik  60% (Oltmish) foiz</v>
      </c>
      <c r="B13" s="289"/>
      <c r="C13" s="289"/>
      <c r="D13" s="289"/>
      <c r="E13" s="289"/>
    </row>
    <row r="14" spans="1:5">
      <c r="A14" s="289" t="str">
        <f>'Кредитная заявка'!A16:D16</f>
        <v>Mikroqarz bo'yicha asosiy qarz va foizlarni to'lash:</v>
      </c>
      <c r="B14" s="289"/>
      <c r="C14" s="289"/>
      <c r="D14" s="289"/>
      <c r="E14" s="289"/>
    </row>
    <row r="15" spans="1:5" ht="18.75" customHeight="1">
      <c r="A15" s="289" t="str">
        <f>'Кредитная заявка'!A19:D19</f>
        <v xml:space="preserve"> - mikroqarz shartnomasi bo'yicha har oy differensial to'lovlari amalga oshiriladi</v>
      </c>
      <c r="B15" s="289"/>
      <c r="C15" s="289"/>
      <c r="D15" s="289"/>
      <c r="E15" s="289"/>
    </row>
    <row r="16" spans="1:5" ht="14.25" customHeight="1">
      <c r="A16" s="291" t="str">
        <f>'Кредитная заявка'!A20:D20</f>
        <v xml:space="preserve">   </v>
      </c>
      <c r="B16" s="291"/>
      <c r="C16" s="291"/>
      <c r="D16" s="291"/>
      <c r="E16" s="291"/>
    </row>
    <row r="17" spans="1:5">
      <c r="A17" s="289" t="str">
        <f>'Кредитная заявка'!A21:D21</f>
        <v>Mikroqarz ta’minoti::</v>
      </c>
      <c r="B17" s="289"/>
      <c r="C17" s="289"/>
      <c r="D17" s="289"/>
      <c r="E17" s="289"/>
    </row>
    <row r="18" spans="1:5" ht="83.25" customHeight="1">
      <c r="A18" s="289"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89"/>
      <c r="C18" s="289"/>
      <c r="D18" s="289"/>
      <c r="E18" s="289"/>
    </row>
    <row r="19" spans="1:5">
      <c r="A19" s="290" t="s">
        <v>205</v>
      </c>
      <c r="B19" s="290"/>
      <c r="C19" s="290"/>
      <c r="D19" s="290"/>
      <c r="E19" s="290"/>
    </row>
    <row r="20" spans="1:5" ht="21" customHeight="1">
      <c r="A20" s="289" t="str">
        <f>"Anketaga muvofiq "&amp;malumot!B9&amp;"ning o‘rtacha oylik daromadi  "&amp;FIXED(malumot!B60)&amp;" so‘mni tashkil etdi."</f>
        <v>Anketaga muvofiq A.A.NUTFULLAYEVning o‘rtacha oylik daromadi  10 000 000,00 so‘mni tashkil etdi.</v>
      </c>
      <c r="B20" s="289"/>
      <c r="C20" s="289"/>
      <c r="D20" s="289"/>
      <c r="E20" s="289"/>
    </row>
    <row r="21" spans="1:5" ht="27" customHeight="1">
      <c r="A21" s="289" t="str">
        <f>"Mijozning o'rtacha oylik xarajatlari "&amp;FIXED(mijoz_anketasi!F27)&amp;" so'mni tashkil etdi"</f>
        <v>Mijozning o'rtacha oylik xarajatlari 1 650 000,00 so'mni tashkil etdi</v>
      </c>
      <c r="B21" s="289"/>
      <c r="C21" s="289"/>
      <c r="D21" s="289"/>
      <c r="E21" s="289"/>
    </row>
    <row r="22" spans="1:5" ht="24.75" customHeight="1">
      <c r="A22" s="289" t="str">
        <f>IF(malumot!B77=malumot!C77,xulosa!A23:E23,xulosa!A24:E24)</f>
        <v>Mikroqarz shartnomasi bo'yicha birinchi oy uchun to'lov 2 051 917,76 so'mni tashkil etadi.</v>
      </c>
      <c r="B22" s="289"/>
      <c r="C22" s="289"/>
      <c r="D22" s="289"/>
      <c r="E22" s="289"/>
    </row>
    <row r="23" spans="1:5" ht="19.5" hidden="1" customHeight="1">
      <c r="A23" s="289" t="str">
        <f>""&amp;malumot!C64&amp;" shartnomasi bo'yicha birinchi oy uchun to'lov "&amp;FIXED(malumot!B90)&amp;" so'mni tashkil etadi."</f>
        <v>Mikroqarz shartnomasi bo'yicha birinchi oy uchun to'lov 2 051 917,76 so'mni tashkil etadi.</v>
      </c>
      <c r="B23" s="289"/>
      <c r="C23" s="289"/>
      <c r="D23" s="289"/>
      <c r="E23" s="289"/>
    </row>
    <row r="24" spans="1:5" ht="19.5" hidden="1" customHeight="1">
      <c r="A24" s="289" t="str">
        <f>""&amp;malumot!C64&amp;" bo‘yicha oylik "&amp;malumot!B77&amp;" to‘lovi miqdori "&amp;FIXED(malumot!B90)&amp;" so‘mni tashkil etadi."</f>
        <v>Mikroqarz bo‘yicha oylik differensial to‘lovi miqdori 2 051 917,76 so‘mni tashkil etadi.</v>
      </c>
      <c r="B24" s="289"/>
      <c r="C24" s="289"/>
      <c r="D24" s="289"/>
      <c r="E24" s="289"/>
    </row>
    <row r="25" spans="1:5" ht="56.25" hidden="1" customHeight="1">
      <c r="A25" s="291" t="s">
        <v>394</v>
      </c>
      <c r="B25" s="291"/>
      <c r="C25" s="291"/>
      <c r="D25" s="291"/>
      <c r="E25" s="291"/>
    </row>
    <row r="26" spans="1:5">
      <c r="A26" s="290" t="str">
        <f>""&amp;malumot!C64&amp;" bo’yicha ta’minot:"</f>
        <v>Mikroqarz bo’yicha ta’minot:</v>
      </c>
      <c r="B26" s="290"/>
      <c r="C26" s="290"/>
      <c r="D26" s="290"/>
      <c r="E26" s="290"/>
    </row>
    <row r="27" spans="1:5" ht="31.5" hidden="1" customHeight="1">
      <c r="A27" s="289" t="str">
        <f>" - "&amp;malumot!B123&amp;" ga mulk huquqi asosida tegishli avtotransport vositasi "&amp;malumot!B131&amp;" , quyidagi tafsilotlarga muvofiq:"</f>
        <v xml:space="preserve"> - NUTFULLAYEV AKBARJON AXMEDOVICH ga mulk huquqi asosida tegishli avtotransport vositasi CHANGAN CHANGAN SC 1027SB , quyidagi tafsilotlarga muvofiq:</v>
      </c>
      <c r="B27" s="289"/>
      <c r="C27" s="289"/>
      <c r="D27" s="289"/>
      <c r="E27" s="289"/>
    </row>
    <row r="28" spans="1:5" ht="67.5" hidden="1" customHeight="1">
      <c r="A28" s="289" t="str">
        <f>" -   "&amp;malumot!C123&amp;" ga mulk huquqi asosida tegishli ko'chmas mulk shaklida "&amp;malumot!C132&amp;", manzili: "&amp;malumot!C129&amp;",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89"/>
      <c r="C28" s="289"/>
      <c r="D28" s="289"/>
      <c r="E28" s="289"/>
    </row>
    <row r="29" spans="1:5" ht="44.25" customHeight="1">
      <c r="A29" s="289" t="str">
        <f>IF(malumot!B109="Avtotransport",xulosa!A27:E27,xulosa!A28:E28)</f>
        <v xml:space="preserve"> - NUTFULLAYEV AKBARJON AXMEDOVICH ga mulk huquqi asosida tegishli avtotransport vositasi CHANGAN CHANGAN SC 1027SB , quyidagi tafsilotlarga muvofiq:</v>
      </c>
      <c r="B29" s="289"/>
      <c r="C29" s="289"/>
      <c r="D29" s="289"/>
      <c r="E29" s="289"/>
    </row>
    <row r="30" spans="1:5" s="16" customFormat="1" ht="47.25" customHeight="1" outlineLevel="1">
      <c r="A30" s="39" t="str">
        <f>dalolatnoma!A29</f>
        <v>Nomi</v>
      </c>
      <c r="B30" s="39" t="str">
        <f>dalolatnoma!B29</f>
        <v>Kuzov turi  va kuzov raqami*</v>
      </c>
      <c r="C30" s="39" t="str">
        <f>dalolatnoma!C29</f>
        <v>Dvigatel va shassi raqami*</v>
      </c>
      <c r="D30" s="39" t="str">
        <f>dalolatnoma!D29</f>
        <v>Ishlab chiqarilgan yili va rangi*</v>
      </c>
      <c r="E30" s="39" t="str">
        <f>dalolatnoma!E29</f>
        <v>Kelishilgan garov qiymati, so'm</v>
      </c>
    </row>
    <row r="31" spans="1:5" s="20" customFormat="1" ht="92.25" customHeight="1" outlineLevel="1">
      <c r="A31" s="17" t="str">
        <f>dalolatnoma!A30</f>
        <v>CHANGAN CHANGAN SC 1027SB</v>
      </c>
      <c r="B31" s="17" t="str">
        <f>dalolatnoma!B30</f>
        <v>kuzov turi - YUK BORTLI TENT, kuzov raqami LSCAB23D8EG228387</v>
      </c>
      <c r="C31" s="17" t="str">
        <f>dalolatnoma!C30</f>
        <v>dvigatel raqami JL466Q1%E61H022801, shassi raqami - URINDIKLAR SONI 5TA</v>
      </c>
      <c r="D31" s="17" t="str">
        <f>dalolatnoma!D30</f>
        <v>rangi -  OQ BELIY, ishlab chiqarilgan yili - 2014</v>
      </c>
      <c r="E31" s="17" t="str">
        <f>dalolatnoma!E30</f>
        <v>40 500 000,00 
(qirq million besh yuz ming so'm)</v>
      </c>
    </row>
    <row r="32" spans="1:5" ht="17.25" customHeight="1" outlineLevel="1">
      <c r="A32" s="289" t="str">
        <f>dalolatnoma!A22</f>
        <v>-* avtotransport egasi: NUTFULLAYEV AKBARJON AXMEDOVICH</v>
      </c>
      <c r="B32" s="289"/>
      <c r="C32" s="289"/>
      <c r="D32" s="289"/>
      <c r="E32" s="289"/>
    </row>
    <row r="33" spans="1:5" ht="15" customHeight="1" outlineLevel="1">
      <c r="A33" s="289" t="str">
        <f>dalolatnoma!A23</f>
        <v>-* texnik pasport: AAG   2346592  13.09.2023y</v>
      </c>
      <c r="B33" s="289"/>
      <c r="C33" s="289"/>
      <c r="D33" s="289"/>
      <c r="E33" s="289"/>
    </row>
    <row r="34" spans="1:5" ht="33" customHeight="1" outlineLevel="1">
      <c r="A34" s="289" t="str">
        <f>dalolatnoma!A24</f>
        <v>-* roʻyxatdan oʻtgan manzili/garaj manzili: BUXORO VILOYATI BUXORO SHAHAR TADBIRKOR KO'CHASI 12-UY</v>
      </c>
      <c r="B34" s="289"/>
      <c r="C34" s="289"/>
      <c r="D34" s="289"/>
      <c r="E34" s="289"/>
    </row>
    <row r="35" spans="1:5" ht="15" customHeight="1" outlineLevel="1">
      <c r="A35" s="289" t="str">
        <f>dalolatnoma!A25</f>
        <v>-* davlat raqami: 80T312WA</v>
      </c>
      <c r="B35" s="289"/>
      <c r="C35" s="289"/>
      <c r="D35" s="289"/>
      <c r="E35" s="289"/>
    </row>
    <row r="36" spans="1:5" ht="9" customHeight="1">
      <c r="A36" s="289"/>
      <c r="B36" s="289"/>
      <c r="C36" s="289"/>
      <c r="D36" s="289"/>
      <c r="E36" s="289"/>
    </row>
    <row r="37" spans="1:5" ht="39" customHeight="1">
      <c r="A37" s="290" t="str">
        <f>""&amp;malumot!B153&amp;"
mikromoliya tashkilotining Xulosasi"</f>
        <v>«CLEVER MIKROMOLIYA TASHKILOTI» MChJ
mikromoliya tashkilotining Xulosasi</v>
      </c>
      <c r="B37" s="290"/>
      <c r="C37" s="290"/>
      <c r="D37" s="290"/>
      <c r="E37" s="290"/>
    </row>
    <row r="38" spans="1:5" ht="48" customHeight="1">
      <c r="A38" s="289" t="str">
        <f>""&amp;malumot!B153&amp;" kredit qo‘mitasining xulosasiga quyidagi shartlarda "&amp;malumot!B10&amp;"ga "&amp;malumot!B65&amp;" berish masalasi kiritiladi:"</f>
        <v>«CLEVER MIKROMOLIYA TASHKILOTI» MChJ kredit qo‘mitasining xulosasiga quyidagi shartlarda NUTFULLAYEV AKBARJON AXMEDOVICHga mikroqarz berish masalasi kiritiladi:</v>
      </c>
      <c r="B38" s="289"/>
      <c r="C38" s="289"/>
      <c r="D38" s="289"/>
      <c r="E38" s="289"/>
    </row>
    <row r="39" spans="1:5">
      <c r="A39" s="289" t="str">
        <f>A11</f>
        <v>Mikroqarz summasi: 27 000 000,00 (yigirma yetti million so'm) so'm.</v>
      </c>
      <c r="B39" s="289"/>
      <c r="C39" s="289"/>
      <c r="D39" s="289"/>
      <c r="E39" s="289"/>
    </row>
    <row r="40" spans="1:5">
      <c r="A40" s="289" t="str">
        <f t="shared" ref="A40:A46" si="0">A12</f>
        <v>Mikroqarz muddati: 36 (o'ttiz olti) oy.</v>
      </c>
      <c r="B40" s="289"/>
      <c r="C40" s="289"/>
      <c r="D40" s="289"/>
      <c r="E40" s="289"/>
    </row>
    <row r="41" spans="1:5">
      <c r="A41" s="289" t="str">
        <f t="shared" si="0"/>
        <v>Mikroqarzdan foydalanganlik uchun foiz stavkasi: yillik  60% (Oltmish) foiz</v>
      </c>
      <c r="B41" s="289"/>
      <c r="C41" s="289"/>
      <c r="D41" s="289"/>
      <c r="E41" s="289"/>
    </row>
    <row r="42" spans="1:5">
      <c r="A42" s="289" t="str">
        <f t="shared" si="0"/>
        <v>Mikroqarz bo'yicha asosiy qarz va foizlarni to'lash:</v>
      </c>
      <c r="B42" s="289"/>
      <c r="C42" s="289"/>
      <c r="D42" s="289"/>
      <c r="E42" s="289"/>
    </row>
    <row r="43" spans="1:5" ht="20.25" customHeight="1">
      <c r="A43" s="289" t="str">
        <f t="shared" si="0"/>
        <v xml:space="preserve"> - mikroqarz shartnomasi bo'yicha har oy differensial to'lovlari amalga oshiriladi</v>
      </c>
      <c r="B43" s="289"/>
      <c r="C43" s="289"/>
      <c r="D43" s="289"/>
      <c r="E43" s="289"/>
    </row>
    <row r="44" spans="1:5" ht="26.25" customHeight="1">
      <c r="A44" s="289" t="str">
        <f t="shared" si="0"/>
        <v xml:space="preserve">   </v>
      </c>
      <c r="B44" s="289"/>
      <c r="C44" s="289"/>
      <c r="D44" s="289"/>
      <c r="E44" s="289"/>
    </row>
    <row r="45" spans="1:5">
      <c r="A45" s="289" t="str">
        <f t="shared" si="0"/>
        <v>Mikroqarz ta’minoti::</v>
      </c>
      <c r="B45" s="289"/>
      <c r="C45" s="289"/>
      <c r="D45" s="289"/>
      <c r="E45" s="289"/>
    </row>
    <row r="46" spans="1:5" ht="72" customHeight="1">
      <c r="A46" s="289"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89"/>
      <c r="C46" s="289"/>
      <c r="D46" s="289"/>
      <c r="E46" s="289"/>
    </row>
    <row r="47" spans="1:5">
      <c r="A47" s="289"/>
      <c r="B47" s="289"/>
      <c r="C47" s="289"/>
      <c r="D47" s="289"/>
      <c r="E47" s="289"/>
    </row>
    <row r="48" spans="1:5" ht="36.75" customHeight="1">
      <c r="A48" s="289" t="str">
        <f>""&amp;malumot!B153&amp;" mikromoliya tashkilotining xulosasi  "&amp;TEXT(malumot!B2,"ДД.ММ.ГГГГ")&amp;" y. tayyorlangan"</f>
        <v>«CLEVER MIKROMOLIYA TASHKILOTI» MChJ mikromoliya tashkilotining xulosasi  11.03.2025 y. tayyorlangan</v>
      </c>
      <c r="B48" s="289"/>
      <c r="C48" s="289"/>
      <c r="D48" s="289"/>
      <c r="E48" s="289"/>
    </row>
    <row r="49" spans="1:5">
      <c r="A49" s="127"/>
      <c r="B49" s="217"/>
      <c r="C49" s="217"/>
      <c r="D49" s="127"/>
      <c r="E49" s="23"/>
    </row>
    <row r="50" spans="1:5">
      <c r="A50" s="289"/>
      <c r="B50" s="289"/>
      <c r="C50" s="289"/>
      <c r="D50" s="289"/>
      <c r="E50" s="289"/>
    </row>
    <row r="51" spans="1:5" ht="47.25" customHeight="1">
      <c r="A51" s="289" t="str">
        <f>""&amp;malumot!B153&amp;" mikromoliya tashkilotining Kredit qo‘mitasi a’zolari "&amp;malumot!B153&amp;"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89"/>
      <c r="C51" s="289"/>
      <c r="D51" s="289"/>
      <c r="E51" s="289"/>
    </row>
    <row r="52" spans="1:5">
      <c r="A52" s="220"/>
      <c r="B52" s="220"/>
      <c r="C52" s="220"/>
      <c r="D52" s="220"/>
      <c r="E52" s="220"/>
    </row>
    <row r="53" spans="1:5">
      <c r="A53" s="19"/>
      <c r="B53" s="325" t="s">
        <v>425</v>
      </c>
      <c r="C53" s="325"/>
      <c r="D53" s="325"/>
      <c r="E53" s="19"/>
    </row>
    <row r="54" spans="1:5">
      <c r="B54" s="224" t="str">
        <f>malumot!A156</f>
        <v>Olmaliq filiali boshlig'i</v>
      </c>
      <c r="C54" s="268" t="str">
        <f>malumot!B156</f>
        <v>V. Yerjanov</v>
      </c>
      <c r="D54" s="222"/>
      <c r="E54" s="222"/>
    </row>
    <row r="55" spans="1:5">
      <c r="B55" s="126" t="str">
        <f>malumot!A165</f>
        <v>Kreditlash bo’limi boshlig’i</v>
      </c>
      <c r="C55" s="258" t="str">
        <f>malumot!B165</f>
        <v>B. Mominov</v>
      </c>
      <c r="D55" s="127"/>
      <c r="E55" s="218"/>
    </row>
    <row r="56" spans="1:5">
      <c r="B56" s="221" t="str">
        <f>malumot!A166</f>
        <v>Monitoring bo’limi boshlig’i</v>
      </c>
      <c r="C56" s="258" t="str">
        <f>malumot!B166</f>
        <v>B. Jumanazarov</v>
      </c>
      <c r="D56" s="127"/>
      <c r="E56" s="212"/>
    </row>
    <row r="57" spans="1:5">
      <c r="B57" s="219" t="s">
        <v>426</v>
      </c>
      <c r="C57" s="268" t="s">
        <v>423</v>
      </c>
      <c r="D57" s="222"/>
      <c r="E57" s="212"/>
    </row>
    <row r="58" spans="1:5" ht="35.25" customHeight="1">
      <c r="B58" s="212"/>
      <c r="C58" s="211"/>
      <c r="D58" s="127"/>
      <c r="E58" s="212"/>
    </row>
  </sheetData>
  <mergeCells count="49">
    <mergeCell ref="B53:D53"/>
    <mergeCell ref="A51:E51"/>
    <mergeCell ref="A38:E38"/>
    <mergeCell ref="A39:E39"/>
    <mergeCell ref="A40:E40"/>
    <mergeCell ref="A41:E41"/>
    <mergeCell ref="A42:E42"/>
    <mergeCell ref="A43:E43"/>
    <mergeCell ref="A44:E44"/>
    <mergeCell ref="A45:E45"/>
    <mergeCell ref="A46:E46"/>
    <mergeCell ref="A47:E47"/>
    <mergeCell ref="A48:E48"/>
    <mergeCell ref="A50:E50"/>
    <mergeCell ref="A33:E33"/>
    <mergeCell ref="A34:E34"/>
    <mergeCell ref="A35:E35"/>
    <mergeCell ref="A36:E36"/>
    <mergeCell ref="A37:E37"/>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26" zoomScaleNormal="100" zoomScaleSheetLayoutView="100" workbookViewId="0">
      <selection activeCell="C51" sqref="C51"/>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321" t="str">
        <f>"GAROV PREDMETI QIYMATINI KELISHISH 
№"&amp;malumot!B147&amp;" SONLI DALOLATNOMASI
 "</f>
        <v xml:space="preserve">GAROV PREDMETI QIYMATINI KELISHISH 
№1 SONLI DALOLATNOMASI
 </v>
      </c>
      <c r="B2" s="321"/>
      <c r="C2" s="321"/>
      <c r="D2" s="321"/>
      <c r="E2" s="321"/>
    </row>
    <row r="3" spans="1:5">
      <c r="A3" s="40"/>
      <c r="B3" s="40"/>
      <c r="C3" s="40"/>
      <c r="D3" s="40"/>
      <c r="E3" s="40"/>
    </row>
    <row r="4" spans="1:5">
      <c r="A4" s="37" t="s">
        <v>208</v>
      </c>
      <c r="B4" s="37"/>
      <c r="C4" s="37"/>
      <c r="D4" s="37"/>
      <c r="E4" s="37" t="str">
        <f>malumot!B148</f>
        <v>11 mart 2025 y.</v>
      </c>
    </row>
    <row r="5" spans="1:5" ht="9" customHeight="1">
      <c r="A5" s="289"/>
      <c r="B5" s="289"/>
      <c r="C5" s="289"/>
      <c r="D5" s="289"/>
      <c r="E5" s="289"/>
    </row>
    <row r="6" spans="1:5" ht="76.5" customHeight="1">
      <c r="A6" s="289" t="str">
        <f>IF(malumot!B109="avtotransport",dalolatnoma!A10:E10,dalolatnoma!A7:E7)</f>
        <v>«CLEVER MIKROMOLIYA TASHKILOTI» MChJning (1-tomon) vakili bo‘lgan  Olmaliq filiali boshlig'i V. Yerjanov, O‘zbekiston Respublikasi fuqarosi va garovga beruvchi NUTFULLAYEV AKBARJON AXMEDOVICH (2-tomon) o’rtalarida, 11 mart 2025 y.dan № 23-AL-sonli Mikroqarz shartnomasiga muvofiq 1-tomon 2-tomonga berilgan mikroqarz bo‘yicha ta’minot sifatida taqdim etilgan, 2-tomonga mulk huquqi asosida tegishli bo‘lgan mulkning garov qiymatini kelishish muzokaralari o’tkazildi.</v>
      </c>
      <c r="B6" s="289"/>
      <c r="C6" s="289"/>
      <c r="D6" s="289"/>
      <c r="E6" s="289"/>
    </row>
    <row r="7" spans="1:5" ht="88.5" hidden="1" customHeight="1">
      <c r="A7" s="289" t="str">
        <f>IF(malumot!B99="ha",dalolatnoma!A9:E9,dalolatnoma!A8:E8)</f>
        <v xml:space="preserve">«CLEVER MIKROMOLIYA TASHKILOTI» MChJning (1-tomon) vakili bo‘lgan  Olmaliq filiali boshlig'i V. Yerjanov, va O‘zbekiston Respublikasi fuqarosi  NUTFULLAYEV AKBARJON AXMEDOVICH (2-tomon) va garov egasi NUTFULLAYEV AKBARJON AXMEDOVICH (3-tomon) 11 mart 2025 y.dan № 23-AL Mikroqarz shartnomasiga muvofiq 1-tomon 2-tomonga berilgan mikroqarz bo‘yicha ta’minot sifatida taqdim etilgan, 2-tomonga mulk huquqi asosida tegishli bo‘lgan mulkning garov qiymatini kelishish muzokaralari o’tkazildi. </v>
      </c>
      <c r="B7" s="289"/>
      <c r="C7" s="289"/>
      <c r="D7" s="289"/>
      <c r="E7" s="289"/>
    </row>
    <row r="8" spans="1:5" ht="88.5" hidden="1" customHeight="1">
      <c r="A8" s="289" t="str">
        <f>""&amp;malumot!B153&amp;"ning (1-tomon) vakili bo‘lgan  "&amp;malumot!A156&amp;" "&amp;malumot!B156&amp;", va O‘zbekiston Respublikasi fuqarosi  "&amp;malumot!B5&amp;" (2-tomon) va garov egasi "&amp;malumot!C123&amp;"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Olmaliq filiali boshlig'i V. Yerjanov, va O‘zbekiston Respublikasi fuqarosi  NUTFULLAYEV AKBARJON AXMEDOVICH (2-tomon) va garov egasi NUTFULLAYEV AKBARJON AXMEDOVICH (3-tomon) 11 mart 2025 y.dan № 23-AL Mikroqarz shartnomasiga muvofiq 1-tomon 2-tomonga berilgan mikroqarz bo‘yicha ta’minot sifatida taqdim etilgan, 2-tomonga mulk huquqi asosida tegishli bo‘lgan mulkning garov qiymatini kelishish muzokaralari o’tkazildi. </v>
      </c>
      <c r="B8" s="289"/>
      <c r="C8" s="289"/>
      <c r="D8" s="289"/>
      <c r="E8" s="289"/>
    </row>
    <row r="9" spans="1:5" ht="88.5" hidden="1" customHeight="1">
      <c r="A9" s="289" t="str">
        <f>""&amp;malumot!B153&amp;"ning (1-tomon) vakili bo‘lgan  "&amp;malumot!A156&amp;" "&amp;malumot!B156&amp;", va O‘zbekiston Respublikasi fuqarosi  "&amp;malumot!B5&amp;" (2-tomon) va garov egasi "&amp;malumot!C123&amp;"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Olmaliq filiali boshlig'i V. Yerjanov, va O‘zbekiston Respublikasi fuqarosi  NUTFULLAYEV AKBARJON AXMEDOVICH (2-tomon) va garov egasi NUTFULLAYEV AKBARJON AXMEDOVICH (3-tomon) 11 mart 2025 y.dan № 23-AL Mikroqarz shartnomasiga muvofiq 1-tomon 2-tomonga berilgan mikroqarz bo‘yicha ta’minot sifatida taqdim etilgan, 2-tomonga mulk huquqi asosida tegishli bo‘lgan mulkning garov qiymatini kelishish muzokaralari o’tkazildi. </v>
      </c>
      <c r="B9" s="289"/>
      <c r="C9" s="289"/>
      <c r="D9" s="289"/>
      <c r="E9" s="289"/>
    </row>
    <row r="10" spans="1:5" ht="88.5" hidden="1" customHeight="1">
      <c r="A10" s="289" t="str">
        <f>IF(malumot!B99="ha",dalolatnoma!A12:E12,dalolatnoma!A11:E11)</f>
        <v>«CLEVER MIKROMOLIYA TASHKILOTI» MChJning (1-tomon) vakili bo‘lgan  Olmaliq filiali boshlig'i V. Yerjanov, O‘zbekiston Respublikasi fuqarosi va garovga beruvchi NUTFULLAYEV AKBARJON AXMEDOVICH (2-tomon) o’rtalarida, 11 mart 2025 y.dan № 23-AL-sonli Mikroqarz shartnomasiga muvofiq 1-tomon 2-tomonga berilgan mikroqarz bo‘yicha ta’minot sifatida taqdim etilgan, 2-tomonga mulk huquqi asosida tegishli bo‘lgan mulkning garov qiymatini kelishish muzokaralari o’tkazildi.</v>
      </c>
      <c r="B10" s="289"/>
      <c r="C10" s="289"/>
      <c r="D10" s="289"/>
      <c r="E10" s="289"/>
    </row>
    <row r="11" spans="1:5" ht="88.5" hidden="1" customHeight="1">
      <c r="A11" s="289" t="str">
        <f>""&amp;malumot!B153&amp;"ning (1-tomon) vakili bo‘lgan  "&amp;malumot!A156&amp;" "&amp;malumot!B156&amp;", O‘zbekiston Respublikasi fuqarosi "&amp;malumot!B5&amp;" (2-tomon) va garovga beruvchi O‘zbekiston Respublikasi fuqarosi "&amp;malumot!B123&amp;" (3-tomon) o’rtalarida, "&amp;malumot!B74&amp;"-sonli "&amp;malumot!C64&amp;" shartnomasiga muvofiq 1-tomon 2-tomonga berilgan "&amp;malumot!B65&amp;" bo‘yicha ta’minot sifatida taqdim etilgan, 3-tomonga mulk huquqi asosida tegishli bo‘lgan mulkning garov qiymatini kelishish muzokaralari o’tkazildi."</f>
        <v>«CLEVER MIKROMOLIYA TASHKILOTI» MChJning (1-tomon) vakili bo‘lgan  Olmaliq filiali boshlig'i V. Yerjanov, O‘zbekiston Respublikasi fuqarosi NUTFULLAYEV AKBARJON AXMEDOVICH (2-tomon) va garovga beruvchi O‘zbekiston Respublikasi fuqarosi NUTFULLAYEV AKBARJON AXMEDOVICH (3-tomon) o’rtalarida, 11 mart 2025 y.dan № 23-AL-sonli Mikroqarz shartnomasiga muvofiq 1-tomon 2-tomonga berilgan mikroqarz bo‘yicha ta’minot sifatida taqdim etilgan, 3-tomonga mulk huquqi asosida tegishli bo‘lgan mulkning garov qiymatini kelishish muzokaralari o’tkazildi.</v>
      </c>
      <c r="B11" s="289"/>
      <c r="C11" s="289"/>
      <c r="D11" s="289"/>
      <c r="E11" s="289"/>
    </row>
    <row r="12" spans="1:5" ht="88.5" hidden="1" customHeight="1">
      <c r="A12" s="289" t="str">
        <f>""&amp;malumot!B153&amp;"ning (1-tomon) vakili bo‘lgan  "&amp;malumot!A156&amp;" "&amp;malumot!B156&amp;", O‘zbekiston Respublikasi fuqarosi va garovga beruvchi "&amp;malumot!B5&amp;" (2-tomon) o’rtalarida, "&amp;malumot!B74&amp;"-sonli "&amp;malumot!C64&amp;" shartnomasiga muvofiq 1-tomon 2-tomonga berilgan "&amp;malumot!B65&amp;" bo‘yicha ta’minot sifatida taqdim etilgan, 2-tomonga mulk huquqi asosida tegishli bo‘lgan mulkning garov qiymatini kelishish muzokaralari o’tkazildi."</f>
        <v>«CLEVER MIKROMOLIYA TASHKILOTI» MChJning (1-tomon) vakili bo‘lgan  Olmaliq filiali boshlig'i V. Yerjanov, O‘zbekiston Respublikasi fuqarosi va garovga beruvchi NUTFULLAYEV AKBARJON AXMEDOVICH (2-tomon) o’rtalarida, 11 mart 2025 y.dan № 23-AL-sonli Mikroqarz shartnomasiga muvofiq 1-tomon 2-tomonga berilgan mikroqarz bo‘yicha ta’minot sifatida taqdim etilgan, 2-tomonga mulk huquqi asosida tegishli bo‘lgan mulkning garov qiymatini kelishish muzokaralari o’tkazildi.</v>
      </c>
      <c r="B12" s="289"/>
      <c r="C12" s="289"/>
      <c r="D12" s="289"/>
      <c r="E12" s="289"/>
    </row>
    <row r="13" spans="1:5" ht="88.5" hidden="1" customHeight="1">
      <c r="A13" s="289" t="str">
        <f>"Garov predmeti sifatida "&amp;malumot!B131&amp;", 3-tomonga egalik huquqi tegishli bo'lgan, quyidagi tafsilotlarga ega avtotransport vositasi taqdim etiladi:"</f>
        <v>Garov predmeti sifatida CHANGAN CHANGAN SC 1027SB, 3-tomonga egalik huquqi tegishli bo'lgan, quyidagi tafsilotlarga ega avtotransport vositasi taqdim etiladi:</v>
      </c>
      <c r="B13" s="289"/>
      <c r="C13" s="289"/>
      <c r="D13" s="289"/>
      <c r="E13" s="289"/>
    </row>
    <row r="14" spans="1:5" ht="88.5" hidden="1" customHeight="1">
      <c r="A14" s="289" t="str">
        <f>"Garov predmeti sifatida "&amp;malumot!B131&amp;", 2-tomonga egalik huquqi tegishli bo'lgan, quyidagi tafsilotlarga ega avtotransport vositasi taqdim etiladi:"</f>
        <v>Garov predmeti sifatida CHANGAN CHANGAN SC 1027SB, 2-tomonga egalik huquqi tegishli bo'lgan, quyidagi tafsilotlarga ega avtotransport vositasi taqdim etiladi:</v>
      </c>
      <c r="B14" s="289"/>
      <c r="C14" s="289"/>
      <c r="D14" s="289"/>
      <c r="E14" s="289"/>
    </row>
    <row r="15" spans="1:5" ht="88.5" hidden="1" customHeight="1">
      <c r="A15" s="289" t="str">
        <f>IF(malumot!B99="ha",dalolatnoma!A14:E14,dalolatnoma!A13:E13)</f>
        <v>Garov predmeti sifatida CHANGAN CHANGAN SC 1027SB, 2-tomonga egalik huquqi tegishli bo'lgan, quyidagi tafsilotlarga ega avtotransport vositasi taqdim etiladi:</v>
      </c>
      <c r="B15" s="289"/>
      <c r="C15" s="289"/>
      <c r="D15" s="289"/>
      <c r="E15" s="289"/>
    </row>
    <row r="16" spans="1:5" ht="88.5" hidden="1" customHeight="1">
      <c r="A16" s="289" t="str">
        <f>"Garov predmeti sifatida "&amp;malumot!C132&amp;", 2-tomonga egalik huquqi tegishli bo'lgan, quyidagi tafsilotlarga ega ko'chmas mulk taqdim etiladi:"</f>
        <v>Garov predmeti sifatida 3 - xonali yakka tartibdagi uy-joy, 2-tomonga egalik huquqi tegishli bo'lgan, quyidagi tafsilotlarga ega ko'chmas mulk taqdim etiladi:</v>
      </c>
      <c r="B16" s="289"/>
      <c r="C16" s="289"/>
      <c r="D16" s="289"/>
      <c r="E16" s="289"/>
    </row>
    <row r="17" spans="1:5" ht="13.5" hidden="1" customHeight="1">
      <c r="A17" s="289" t="str">
        <f>"Garov predmeti sifatida "&amp;malumot!C132&amp;", 3-tomonga egalik huquqi tegishli bo'lgan, quyidagi tafsilotlarga ega ko'chmas mulk taqdim etiladi:"</f>
        <v>Garov predmeti sifatida 3 - xonali yakka tartibdagi uy-joy, 3-tomonga egalik huquqi tegishli bo'lgan, quyidagi tafsilotlarga ega ko'chmas mulk taqdim etiladi:</v>
      </c>
      <c r="B17" s="289"/>
      <c r="C17" s="289"/>
      <c r="D17" s="289"/>
      <c r="E17" s="289"/>
    </row>
    <row r="18" spans="1:5" ht="11.25" hidden="1" customHeight="1">
      <c r="A18" s="289" t="str">
        <f>IF(malumot!B99="ha",dalolatnoma!A16:E16,dalolatnoma!A17:E17)</f>
        <v>Garov predmeti sifatida 3 - xonali yakka tartibdagi uy-joy, 2-tomonga egalik huquqi tegishli bo'lgan, quyidagi tafsilotlarga ega ko'chmas mulk taqdim etiladi:</v>
      </c>
      <c r="B18" s="289"/>
      <c r="C18" s="289"/>
      <c r="D18" s="289"/>
      <c r="E18" s="289"/>
    </row>
    <row r="19" spans="1:5" ht="32.25" customHeight="1">
      <c r="A19" s="289" t="str">
        <f>IF(malumot!B109="Avtotransport",dalolatnoma!A15:E15,dalolatnoma!A18:E18)</f>
        <v>Garov predmeti sifatida CHANGAN CHANGAN SC 1027SB, 2-tomonga egalik huquqi tegishli bo'lgan, quyidagi tafsilotlarga ega avtotransport vositasi taqdim etiladi:</v>
      </c>
      <c r="B19" s="289"/>
      <c r="C19" s="289"/>
      <c r="D19" s="289"/>
      <c r="E19" s="289"/>
    </row>
    <row r="20" spans="1:5" ht="48" customHeight="1" outlineLevel="1">
      <c r="A20" s="39" t="s">
        <v>206</v>
      </c>
      <c r="B20" s="326" t="str">
        <f>IF(malumot!B109=malumot!C109,"Kuzov turi  va kuzov raqami*","Foydali maydoni")</f>
        <v>Kuzov turi  va kuzov raqami*</v>
      </c>
      <c r="C20" s="327"/>
      <c r="D20" s="39" t="str">
        <f>IF(malumot!B109=malumot!C109,"Dvigatel va shassi raqami*","Yashash maydoni")</f>
        <v>Dvigatel va shassi raqami*</v>
      </c>
      <c r="E20" s="39" t="str">
        <f>IF(malumot!B109=malumot!C109,"Ishlab chiqarilgan yili va rangi**","Umumiy maydoni")</f>
        <v>Ishlab chiqarilgan yili va rangi**</v>
      </c>
    </row>
    <row r="21" spans="1:5" ht="65.25" customHeight="1" outlineLevel="1">
      <c r="A21" s="17" t="str">
        <f>IF(malumot!B109=malumot!C109,malumot!B131,malumot!C131)</f>
        <v>CHANGAN CHANGAN SC 1027SB</v>
      </c>
      <c r="B21" s="323" t="str">
        <f>IF(malumot!B109=malumot!C109,malumot!B133,CONCATENATE(malumot!F136," ","kv.m"))</f>
        <v>kuzov turi - YUK BORTLI TENT, kuzov raqami LSCAB23D8EG228387</v>
      </c>
      <c r="C21" s="323"/>
      <c r="D21" s="17" t="str">
        <f>IF(malumot!B109=malumot!C109,malumot!B136,malumot!E139)</f>
        <v>dvigatel raqami JL466Q1%E61H022801, shassi raqami - URINDIKLAR SONI 5TA</v>
      </c>
      <c r="E21" s="17" t="str">
        <f>IF(malumot!B109=malumot!C109,malumot!B139,malumot!E136)</f>
        <v>rangi -  OQ BELIY, ishlab chiqarilgan yili - 2014</v>
      </c>
    </row>
    <row r="22" spans="1:5" ht="17.25" customHeight="1" outlineLevel="1">
      <c r="A22" s="289" t="str">
        <f>"-* "&amp;IF(malumot!B109=malumot!C109,"avtotransport "&amp;"egasi: "&amp;malumot!B123&amp;"","ko'chmas mulk"&amp;" egasi: "&amp;malumot!B123&amp;"")</f>
        <v>-* avtotransport egasi: NUTFULLAYEV AKBARJON AXMEDOVICH</v>
      </c>
      <c r="B22" s="289"/>
      <c r="C22" s="289"/>
      <c r="D22" s="289"/>
      <c r="E22" s="289"/>
    </row>
    <row r="23" spans="1:5" outlineLevel="1">
      <c r="A23" s="289" t="str">
        <f>IF(malumot!B109=malumot!C109,"-* texnik pasport: "&amp;malumot!B130&amp;"","-* reest raqami: "&amp;malumot!C130&amp;"")</f>
        <v>-* texnik pasport: AAG   2346592  13.09.2023y</v>
      </c>
      <c r="B23" s="289"/>
      <c r="C23" s="289"/>
      <c r="D23" s="289"/>
      <c r="E23" s="289"/>
    </row>
    <row r="24" spans="1:5" s="172" customFormat="1" outlineLevel="1">
      <c r="A24" s="289" t="str">
        <f>IF(malumot!B109=malumot!C109,"-* roʻyxatdan oʻtgan manzili/garaj manzili: "&amp;malumot!B128&amp;"","-*  kadastr raqami: "&amp;malumot!C133&amp;"")</f>
        <v>-* roʻyxatdan oʻtgan manzili/garaj manzili: BUXORO VILOYATI BUXORO SHAHAR TADBIRKOR KO'CHASI 12-UY</v>
      </c>
      <c r="B24" s="289"/>
      <c r="C24" s="289"/>
      <c r="D24" s="289"/>
      <c r="E24" s="289"/>
    </row>
    <row r="25" spans="1:5" ht="27" customHeight="1" outlineLevel="1">
      <c r="A25" s="289" t="str">
        <f>IF(malumot!B109=malumot!C109,"-* davlat raqami: "&amp;malumot!B132&amp;"","-* manzili: "&amp;malumot!C129&amp;"")</f>
        <v>-* davlat raqami: 80T312WA</v>
      </c>
      <c r="B25" s="289"/>
      <c r="C25" s="289"/>
      <c r="D25" s="289"/>
      <c r="E25" s="289"/>
    </row>
    <row r="26" spans="1:5" ht="65.25" customHeight="1">
      <c r="A26" s="289" t="str">
        <f>IF(malumot!B99="ha",dalolatnoma!A28:E28,dalolatnoma!A27:E27)</f>
        <v>Tomonlar o’rtasida o’tkazilgan muzokaralar natijalariga ko‘ra, 2-tomon ta’minot sifatida quyidagi tafsilotlarga ega bo’lgan garov predmetini taqdim etadi, 1-tomon esa ushbu garov predmetini  11 mart 2025 y.dan № 23-AL Mikroqarz shartnomasi bo‘yicha berilgan mikroqarz bo‘yicha  
40 500 000,00 (qirq million besh yuz ming so'm) so’m bo‘lgan kelishilgan garov qiymatida qabul qiladi::</v>
      </c>
      <c r="B26" s="289"/>
      <c r="C26" s="289"/>
      <c r="D26" s="289"/>
      <c r="E26" s="289"/>
    </row>
    <row r="27" spans="1:5" ht="66" hidden="1" customHeight="1">
      <c r="A27" s="289" t="str">
        <f>"Tomonlar o’rtasida o’tkazilgan muzokaralar natijalariga ko‘ra, 2-tomon ta’minot sifatida quyidagi tafsilotlarga ega bo’lgan garov predmetini taqdim etadi, 1-tomon esa ushbu garov predmetini  "&amp;malumot!B74&amp;" "&amp;malumot!B65&amp;" shartnomasi bo‘yicha berilgan "&amp;malumot!B65&amp;" bo‘yicha  
"&amp;FIXED(malumot!B142,2)&amp;" ("&amp;malumot!B143&amp;") so’m bo‘lgan kelishilgan garov qiymatida qabul qiladi::"</f>
        <v>Tomonlar o’rtasida o’tkazilgan muzokaralar natijalariga ko‘ra, 2-tomon ta’minot sifatida quyidagi tafsilotlarga ega bo’lgan garov predmetini taqdim etadi, 1-tomon esa ushbu garov predmetini  11 mart 2025 y.dan № 23-AL mikroqarz shartnomasi bo‘yicha berilgan mikroqarz bo‘yicha  
40 500 000,00 (qirq million besh yuz ming so'm) so’m bo‘lgan kelishilgan garov qiymatida qabul qiladi::</v>
      </c>
      <c r="B27" s="289"/>
      <c r="C27" s="289"/>
      <c r="D27" s="289"/>
      <c r="E27" s="289"/>
    </row>
    <row r="28" spans="1:5" ht="58.5" hidden="1" customHeight="1">
      <c r="A28" s="289" t="str">
        <f>"Tomonlar o’rtasida o’tkazilgan muzokaralar natijalariga ko‘ra, 2-tomon ta’minot sifatida quyidagi tafsilotlarga ega bo’lgan garov predmetini taqdim etadi, 1-tomon esa ushbu garov predmetini  "&amp;malumot!B74&amp;" "&amp;malumot!C64&amp;" shartnomasi bo‘yicha berilgan "&amp;malumot!B65&amp;" bo‘yicha  
"&amp;FIXED(malumot!B142,2)&amp;" ("&amp;malumot!B143&amp;") so’m bo‘lgan kelishilgan garov qiymatida qabul qiladi::"</f>
        <v>Tomonlar o’rtasida o’tkazilgan muzokaralar natijalariga ko‘ra, 2-tomon ta’minot sifatida quyidagi tafsilotlarga ega bo’lgan garov predmetini taqdim etadi, 1-tomon esa ushbu garov predmetini  11 mart 2025 y.dan № 23-AL Mikroqarz shartnomasi bo‘yicha berilgan mikroqarz bo‘yicha  
40 500 000,00 (qirq million besh yuz ming so'm) so’m bo‘lgan kelishilgan garov qiymatida qabul qiladi::</v>
      </c>
      <c r="B28" s="289"/>
      <c r="C28" s="289"/>
      <c r="D28" s="289"/>
      <c r="E28" s="289"/>
    </row>
    <row r="29" spans="1:5" ht="51.75" customHeight="1" outlineLevel="1">
      <c r="A29" s="39" t="s">
        <v>206</v>
      </c>
      <c r="B29" s="39" t="str">
        <f>B20</f>
        <v>Kuzov turi  va kuzov raqami*</v>
      </c>
      <c r="C29" s="39" t="str">
        <f>D20</f>
        <v>Dvigatel va shassi raqami*</v>
      </c>
      <c r="D29" s="39" t="str">
        <f>IF(malumot!B109=malumot!C109,"Ishlab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IF(malumot!B109=malumot!C109,E21,TEXT(malumot!C141,"ДД.ММ.ГГГГ"))</f>
        <v>rangi -  OQ BELIY, ishlab chiqarilgan yili - 2014</v>
      </c>
      <c r="E30" s="17" t="str">
        <f>""&amp;FIXED(malumot!B142,2)&amp;" 
("&amp;malumot!B143&amp;")"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07" t="e">
        <f>#REF!</f>
        <v>#REF!</v>
      </c>
      <c r="C33" s="107" t="e">
        <f>#REF!</f>
        <v>#REF!</v>
      </c>
      <c r="D33" s="107" t="e">
        <f>#REF!</f>
        <v>#REF!</v>
      </c>
      <c r="E33" s="330" t="str">
        <f>""&amp;FIXED(malumot!C142,2)&amp;" ("&amp;malumot!B143&amp;")"</f>
        <v>40 500 000,00 (qirq million besh yuz ming so'm)</v>
      </c>
    </row>
    <row r="34" spans="1:5" ht="15.75" hidden="1" customHeight="1" outlineLevel="1">
      <c r="A34" s="17"/>
      <c r="B34" s="107"/>
      <c r="C34" s="107"/>
      <c r="D34" s="107"/>
      <c r="E34" s="331"/>
    </row>
    <row r="35" spans="1:5" ht="15.75" hidden="1" customHeight="1" outlineLevel="1">
      <c r="A35" s="17" t="e">
        <f>#REF!</f>
        <v>#REF!</v>
      </c>
      <c r="B35" s="107" t="e">
        <f>#REF!</f>
        <v>#REF!</v>
      </c>
      <c r="C35" s="107" t="e">
        <f>#REF!</f>
        <v>#REF!</v>
      </c>
      <c r="D35" s="107" t="e">
        <f>#REF!</f>
        <v>#REF!</v>
      </c>
      <c r="E35" s="331"/>
    </row>
    <row r="36" spans="1:5" ht="15.75" hidden="1" customHeight="1" outlineLevel="1">
      <c r="A36" s="17" t="e">
        <f>#REF!</f>
        <v>#REF!</v>
      </c>
      <c r="B36" s="107" t="e">
        <f>#REF!</f>
        <v>#REF!</v>
      </c>
      <c r="C36" s="107" t="e">
        <f>#REF!</f>
        <v>#REF!</v>
      </c>
      <c r="D36" s="107" t="e">
        <f>#REF!</f>
        <v>#REF!</v>
      </c>
      <c r="E36" s="331"/>
    </row>
    <row r="37" spans="1:5" ht="15.75" hidden="1" customHeight="1" outlineLevel="1">
      <c r="A37" s="17" t="e">
        <f>#REF!</f>
        <v>#REF!</v>
      </c>
      <c r="B37" s="107" t="e">
        <f>#REF!</f>
        <v>#REF!</v>
      </c>
      <c r="C37" s="107" t="e">
        <f>#REF!</f>
        <v>#REF!</v>
      </c>
      <c r="D37" s="107" t="e">
        <f>#REF!</f>
        <v>#REF!</v>
      </c>
      <c r="E37" s="331"/>
    </row>
    <row r="38" spans="1:5" ht="15.75" hidden="1" customHeight="1" outlineLevel="1">
      <c r="A38" s="17" t="e">
        <f>#REF!</f>
        <v>#REF!</v>
      </c>
      <c r="B38" s="107" t="e">
        <f>#REF!</f>
        <v>#REF!</v>
      </c>
      <c r="C38" s="107" t="e">
        <f>#REF!</f>
        <v>#REF!</v>
      </c>
      <c r="D38" s="107" t="e">
        <f>#REF!</f>
        <v>#REF!</v>
      </c>
      <c r="E38" s="331"/>
    </row>
    <row r="39" spans="1:5" ht="15.75" hidden="1" customHeight="1" outlineLevel="1">
      <c r="A39" s="17" t="e">
        <f>#REF!</f>
        <v>#REF!</v>
      </c>
      <c r="B39" s="107" t="e">
        <f>#REF!</f>
        <v>#REF!</v>
      </c>
      <c r="C39" s="107" t="e">
        <f>#REF!</f>
        <v>#REF!</v>
      </c>
      <c r="D39" s="107" t="e">
        <f>#REF!</f>
        <v>#REF!</v>
      </c>
      <c r="E39" s="331"/>
    </row>
    <row r="40" spans="1:5" ht="15.75" hidden="1" customHeight="1" outlineLevel="1">
      <c r="A40" s="17" t="e">
        <f>#REF!</f>
        <v>#REF!</v>
      </c>
      <c r="B40" s="107" t="e">
        <f>#REF!</f>
        <v>#REF!</v>
      </c>
      <c r="C40" s="107" t="e">
        <f>#REF!</f>
        <v>#REF!</v>
      </c>
      <c r="D40" s="107" t="e">
        <f>#REF!</f>
        <v>#REF!</v>
      </c>
      <c r="E40" s="331"/>
    </row>
    <row r="41" spans="1:5" ht="15.75" hidden="1" customHeight="1" outlineLevel="1">
      <c r="A41" s="17" t="e">
        <f>#REF!</f>
        <v>#REF!</v>
      </c>
      <c r="B41" s="107" t="e">
        <f>#REF!</f>
        <v>#REF!</v>
      </c>
      <c r="C41" s="107" t="e">
        <f>#REF!</f>
        <v>#REF!</v>
      </c>
      <c r="D41" s="107" t="e">
        <f>#REF!</f>
        <v>#REF!</v>
      </c>
      <c r="E41" s="331"/>
    </row>
    <row r="42" spans="1:5" ht="15.75" hidden="1" customHeight="1" outlineLevel="1">
      <c r="A42" s="17" t="e">
        <f>#REF!</f>
        <v>#REF!</v>
      </c>
      <c r="B42" s="107" t="e">
        <f>#REF!</f>
        <v>#REF!</v>
      </c>
      <c r="C42" s="107" t="e">
        <f>#REF!</f>
        <v>#REF!</v>
      </c>
      <c r="D42" s="107" t="e">
        <f>#REF!</f>
        <v>#REF!</v>
      </c>
      <c r="E42" s="331"/>
    </row>
    <row r="43" spans="1:5" ht="15.75" hidden="1" customHeight="1" outlineLevel="1">
      <c r="A43" s="17" t="e">
        <f>#REF!</f>
        <v>#REF!</v>
      </c>
      <c r="B43" s="17" t="e">
        <f>#REF!</f>
        <v>#REF!</v>
      </c>
      <c r="C43" s="17" t="e">
        <f>#REF!</f>
        <v>#REF!</v>
      </c>
      <c r="D43" s="17" t="e">
        <f>#REF!</f>
        <v>#REF!</v>
      </c>
      <c r="E43" s="332"/>
    </row>
    <row r="44" spans="1:5" s="37" customFormat="1" ht="15.75" hidden="1" customHeight="1" outlineLevel="1">
      <c r="A44" s="39" t="e">
        <f>#REF!</f>
        <v>#REF!</v>
      </c>
      <c r="B44" s="39" t="e">
        <f>#REF!</f>
        <v>#REF!</v>
      </c>
      <c r="C44" s="39" t="e">
        <f>#REF!</f>
        <v>#REF!</v>
      </c>
      <c r="D44" s="39" t="e">
        <f>#REF!</f>
        <v>#REF!</v>
      </c>
      <c r="E44" s="39" t="str">
        <f>FIXED(malumot!C142,2)</f>
        <v>40 500 000,00</v>
      </c>
    </row>
    <row r="45" spans="1:5" ht="12.75" customHeight="1" collapsed="1">
      <c r="A45" s="16"/>
      <c r="B45" s="16"/>
      <c r="C45" s="16"/>
      <c r="D45" s="16"/>
      <c r="E45" s="16"/>
    </row>
    <row r="46" spans="1:5" ht="93.75" hidden="1" customHeight="1">
      <c r="A46" s="289"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89"/>
      <c r="C46" s="289"/>
      <c r="D46" s="289"/>
      <c r="E46" s="289"/>
    </row>
    <row r="47" spans="1:5" ht="42" customHeight="1">
      <c r="A47" s="289" t="s">
        <v>210</v>
      </c>
      <c r="B47" s="289"/>
      <c r="C47" s="289"/>
      <c r="D47" s="289"/>
      <c r="E47" s="289"/>
    </row>
    <row r="48" spans="1:5" ht="35.25" customHeight="1">
      <c r="A48" s="289" t="str">
        <f>"Shunday qilib, garov predmetining kelishilgan garov qiymati  "&amp;FIXED(malumot!B142)&amp;" ("&amp;malumot!B143&amp;") so‘mni tashkil etadi."</f>
        <v>Shunday qilib, garov predmetining kelishilgan garov qiymati  40 500 000,00 (qirq million besh yuz ming so'm) so‘mni tashkil etadi.</v>
      </c>
      <c r="B48" s="289"/>
      <c r="C48" s="289"/>
      <c r="D48" s="289"/>
      <c r="E48" s="289"/>
    </row>
    <row r="49" spans="1:6" ht="35.25" hidden="1" customHeight="1">
      <c r="A49" s="19"/>
      <c r="B49" s="19"/>
      <c r="C49" s="19"/>
      <c r="D49" s="19">
        <f>IF(malumot!B98=malumot!C98,malumot!C142,IF(malumot!B98=malumot!D98,'Данные для послед. Залога'!M22,0))</f>
        <v>40500000</v>
      </c>
      <c r="E49" s="19" t="str">
        <f>IF(malumot!B98=malumot!C98,malumot!B143,IF(malumot!B98=malumot!D98,'Данные для послед. Залога'!Q22,0))</f>
        <v>qirq million besh yuz ming so'm</v>
      </c>
    </row>
    <row r="50" spans="1:6">
      <c r="A50" s="329" t="s">
        <v>211</v>
      </c>
      <c r="B50" s="329"/>
      <c r="C50" s="329"/>
      <c r="D50" s="22"/>
      <c r="E50" s="22"/>
    </row>
    <row r="51" spans="1:6" ht="15" customHeight="1">
      <c r="A51" s="126" t="str">
        <f>malumot!B154</f>
        <v>«CLEVER MIKROMOLIYA TASHKILOTI» MChJ</v>
      </c>
      <c r="B51" s="261"/>
      <c r="C51" s="261"/>
      <c r="D51" s="158"/>
      <c r="E51" s="158"/>
    </row>
    <row r="52" spans="1:6" ht="15" customHeight="1">
      <c r="A52" s="259" t="str">
        <f>""&amp;malumot!A156&amp;""</f>
        <v>Olmaliq filiali boshlig'i</v>
      </c>
      <c r="B52" s="259"/>
      <c r="C52" s="259"/>
      <c r="D52" s="265"/>
      <c r="E52" s="265" t="str">
        <f>malumot!B156</f>
        <v>V. Yerjanov</v>
      </c>
    </row>
    <row r="53" spans="1:6">
      <c r="A53" s="53"/>
      <c r="B53" s="53"/>
      <c r="C53" s="53"/>
      <c r="D53" s="53"/>
      <c r="E53" s="53"/>
    </row>
    <row r="54" spans="1:6">
      <c r="A54" s="329"/>
      <c r="B54" s="329"/>
      <c r="C54" s="329"/>
      <c r="D54" s="53"/>
      <c r="E54" s="53"/>
    </row>
    <row r="55" spans="1:6" hidden="1">
      <c r="A55" s="291" t="s">
        <v>47</v>
      </c>
      <c r="B55" s="291"/>
      <c r="C55" s="291"/>
      <c r="D55" s="53"/>
      <c r="E55" s="53"/>
    </row>
    <row r="56" spans="1:6" hidden="1">
      <c r="A56" s="291" t="str">
        <f>malumot!B154</f>
        <v>«CLEVER MIKROMOLIYA TASHKILOTI» MChJ</v>
      </c>
      <c r="B56" s="291"/>
      <c r="C56" s="291"/>
      <c r="D56" s="291" t="str">
        <f>"_______________   "&amp;malumot!B165&amp;""</f>
        <v>_______________   B. Mominov</v>
      </c>
      <c r="E56" s="291"/>
    </row>
    <row r="57" spans="1:6" ht="12.75" customHeight="1">
      <c r="A57" s="291"/>
      <c r="B57" s="291"/>
      <c r="C57" s="291"/>
      <c r="D57" s="291"/>
      <c r="E57" s="291"/>
    </row>
    <row r="58" spans="1:6">
      <c r="A58" s="329" t="s">
        <v>212</v>
      </c>
      <c r="B58" s="329"/>
      <c r="C58" s="329"/>
      <c r="D58" s="291"/>
      <c r="E58" s="291"/>
    </row>
    <row r="59" spans="1:6" ht="31.5" customHeight="1">
      <c r="A59" s="291" t="s">
        <v>213</v>
      </c>
      <c r="B59" s="291"/>
      <c r="C59" s="291"/>
      <c r="D59" s="329" t="str">
        <f>"_______________  "&amp;malumot!B7&amp;""</f>
        <v>_______________  A.A.NUTFULLAYEV</v>
      </c>
      <c r="E59" s="329"/>
    </row>
    <row r="60" spans="1:6" ht="12.75" customHeight="1">
      <c r="A60" s="291"/>
      <c r="B60" s="291"/>
      <c r="C60" s="291"/>
      <c r="D60" s="328" t="str">
        <f>IF(malumot!B99="да","",malumot!B124)</f>
        <v>A.A.NUTFULLAYEV</v>
      </c>
      <c r="E60" s="328"/>
    </row>
    <row r="61" spans="1:6" ht="17.25" hidden="1" customHeight="1">
      <c r="A61" s="329" t="str">
        <f>+IF(malumot!B99="ha"," ","3-tomondan:")</f>
        <v xml:space="preserve"> </v>
      </c>
      <c r="B61" s="329"/>
      <c r="C61" s="329"/>
      <c r="D61" s="329"/>
      <c r="E61" s="329"/>
      <c r="F61" s="15" t="str">
        <f>IF(malumot!B100=malumot!D100,B7,"")</f>
        <v/>
      </c>
    </row>
    <row r="62" spans="1:6" ht="17.25" hidden="1" customHeight="1">
      <c r="A62" s="291" t="str">
        <f>+IF(malumot!B99="ha"," ","O'zbekiston Respublikasi fuqarosi")</f>
        <v xml:space="preserve"> </v>
      </c>
      <c r="B62" s="291"/>
      <c r="C62" s="291"/>
      <c r="D62" s="329" t="str">
        <f>"_______________  "&amp;malumot!B118&amp;""</f>
        <v>_______________  A.A.NUTFULLAYEV</v>
      </c>
      <c r="E62" s="329"/>
    </row>
    <row r="63" spans="1:6" ht="63.75" hidden="1" customHeight="1">
      <c r="A63" s="180" t="str">
        <f>IF(malumot!B100=malumot!C100,"_______________  "&amp;malumot!B118&amp;"","_______________  "&amp;malumot!B7&amp;"")</f>
        <v>_______________  A.A.NUTFULLAYEV</v>
      </c>
      <c r="B63" s="53"/>
      <c r="C63" s="291" t="str">
        <f>'заявление залогодателя'!A20</f>
        <v/>
      </c>
      <c r="D63" s="291"/>
      <c r="E63" s="291"/>
    </row>
    <row r="64" spans="1:6" ht="6.75" customHeight="1">
      <c r="D64" s="315"/>
      <c r="E64" s="315"/>
    </row>
  </sheetData>
  <mergeCells count="48">
    <mergeCell ref="A56:C56"/>
    <mergeCell ref="D56:E56"/>
    <mergeCell ref="A27:E27"/>
    <mergeCell ref="A50:C50"/>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3" zoomScaleNormal="100" zoomScaleSheetLayoutView="100" workbookViewId="0">
      <selection activeCell="A63" sqref="A63:C63"/>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320"/>
      <c r="F2" s="320"/>
      <c r="G2" s="20"/>
    </row>
    <row r="3" spans="1:16" ht="77.25" customHeight="1">
      <c r="A3" s="37"/>
      <c r="B3" s="37"/>
      <c r="C3" s="37"/>
      <c r="D3" s="37"/>
      <c r="E3" s="335" t="str">
        <f>""&amp;malumot!B74&amp;" 
"&amp;malumot!B65&amp;" shartnomasiga 
1 sonli ilova"</f>
        <v>11 mart 2025 y.dan № 23-AL 
mikroqarz shartnomasiga 
1 sonli ilova</v>
      </c>
      <c r="F3" s="335"/>
      <c r="G3" s="20"/>
    </row>
    <row r="4" spans="1:16" ht="6.75" customHeight="1">
      <c r="A4" s="37"/>
      <c r="B4" s="37"/>
      <c r="C4" s="37"/>
      <c r="D4" s="37"/>
      <c r="E4" s="37"/>
      <c r="F4" s="37"/>
    </row>
    <row r="5" spans="1:16">
      <c r="A5" s="321" t="s">
        <v>264</v>
      </c>
      <c r="B5" s="321"/>
      <c r="C5" s="321"/>
      <c r="D5" s="321"/>
      <c r="E5" s="321"/>
      <c r="F5" s="321"/>
    </row>
    <row r="6" spans="1:16" ht="7.5" customHeight="1"/>
    <row r="7" spans="1:16" ht="15" customHeight="1">
      <c r="A7" s="322" t="s">
        <v>15</v>
      </c>
      <c r="B7" s="323" t="s">
        <v>265</v>
      </c>
      <c r="C7" s="323" t="s">
        <v>266</v>
      </c>
      <c r="D7" s="324" t="s">
        <v>267</v>
      </c>
      <c r="E7" s="324"/>
      <c r="F7" s="324"/>
    </row>
    <row r="8" spans="1:16" s="16" customFormat="1">
      <c r="A8" s="322"/>
      <c r="B8" s="323"/>
      <c r="C8" s="323"/>
      <c r="D8" s="17" t="s">
        <v>268</v>
      </c>
      <c r="E8" s="17" t="s">
        <v>269</v>
      </c>
      <c r="F8" s="17" t="s">
        <v>270</v>
      </c>
    </row>
    <row r="9" spans="1:16">
      <c r="A9" s="18">
        <v>1</v>
      </c>
      <c r="B9" s="33">
        <f>'График аннуитет.'!B8</f>
        <v>45754</v>
      </c>
      <c r="C9" s="34">
        <f>IF(malumot!$B$77=malumot!$C$77,'График дифференц'!C8,IF(malumot!$B$77=malumot!$D$77,'График аннуитет.'!C8))</f>
        <v>27000000</v>
      </c>
      <c r="D9" s="34">
        <f>IF(malumot!$B$77=malumot!$C$77,'График дифференц'!D8,IF(malumot!$B$77=malumot!$D$77,'График аннуитет.'!D8))</f>
        <v>750000</v>
      </c>
      <c r="E9" s="34">
        <f>IF(malumot!$B$77=malumot!$C$77,'График дифференц'!E8,IF(malumot!$B$77=malumot!$D$77,'График аннуитет.'!E8))</f>
        <v>1198356.1199999999</v>
      </c>
      <c r="F9" s="34">
        <f>IF(malumot!$B$77=malumot!$C$77,'График дифференц'!F8,IF(malumot!$B$77=malumot!$D$77,'График аннуитет.'!F8))</f>
        <v>1948356.1199999999</v>
      </c>
    </row>
    <row r="10" spans="1:16">
      <c r="A10" s="18">
        <v>2</v>
      </c>
      <c r="B10" s="33">
        <f>'График аннуитет.'!B9</f>
        <v>45782</v>
      </c>
      <c r="C10" s="34">
        <f>IF(malumot!$B$77=malumot!$C$77,'График дифференц'!C9,IF(malumot!$B$77=malumot!$D$77,'График аннуитет.'!C9))</f>
        <v>26250000</v>
      </c>
      <c r="D10" s="34">
        <f>IF(malumot!$B$77=malumot!$C$77,'График дифференц'!D9,IF(malumot!$B$77=malumot!$D$77,'График аннуитет.'!D9))</f>
        <v>750000</v>
      </c>
      <c r="E10" s="34">
        <f>IF(malumot!$B$77=malumot!$C$77,'График дифференц'!E9,IF(malumot!$B$77=malumot!$D$77,'График аннуитет.'!E9))</f>
        <v>1208219.04</v>
      </c>
      <c r="F10" s="34">
        <f>IF(malumot!$B$77=malumot!$C$77,'График дифференц'!F9,IF(malumot!$B$77=malumot!$D$77,'График аннуитет.'!F9))</f>
        <v>1958219.04</v>
      </c>
    </row>
    <row r="11" spans="1:16">
      <c r="A11" s="18">
        <v>3</v>
      </c>
      <c r="B11" s="33">
        <f>'График аннуитет.'!B10</f>
        <v>45813</v>
      </c>
      <c r="C11" s="34">
        <f>IF(malumot!$B$77=malumot!$C$77,'График дифференц'!C10,IF(malumot!$B$77=malumot!$D$77,'График аннуитет.'!C10))</f>
        <v>25500000</v>
      </c>
      <c r="D11" s="34">
        <f>IF(malumot!$B$77=malumot!$C$77,'График дифференц'!D10,IF(malumot!$B$77=malumot!$D$77,'График аннуитет.'!D10))</f>
        <v>750000</v>
      </c>
      <c r="E11" s="34">
        <f>IF(malumot!$B$77=malumot!$C$77,'График дифференц'!E10,IF(malumot!$B$77=malumot!$D$77,'График аннуитет.'!E10))</f>
        <v>1299452.1099999999</v>
      </c>
      <c r="F11" s="34">
        <f>IF(malumot!$B$77=malumot!$C$77,'График дифференц'!F10,IF(malumot!$B$77=malumot!$D$77,'График аннуитет.'!F10))</f>
        <v>2049452.1099999999</v>
      </c>
    </row>
    <row r="12" spans="1:16">
      <c r="A12" s="18">
        <v>4</v>
      </c>
      <c r="B12" s="33">
        <f>'График аннуитет.'!B11</f>
        <v>45845</v>
      </c>
      <c r="C12" s="34">
        <f>IF(malumot!$B$77=malumot!$C$77,'График дифференц'!C11,IF(malumot!$B$77=malumot!$D$77,'График аннуитет.'!C11))</f>
        <v>24750000</v>
      </c>
      <c r="D12" s="34">
        <f>IF(malumot!$B$77=malumot!$C$77,'График дифференц'!D11,IF(malumot!$B$77=malumot!$D$77,'График аннуитет.'!D11))</f>
        <v>750000</v>
      </c>
      <c r="E12" s="34">
        <f>IF(malumot!$B$77=malumot!$C$77,'График дифференц'!E11,IF(malumot!$B$77=malumot!$D$77,'График аннуитет.'!E11))</f>
        <v>1301917.76</v>
      </c>
      <c r="F12" s="34">
        <f>IF(malumot!$B$77=malumot!$C$77,'График дифференц'!F11,IF(malumot!$B$77=malumot!$D$77,'График аннуитет.'!F11))</f>
        <v>2051917.76</v>
      </c>
      <c r="H12" s="334" t="s">
        <v>375</v>
      </c>
      <c r="I12" s="334"/>
      <c r="J12" s="334"/>
      <c r="K12" s="334"/>
      <c r="L12" s="334"/>
      <c r="M12" s="334"/>
      <c r="N12" s="334"/>
      <c r="O12" s="334"/>
      <c r="P12" s="334"/>
    </row>
    <row r="13" spans="1:16">
      <c r="A13" s="18">
        <v>5</v>
      </c>
      <c r="B13" s="33">
        <f>'График аннуитет.'!B12</f>
        <v>45874</v>
      </c>
      <c r="C13" s="34">
        <f>IF(malumot!$B$77=malumot!$C$77,'График дифференц'!C12,IF(malumot!$B$77=malumot!$D$77,'График аннуитет.'!C12))</f>
        <v>24000000</v>
      </c>
      <c r="D13" s="34">
        <f>IF(malumot!$B$77=malumot!$C$77,'График дифференц'!D12,IF(malumot!$B$77=malumot!$D$77,'График аннуитет.'!D12))</f>
        <v>750000</v>
      </c>
      <c r="E13" s="34">
        <f>IF(malumot!$B$77=malumot!$C$77,'График дифференц'!E12,IF(malumot!$B$77=malumot!$D$77,'График аннуитет.'!E12))</f>
        <v>1144109.4500000002</v>
      </c>
      <c r="F13" s="34">
        <f>IF(malumot!$B$77=malumot!$C$77,'График дифференц'!F12,IF(malumot!$B$77=malumot!$D$77,'График аннуитет.'!F12))</f>
        <v>1894109.4500000002</v>
      </c>
      <c r="H13" s="334"/>
      <c r="I13" s="334"/>
      <c r="J13" s="334"/>
      <c r="K13" s="334"/>
      <c r="L13" s="334"/>
      <c r="M13" s="334"/>
      <c r="N13" s="334"/>
      <c r="O13" s="334"/>
      <c r="P13" s="334"/>
    </row>
    <row r="14" spans="1:16">
      <c r="A14" s="18">
        <v>6</v>
      </c>
      <c r="B14" s="33">
        <f>'График аннуитет.'!B13</f>
        <v>45905</v>
      </c>
      <c r="C14" s="34">
        <f>IF(malumot!$B$77=malumot!$C$77,'График дифференц'!C13,IF(malumot!$B$77=malumot!$D$77,'График аннуитет.'!C13))</f>
        <v>23250000</v>
      </c>
      <c r="D14" s="34">
        <f>IF(malumot!$B$77=malumot!$C$77,'График дифференц'!D13,IF(malumot!$B$77=malumot!$D$77,'График аннуитет.'!D13))</f>
        <v>750000</v>
      </c>
      <c r="E14" s="34">
        <f>IF(malumot!$B$77=malumot!$C$77,'График дифференц'!E13,IF(malumot!$B$77=malumot!$D$77,'График аннуитет.'!E13))</f>
        <v>1184794.58</v>
      </c>
      <c r="F14" s="34">
        <f>IF(malumot!$B$77=malumot!$C$77,'График дифференц'!F13,IF(malumot!$B$77=malumot!$D$77,'График аннуитет.'!F13))</f>
        <v>1934794.58</v>
      </c>
      <c r="H14" s="334"/>
      <c r="I14" s="334"/>
      <c r="J14" s="334"/>
      <c r="K14" s="334"/>
      <c r="L14" s="334"/>
      <c r="M14" s="334"/>
      <c r="N14" s="334"/>
      <c r="O14" s="334"/>
      <c r="P14" s="334"/>
    </row>
    <row r="15" spans="1:16">
      <c r="A15" s="18">
        <v>7</v>
      </c>
      <c r="B15" s="33">
        <f>'График аннуитет.'!B14</f>
        <v>45936</v>
      </c>
      <c r="C15" s="34">
        <f>IF(malumot!$B$77=malumot!$C$77,'График дифференц'!C14,IF(malumot!$B$77=malumot!$D$77,'График аннуитет.'!C14))</f>
        <v>22500000</v>
      </c>
      <c r="D15" s="34">
        <f>IF(malumot!$B$77=malumot!$C$77,'График дифференц'!D14,IF(malumot!$B$77=malumot!$D$77,'График аннуитет.'!D14))</f>
        <v>750000</v>
      </c>
      <c r="E15" s="34">
        <f>IF(malumot!$B$77=malumot!$C$77,'График дифференц'!E14,IF(malumot!$B$77=malumot!$D$77,'График аннуитет.'!E14))</f>
        <v>1146575.3</v>
      </c>
      <c r="F15" s="34">
        <f>IF(malumot!$B$77=malumot!$C$77,'График дифференц'!F14,IF(malumot!$B$77=malumot!$D$77,'График аннуитет.'!F14))</f>
        <v>1896575.3</v>
      </c>
      <c r="H15" s="334"/>
      <c r="I15" s="334"/>
      <c r="J15" s="334"/>
      <c r="K15" s="334"/>
      <c r="L15" s="334"/>
      <c r="M15" s="334"/>
      <c r="N15" s="334"/>
      <c r="O15" s="334"/>
      <c r="P15" s="334"/>
    </row>
    <row r="16" spans="1:16">
      <c r="A16" s="18">
        <v>8</v>
      </c>
      <c r="B16" s="33">
        <f>'График аннуитет.'!B15</f>
        <v>45966</v>
      </c>
      <c r="C16" s="34">
        <f>IF(malumot!$B$77=malumot!$C$77,'График дифференц'!C15,IF(malumot!$B$77=malumot!$D$77,'График аннуитет.'!C15))</f>
        <v>21750000</v>
      </c>
      <c r="D16" s="34">
        <f>IF(malumot!$B$77=malumot!$C$77,'График дифференц'!D15,IF(malumot!$B$77=malumot!$D$77,'График аннуитет.'!D15))</f>
        <v>750000</v>
      </c>
      <c r="E16" s="34">
        <f>IF(malumot!$B$77=malumot!$C$77,'График дифференц'!E15,IF(malumot!$B$77=malumot!$D$77,'График аннуитет.'!E15))</f>
        <v>1072602.5999999999</v>
      </c>
      <c r="F16" s="34">
        <f>IF(malumot!$B$77=malumot!$C$77,'График дифференц'!F15,IF(malumot!$B$77=malumot!$D$77,'График аннуитет.'!F15))</f>
        <v>1822602.5999999999</v>
      </c>
      <c r="H16" s="334"/>
      <c r="I16" s="334"/>
      <c r="J16" s="334"/>
      <c r="K16" s="334"/>
      <c r="L16" s="334"/>
      <c r="M16" s="334"/>
      <c r="N16" s="334"/>
      <c r="O16" s="334"/>
      <c r="P16" s="334"/>
    </row>
    <row r="17" spans="1:16">
      <c r="A17" s="18">
        <v>9</v>
      </c>
      <c r="B17" s="33">
        <f>'График аннуитет.'!B16</f>
        <v>45996</v>
      </c>
      <c r="C17" s="34">
        <f>IF(malumot!$B$77=malumot!$C$77,'График дифференц'!C16,IF(malumot!$B$77=malumot!$D$77,'График аннуитет.'!C16))</f>
        <v>21000000</v>
      </c>
      <c r="D17" s="34">
        <f>IF(malumot!$B$77=malumot!$C$77,'График дифференц'!D16,IF(malumot!$B$77=malumot!$D$77,'График аннуитет.'!D16))</f>
        <v>750000</v>
      </c>
      <c r="E17" s="34">
        <f>IF(malumot!$B$77=malumot!$C$77,'График дифференц'!E16,IF(malumot!$B$77=malumot!$D$77,'График аннуитет.'!E16))</f>
        <v>1035616.5000000001</v>
      </c>
      <c r="F17" s="34">
        <f>IF(malumot!$B$77=malumot!$C$77,'График дифференц'!F16,IF(malumot!$B$77=malumot!$D$77,'График аннуитет.'!F16))</f>
        <v>1785616.5</v>
      </c>
      <c r="H17" s="334"/>
      <c r="I17" s="334"/>
      <c r="J17" s="334"/>
      <c r="K17" s="334"/>
      <c r="L17" s="334"/>
      <c r="M17" s="334"/>
      <c r="N17" s="334"/>
      <c r="O17" s="334"/>
      <c r="P17" s="334"/>
    </row>
    <row r="18" spans="1:16">
      <c r="A18" s="18">
        <v>10</v>
      </c>
      <c r="B18" s="33">
        <f>'График аннуитет.'!B17</f>
        <v>46027</v>
      </c>
      <c r="C18" s="34">
        <f>IF(malumot!$B$77=malumot!$C$77,'График дифференц'!C17,IF(malumot!$B$77=malumot!$D$77,'График аннуитет.'!C17))</f>
        <v>20250000</v>
      </c>
      <c r="D18" s="34">
        <f>IF(malumot!$B$77=malumot!$C$77,'График дифференц'!D17,IF(malumot!$B$77=malumot!$D$77,'График аннуитет.'!D17))</f>
        <v>750000</v>
      </c>
      <c r="E18" s="34">
        <f>IF(malumot!$B$77=malumot!$C$77,'График дифференц'!E17,IF(malumot!$B$77=malumot!$D$77,'График аннуитет.'!E17))</f>
        <v>1031917.7699999999</v>
      </c>
      <c r="F18" s="34">
        <f>IF(malumot!$B$77=malumot!$C$77,'График дифференц'!F17,IF(malumot!$B$77=malumot!$D$77,'График аннуитет.'!F17))</f>
        <v>1781917.77</v>
      </c>
      <c r="H18" s="334"/>
      <c r="I18" s="334"/>
      <c r="J18" s="334"/>
      <c r="K18" s="334"/>
      <c r="L18" s="334"/>
      <c r="M18" s="334"/>
      <c r="N18" s="334"/>
      <c r="O18" s="334"/>
      <c r="P18" s="334"/>
    </row>
    <row r="19" spans="1:16">
      <c r="A19" s="18">
        <v>11</v>
      </c>
      <c r="B19" s="33">
        <f>'График аннуитет.'!B18</f>
        <v>46058</v>
      </c>
      <c r="C19" s="34">
        <f>IF(malumot!$B$77=malumot!$C$77,'График дифференц'!C18,IF(malumot!$B$77=malumot!$D$77,'График аннуитет.'!C18))</f>
        <v>19500000</v>
      </c>
      <c r="D19" s="34">
        <f>IF(malumot!$B$77=malumot!$C$77,'График дифференц'!D18,IF(malumot!$B$77=malumot!$D$77,'График аннуитет.'!D18))</f>
        <v>750000</v>
      </c>
      <c r="E19" s="34">
        <f>IF(malumot!$B$77=malumot!$C$77,'График дифференц'!E18,IF(malumot!$B$77=malumot!$D$77,'График аннуитет.'!E18))</f>
        <v>993698.49</v>
      </c>
      <c r="F19" s="34">
        <f>IF(malumot!$B$77=malumot!$C$77,'График дифференц'!F18,IF(malumot!$B$77=malumot!$D$77,'График аннуитет.'!F18))</f>
        <v>1743698.49</v>
      </c>
      <c r="H19" s="334"/>
      <c r="I19" s="334"/>
      <c r="J19" s="334"/>
      <c r="K19" s="334"/>
      <c r="L19" s="334"/>
      <c r="M19" s="334"/>
      <c r="N19" s="334"/>
      <c r="O19" s="334"/>
      <c r="P19" s="334"/>
    </row>
    <row r="20" spans="1:16">
      <c r="A20" s="18">
        <v>12</v>
      </c>
      <c r="B20" s="33">
        <f>'График аннуитет.'!B19</f>
        <v>46086</v>
      </c>
      <c r="C20" s="34">
        <f>IF(malumot!$B$77=malumot!$C$77,'График дифференц'!C19,IF(malumot!$B$77=malumot!$D$77,'График аннуитет.'!C19))</f>
        <v>18750000</v>
      </c>
      <c r="D20" s="34">
        <f>IF(malumot!$B$77=malumot!$C$77,'График дифференц'!D19,IF(malumot!$B$77=malumot!$D$77,'График аннуитет.'!D19))</f>
        <v>750000</v>
      </c>
      <c r="E20" s="34">
        <f>IF(malumot!$B$77=malumot!$C$77,'График дифференц'!E19,IF(malumot!$B$77=malumot!$D$77,'График аннуитет.'!E19))</f>
        <v>863013.76</v>
      </c>
      <c r="F20" s="34">
        <f>IF(malumot!$B$77=malumot!$C$77,'График дифференц'!F19,IF(malumot!$B$77=malumot!$D$77,'График аннуитет.'!F19))</f>
        <v>1613013.76</v>
      </c>
      <c r="H20" s="334"/>
      <c r="I20" s="334"/>
      <c r="J20" s="334"/>
      <c r="K20" s="334"/>
      <c r="L20" s="334"/>
      <c r="M20" s="334"/>
      <c r="N20" s="334"/>
      <c r="O20" s="334"/>
      <c r="P20" s="334"/>
    </row>
    <row r="21" spans="1:16">
      <c r="A21" s="18">
        <v>13</v>
      </c>
      <c r="B21" s="33">
        <f>'График аннуитет.'!B20</f>
        <v>46118</v>
      </c>
      <c r="C21" s="34">
        <f>IF(malumot!$B$77=malumot!$C$77,'График дифференц'!C20,IF(malumot!$B$77=malumot!$D$77,'График аннуитет.'!C20))</f>
        <v>18000000</v>
      </c>
      <c r="D21" s="34">
        <f>IF(malumot!$B$77=malumot!$C$77,'График дифференц'!D20,IF(malumot!$B$77=malumot!$D$77,'График аннуитет.'!D20))</f>
        <v>750000</v>
      </c>
      <c r="E21" s="34">
        <f>IF(malumot!$B$77=malumot!$C$77,'График дифференц'!E20,IF(malumot!$B$77=malumot!$D$77,'График аннуитет.'!E20))</f>
        <v>946849.28000000003</v>
      </c>
      <c r="F21" s="34">
        <f>IF(malumot!$B$77=malumot!$C$77,'График дифференц'!F20,IF(malumot!$B$77=malumot!$D$77,'График аннуитет.'!F20))</f>
        <v>1696849.28</v>
      </c>
      <c r="H21" s="334"/>
      <c r="I21" s="334"/>
      <c r="J21" s="334"/>
      <c r="K21" s="334"/>
      <c r="L21" s="334"/>
      <c r="M21" s="334"/>
      <c r="N21" s="334"/>
      <c r="O21" s="334"/>
      <c r="P21" s="334"/>
    </row>
    <row r="22" spans="1:16">
      <c r="A22" s="18">
        <v>14</v>
      </c>
      <c r="B22" s="33">
        <f>'График аннуитет.'!B21</f>
        <v>46147</v>
      </c>
      <c r="C22" s="34">
        <f>IF(malumot!$B$77=malumot!$C$77,'График дифференц'!C21,IF(malumot!$B$77=malumot!$D$77,'График аннуитет.'!C21))</f>
        <v>17250000</v>
      </c>
      <c r="D22" s="34">
        <f>IF(malumot!$B$77=malumot!$C$77,'График дифференц'!D21,IF(malumot!$B$77=malumot!$D$77,'График аннуитет.'!D21))</f>
        <v>750000</v>
      </c>
      <c r="E22" s="34">
        <f>IF(malumot!$B$77=malumot!$C$77,'График дифференц'!E21,IF(malumot!$B$77=malumot!$D$77,'График аннуитет.'!E21))</f>
        <v>822328.64</v>
      </c>
      <c r="F22" s="34">
        <f>IF(malumot!$B$77=malumot!$C$77,'График дифференц'!F21,IF(malumot!$B$77=malumot!$D$77,'График аннуитет.'!F21))</f>
        <v>1572328.6400000001</v>
      </c>
      <c r="H22" s="334"/>
      <c r="I22" s="334"/>
      <c r="J22" s="334"/>
      <c r="K22" s="334"/>
      <c r="L22" s="334"/>
      <c r="M22" s="334"/>
      <c r="N22" s="334"/>
      <c r="O22" s="334"/>
      <c r="P22" s="334"/>
    </row>
    <row r="23" spans="1:16">
      <c r="A23" s="18">
        <v>15</v>
      </c>
      <c r="B23" s="33">
        <f>'График аннуитет.'!B22</f>
        <v>46178</v>
      </c>
      <c r="C23" s="34">
        <f>IF(malumot!$B$77=malumot!$C$77,'График дифференц'!C22,IF(malumot!$B$77=malumot!$D$77,'График аннуитет.'!C22))</f>
        <v>16500000</v>
      </c>
      <c r="D23" s="34">
        <f>IF(malumot!$B$77=malumot!$C$77,'График дифференц'!D22,IF(malumot!$B$77=malumot!$D$77,'График аннуитет.'!D22))</f>
        <v>750000</v>
      </c>
      <c r="E23" s="34">
        <f>IF(malumot!$B$77=malumot!$C$77,'График дифференц'!E22,IF(malumot!$B$77=malumot!$D$77,'График аннуитет.'!E22))</f>
        <v>840821.99</v>
      </c>
      <c r="F23" s="34">
        <f>IF(malumot!$B$77=malumot!$C$77,'График дифференц'!F22,IF(malumot!$B$77=malumot!$D$77,'График аннуитет.'!F22))</f>
        <v>1590821.99</v>
      </c>
      <c r="H23" s="334"/>
      <c r="I23" s="334"/>
      <c r="J23" s="334"/>
      <c r="K23" s="334"/>
      <c r="L23" s="334"/>
      <c r="M23" s="334"/>
      <c r="N23" s="334"/>
      <c r="O23" s="334"/>
      <c r="P23" s="334"/>
    </row>
    <row r="24" spans="1:16">
      <c r="A24" s="18">
        <v>16</v>
      </c>
      <c r="B24" s="33">
        <f>'График аннуитет.'!B23</f>
        <v>46209</v>
      </c>
      <c r="C24" s="34">
        <f>IF(malumot!$B$77=malumot!$C$77,'График дифференц'!C23,IF(malumot!$B$77=malumot!$D$77,'График аннуитет.'!C23))</f>
        <v>15750000</v>
      </c>
      <c r="D24" s="34">
        <f>IF(malumot!$B$77=malumot!$C$77,'График дифференц'!D23,IF(malumot!$B$77=malumot!$D$77,'График аннуитет.'!D23))</f>
        <v>750000</v>
      </c>
      <c r="E24" s="34">
        <f>IF(malumot!$B$77=malumot!$C$77,'График дифференц'!E23,IF(malumot!$B$77=malumot!$D$77,'График аннуитет.'!E23))</f>
        <v>802602.71</v>
      </c>
      <c r="F24" s="34">
        <f>IF(malumot!$B$77=malumot!$C$77,'График дифференц'!F23,IF(malumot!$B$77=malumot!$D$77,'График аннуитет.'!F23))</f>
        <v>1552602.71</v>
      </c>
      <c r="H24" s="334"/>
      <c r="I24" s="334"/>
      <c r="J24" s="334"/>
      <c r="K24" s="334"/>
      <c r="L24" s="334"/>
      <c r="M24" s="334"/>
      <c r="N24" s="334"/>
      <c r="O24" s="334"/>
      <c r="P24" s="334"/>
    </row>
    <row r="25" spans="1:16" ht="16.5" customHeight="1">
      <c r="A25" s="18">
        <v>17</v>
      </c>
      <c r="B25" s="33">
        <f>'График аннуитет.'!B24</f>
        <v>46239</v>
      </c>
      <c r="C25" s="34">
        <f>IF(malumot!$B$77=malumot!$C$77,'График дифференц'!C24,IF(malumot!$B$77=malumot!$D$77,'График аннуитет.'!C24))</f>
        <v>15000000</v>
      </c>
      <c r="D25" s="34">
        <f>IF(malumot!$B$77=malumot!$C$77,'График дифференц'!D24,IF(malumot!$B$77=malumot!$D$77,'График аннуитет.'!D24))</f>
        <v>750000</v>
      </c>
      <c r="E25" s="34">
        <f>IF(malumot!$B$77=malumot!$C$77,'График дифференц'!E24,IF(malumot!$B$77=malumot!$D$77,'График аннуитет.'!E24))</f>
        <v>739725.89999999991</v>
      </c>
      <c r="F25" s="34">
        <f>IF(malumot!$B$77=malumot!$C$77,'График дифференц'!F24,IF(malumot!$B$77=malumot!$D$77,'График аннуитет.'!F24))</f>
        <v>1489725.9</v>
      </c>
    </row>
    <row r="26" spans="1:16">
      <c r="A26" s="18">
        <v>18</v>
      </c>
      <c r="B26" s="33">
        <f>'График аннуитет.'!B25</f>
        <v>46272</v>
      </c>
      <c r="C26" s="34">
        <f>IF(malumot!$B$77=malumot!$C$77,'График дифференц'!C25,IF(malumot!$B$77=malumot!$D$77,'График аннуитет.'!C25))</f>
        <v>14250000</v>
      </c>
      <c r="D26" s="34">
        <f>IF(malumot!$B$77=malumot!$C$77,'График дифференц'!D25,IF(malumot!$B$77=malumot!$D$77,'График аннуитет.'!D25))</f>
        <v>750000</v>
      </c>
      <c r="E26" s="34">
        <f>IF(malumot!$B$77=malumot!$C$77,'График дифференц'!E25,IF(malumot!$B$77=malumot!$D$77,'График аннуитет.'!E25))</f>
        <v>773013.78</v>
      </c>
      <c r="F26" s="34">
        <f>IF(malumot!$B$77=malumot!$C$77,'График дифференц'!F25,IF(malumot!$B$77=malumot!$D$77,'График аннуитет.'!F25))</f>
        <v>1523013.78</v>
      </c>
    </row>
    <row r="27" spans="1:16">
      <c r="A27" s="18">
        <f>1+A26</f>
        <v>19</v>
      </c>
      <c r="B27" s="33">
        <f>'График аннуитет.'!B26</f>
        <v>46300</v>
      </c>
      <c r="C27" s="34">
        <f>IF(malumot!$B$77=malumot!$C$77,'График дифференц'!C26,IF(malumot!$B$77=malumot!$D$77,'График аннуитет.'!C26))</f>
        <v>13500000</v>
      </c>
      <c r="D27" s="34">
        <f>IF(malumot!$B$77=malumot!$C$77,'График дифференц'!D26,IF(malumot!$B$77=malumot!$D$77,'График аннуитет.'!D26))</f>
        <v>750000</v>
      </c>
      <c r="E27" s="34">
        <f>IF(malumot!$B$77=malumot!$C$77,'График дифференц'!E26,IF(malumot!$B$77=malumot!$D$77,'График аннуитет.'!E26))</f>
        <v>621369.84</v>
      </c>
      <c r="F27" s="34">
        <f>IF(malumot!$B$77=malumot!$C$77,'График дифференц'!F26,IF(malumot!$B$77=malumot!$D$77,'График аннуитет.'!F26))</f>
        <v>1371369.8399999999</v>
      </c>
    </row>
    <row r="28" spans="1:16">
      <c r="A28" s="18">
        <f t="shared" ref="A28:A43" si="0">1+A27</f>
        <v>20</v>
      </c>
      <c r="B28" s="33">
        <f>'График аннуитет.'!B27</f>
        <v>46331</v>
      </c>
      <c r="C28" s="34">
        <f>IF(malumot!$B$77=malumot!$C$77,'График дифференц'!C27,IF(malumot!$B$77=malumot!$D$77,'График аннуитет.'!C27))</f>
        <v>12750000</v>
      </c>
      <c r="D28" s="34">
        <f>IF(malumot!$B$77=malumot!$C$77,'График дифференц'!D27,IF(malumot!$B$77=malumot!$D$77,'График аннуитет.'!D27))</f>
        <v>750000</v>
      </c>
      <c r="E28" s="34">
        <f>IF(malumot!$B$77=malumot!$C$77,'График дифференц'!E27,IF(malumot!$B$77=malumot!$D$77,'График аннуитет.'!E27))</f>
        <v>649725.9</v>
      </c>
      <c r="F28" s="34">
        <f>IF(malumot!$B$77=malumot!$C$77,'График дифференц'!F27,IF(malumot!$B$77=malumot!$D$77,'График аннуитет.'!F27))</f>
        <v>1399725.9</v>
      </c>
    </row>
    <row r="29" spans="1:16">
      <c r="A29" s="18">
        <f t="shared" si="0"/>
        <v>21</v>
      </c>
      <c r="B29" s="33">
        <f>'График аннуитет.'!B28</f>
        <v>46363</v>
      </c>
      <c r="C29" s="34">
        <f>IF(malumot!$B$77=malumot!$C$77,'График дифференц'!C28,IF(malumot!$B$77=malumot!$D$77,'График аннуитет.'!C28))</f>
        <v>12000000</v>
      </c>
      <c r="D29" s="34">
        <f>IF(malumot!$B$77=malumot!$C$77,'График дифференц'!D28,IF(malumot!$B$77=malumot!$D$77,'График аннуитет.'!D28))</f>
        <v>750000</v>
      </c>
      <c r="E29" s="34">
        <f>IF(malumot!$B$77=malumot!$C$77,'График дифференц'!E28,IF(malumot!$B$77=malumot!$D$77,'График аннуитет.'!E28))</f>
        <v>631232.96</v>
      </c>
      <c r="F29" s="34">
        <f>IF(malumot!$B$77=malumot!$C$77,'График дифференц'!F28,IF(malumot!$B$77=malumot!$D$77,'График аннуитет.'!F28))</f>
        <v>1381232.96</v>
      </c>
    </row>
    <row r="30" spans="1:16">
      <c r="A30" s="18">
        <f t="shared" si="0"/>
        <v>22</v>
      </c>
      <c r="B30" s="33">
        <f>'График аннуитет.'!B29</f>
        <v>46392</v>
      </c>
      <c r="C30" s="34">
        <f>IF(malumot!$B$77=malumot!$C$77,'График дифференц'!C29,IF(malumot!$B$77=malumot!$D$77,'График аннуитет.'!C29))</f>
        <v>11250000</v>
      </c>
      <c r="D30" s="34">
        <f>IF(malumot!$B$77=malumot!$C$77,'График дифференц'!D29,IF(malumot!$B$77=malumot!$D$77,'График аннуитет.'!D29))</f>
        <v>750000</v>
      </c>
      <c r="E30" s="34">
        <f>IF(malumot!$B$77=malumot!$C$77,'График дифференц'!E29,IF(malumot!$B$77=malumot!$D$77,'График аннуитет.'!E29))</f>
        <v>536301.35000000009</v>
      </c>
      <c r="F30" s="34">
        <f>IF(malumot!$B$77=malumot!$C$77,'График дифференц'!F29,IF(malumot!$B$77=malumot!$D$77,'График аннуитет.'!F29))</f>
        <v>1286301.3500000001</v>
      </c>
    </row>
    <row r="31" spans="1:16">
      <c r="A31" s="18">
        <f t="shared" si="0"/>
        <v>23</v>
      </c>
      <c r="B31" s="33">
        <f>'График аннуитет.'!B30</f>
        <v>46423</v>
      </c>
      <c r="C31" s="34">
        <f>IF(malumot!$B$77=malumot!$C$77,'График дифференц'!C30,IF(malumot!$B$77=malumot!$D$77,'График аннуитет.'!C30))</f>
        <v>10500000</v>
      </c>
      <c r="D31" s="34">
        <f>IF(malumot!$B$77=malumot!$C$77,'График дифференц'!D30,IF(malumot!$B$77=malumot!$D$77,'График аннуитет.'!D30))</f>
        <v>750000</v>
      </c>
      <c r="E31" s="34">
        <f>IF(malumot!$B$77=malumot!$C$77,'График дифференц'!E30,IF(malumot!$B$77=malumot!$D$77,'График аннуитет.'!E30))</f>
        <v>535068.37</v>
      </c>
      <c r="F31" s="34">
        <f>IF(malumot!$B$77=malumot!$C$77,'График дифференц'!F30,IF(malumot!$B$77=malumot!$D$77,'График аннуитет.'!F30))</f>
        <v>1285068.3700000001</v>
      </c>
    </row>
    <row r="32" spans="1:16">
      <c r="A32" s="18">
        <f t="shared" si="0"/>
        <v>24</v>
      </c>
      <c r="B32" s="33">
        <f>'График аннуитет.'!B31</f>
        <v>46451</v>
      </c>
      <c r="C32" s="34">
        <f>IF(malumot!$B$77=malumot!$C$77,'График дифференц'!C31,IF(malumot!$B$77=malumot!$D$77,'График аннуитет.'!C31))</f>
        <v>9750000</v>
      </c>
      <c r="D32" s="34">
        <f>IF(malumot!$B$77=malumot!$C$77,'График дифференц'!D31,IF(malumot!$B$77=malumot!$D$77,'График аннуитет.'!D31))</f>
        <v>750000</v>
      </c>
      <c r="E32" s="34">
        <f>IF(malumot!$B$77=malumot!$C$77,'График дифференц'!E31,IF(malumot!$B$77=malumot!$D$77,'График аннуитет.'!E31))</f>
        <v>448767.2</v>
      </c>
      <c r="F32" s="34">
        <f>IF(malumot!$B$77=malumot!$C$77,'График дифференц'!F31,IF(malumot!$B$77=malumot!$D$77,'График аннуитет.'!F31))</f>
        <v>1198767.2</v>
      </c>
    </row>
    <row r="33" spans="1:6">
      <c r="A33" s="18">
        <f t="shared" si="0"/>
        <v>25</v>
      </c>
      <c r="B33" s="33">
        <f>IF('График аннуитет.'!B32=FALSE,"",'График аннуитет.'!B32)</f>
        <v>46482</v>
      </c>
      <c r="C33" s="34">
        <f>IF(malumot!$B$77=malumot!$C$77,'График дифференц'!C32,IF(malumot!$B$77=malumot!$D$77,'График аннуитет.'!C32))</f>
        <v>9000000</v>
      </c>
      <c r="D33" s="34">
        <f>IF(malumot!$B$77=malumot!$C$77,'График дифференц'!D32,IF(malumot!$B$77=malumot!$D$77,'График аннуитет.'!D32))</f>
        <v>750000</v>
      </c>
      <c r="E33" s="34">
        <f>IF(malumot!$B$77=malumot!$C$77,'График дифференц'!E32,IF(malumot!$B$77=malumot!$D$77,'График аннуитет.'!E32))</f>
        <v>458630.12</v>
      </c>
      <c r="F33" s="34">
        <f>IF(malumot!$B$77=malumot!$C$77,'График дифференц'!F32,IF(malumot!$B$77=malumot!$D$77,'График аннуитет.'!F32))</f>
        <v>1208630.1200000001</v>
      </c>
    </row>
    <row r="34" spans="1:6">
      <c r="A34" s="18">
        <f t="shared" si="0"/>
        <v>26</v>
      </c>
      <c r="B34" s="33">
        <f>IF('График аннуитет.'!B33=FALSE,"",'График аннуитет.'!B33)</f>
        <v>46512</v>
      </c>
      <c r="C34" s="34">
        <f>IF(malumot!$B$77=malumot!$C$77,'График дифференц'!C33,IF(malumot!$B$77=malumot!$D$77,'График аннуитет.'!C33))</f>
        <v>8250000</v>
      </c>
      <c r="D34" s="34">
        <f>IF(malumot!$B$77=malumot!$C$77,'График дифференц'!D33,IF(malumot!$B$77=malumot!$D$77,'График аннуитет.'!D33))</f>
        <v>750000</v>
      </c>
      <c r="E34" s="34">
        <f>IF(malumot!$B$77=malumot!$C$77,'График дифференц'!E33,IF(malumot!$B$77=malumot!$D$77,'График аннуитет.'!E33))</f>
        <v>406849.19999999995</v>
      </c>
      <c r="F34" s="34">
        <f>IF(malumot!$B$77=malumot!$C$77,'График дифференц'!F33,IF(malumot!$B$77=malumot!$D$77,'График аннуитет.'!F33))</f>
        <v>1156849.2</v>
      </c>
    </row>
    <row r="35" spans="1:6">
      <c r="A35" s="18">
        <f t="shared" si="0"/>
        <v>27</v>
      </c>
      <c r="B35" s="33">
        <f>IF('График аннуитет.'!B34=FALSE,"",'График аннуитет.'!B34)</f>
        <v>46545</v>
      </c>
      <c r="C35" s="34">
        <f>IF(malumot!$B$77=malumot!$C$77,'График дифференц'!C34,IF(malumot!$B$77=malumot!$D$77,'График аннуитет.'!C34))</f>
        <v>7500000</v>
      </c>
      <c r="D35" s="34">
        <f>IF(malumot!$B$77=malumot!$C$77,'График дифференц'!D34,IF(malumot!$B$77=malumot!$D$77,'График аннуитет.'!D34))</f>
        <v>750000</v>
      </c>
      <c r="E35" s="34">
        <f>IF(malumot!$B$77=malumot!$C$77,'График дифференц'!E34,IF(malumot!$B$77=malumot!$D$77,'График аннуитет.'!E34))</f>
        <v>406849.41000000003</v>
      </c>
      <c r="F35" s="34">
        <f>IF(malumot!$B$77=malumot!$C$77,'График дифференц'!F34,IF(malumot!$B$77=malumot!$D$77,'График аннуитет.'!F34))</f>
        <v>1156849.4100000001</v>
      </c>
    </row>
    <row r="36" spans="1:6">
      <c r="A36" s="18">
        <f t="shared" si="0"/>
        <v>28</v>
      </c>
      <c r="B36" s="33">
        <f>IF('График аннуитет.'!B35=FALSE,"",'График аннуитет.'!B35)</f>
        <v>46573</v>
      </c>
      <c r="C36" s="34">
        <f>IF(malumot!$B$77=malumot!$C$77,'График дифференц'!C35,IF(malumot!$B$77=malumot!$D$77,'График аннуитет.'!C35))</f>
        <v>6750000</v>
      </c>
      <c r="D36" s="34">
        <f>IF(malumot!$B$77=malumot!$C$77,'График дифференц'!D35,IF(malumot!$B$77=malumot!$D$77,'График аннуитет.'!D35))</f>
        <v>750000</v>
      </c>
      <c r="E36" s="34">
        <f>IF(malumot!$B$77=malumot!$C$77,'График дифференц'!E35,IF(malumot!$B$77=malumot!$D$77,'График аннуитет.'!E35))</f>
        <v>310684.92</v>
      </c>
      <c r="F36" s="34">
        <f>IF(malumot!$B$77=malumot!$C$77,'График дифференц'!F35,IF(malumot!$B$77=malumot!$D$77,'График аннуитет.'!F35))</f>
        <v>1060684.92</v>
      </c>
    </row>
    <row r="37" spans="1:6">
      <c r="A37" s="18">
        <f t="shared" si="0"/>
        <v>29</v>
      </c>
      <c r="B37" s="33">
        <f>IF('График аннуитет.'!B36=FALSE,"",'График аннуитет.'!B36)</f>
        <v>46604</v>
      </c>
      <c r="C37" s="34">
        <f>IF(malumot!$B$77=malumot!$C$77,'График дифференц'!C36,IF(malumot!$B$77=malumot!$D$77,'График аннуитет.'!C36))</f>
        <v>6000000</v>
      </c>
      <c r="D37" s="34">
        <f>IF(malumot!$B$77=malumot!$C$77,'График дифференц'!D36,IF(malumot!$B$77=malumot!$D$77,'График аннуитет.'!D36))</f>
        <v>750000</v>
      </c>
      <c r="E37" s="34">
        <f>IF(malumot!$B$77=malumot!$C$77,'График дифференц'!E36,IF(malumot!$B$77=malumot!$D$77,'График аннуитет.'!E36))</f>
        <v>305753.31</v>
      </c>
      <c r="F37" s="34">
        <f>IF(malumot!$B$77=malumot!$C$77,'График дифференц'!F36,IF(malumot!$B$77=malumot!$D$77,'График аннуитет.'!F36))</f>
        <v>1055753.31</v>
      </c>
    </row>
    <row r="38" spans="1:6">
      <c r="A38" s="18">
        <f t="shared" si="0"/>
        <v>30</v>
      </c>
      <c r="B38" s="33">
        <f>IF('График аннуитет.'!B37=FALSE,"",'График аннуитет.'!B37)</f>
        <v>46636</v>
      </c>
      <c r="C38" s="34">
        <f>IF(malumot!$B$77=malumot!$C$77,'График дифференц'!C37,IF(malumot!$B$77=malumot!$D$77,'График аннуитет.'!C37))</f>
        <v>5250000</v>
      </c>
      <c r="D38" s="34">
        <f>IF(malumot!$B$77=malumot!$C$77,'График дифференц'!D37,IF(malumot!$B$77=malumot!$D$77,'График аннуитет.'!D37))</f>
        <v>750000</v>
      </c>
      <c r="E38" s="34">
        <f>IF(malumot!$B$77=malumot!$C$77,'График дифференц'!E37,IF(malumot!$B$77=malumot!$D$77,'График аннуитет.'!E37))</f>
        <v>276164.47999999998</v>
      </c>
      <c r="F38" s="34">
        <f>IF(malumot!$B$77=malumot!$C$77,'График дифференц'!F37,IF(malumot!$B$77=malumot!$D$77,'График аннуитет.'!F37))</f>
        <v>1026164.48</v>
      </c>
    </row>
    <row r="39" spans="1:6">
      <c r="A39" s="18">
        <f t="shared" si="0"/>
        <v>31</v>
      </c>
      <c r="B39" s="33">
        <f>IF('График аннуитет.'!B38=FALSE,"",'График аннуитет.'!B38)</f>
        <v>46665</v>
      </c>
      <c r="C39" s="34">
        <f>IF(malumot!$B$77=malumot!$C$77,'График дифференц'!C38,IF(malumot!$B$77=malumot!$D$77,'График аннуитет.'!C38))</f>
        <v>4500000</v>
      </c>
      <c r="D39" s="34">
        <f>IF(malumot!$B$77=malumot!$C$77,'График дифференц'!D38,IF(malumot!$B$77=malumot!$D$77,'График аннуитет.'!D38))</f>
        <v>750000</v>
      </c>
      <c r="E39" s="34">
        <f>IF(malumot!$B$77=malumot!$C$77,'График дифференц'!E38,IF(malumot!$B$77=malumot!$D$77,'График аннуитет.'!E38))</f>
        <v>214520.54</v>
      </c>
      <c r="F39" s="34">
        <f>IF(malumot!$B$77=malumot!$C$77,'График дифференц'!F38,IF(malumot!$B$77=malumot!$D$77,'График аннуитет.'!F38))</f>
        <v>964520.54</v>
      </c>
    </row>
    <row r="40" spans="1:6">
      <c r="A40" s="18">
        <f t="shared" si="0"/>
        <v>32</v>
      </c>
      <c r="B40" s="33">
        <f>IF('График аннуитет.'!B39=FALSE,"",'График аннуитет.'!B39)</f>
        <v>46696</v>
      </c>
      <c r="C40" s="34">
        <f>IF(malumot!$B$77=malumot!$C$77,'График дифференц'!C39,IF(malumot!$B$77=malumot!$D$77,'График аннуитет.'!C39))</f>
        <v>3750000</v>
      </c>
      <c r="D40" s="34">
        <f>IF(malumot!$B$77=malumot!$C$77,'График дифференц'!D39,IF(malumot!$B$77=malumot!$D$77,'График аннуитет.'!D39))</f>
        <v>750000</v>
      </c>
      <c r="E40" s="34">
        <f>IF(malumot!$B$77=malumot!$C$77,'График дифференц'!E39,IF(malumot!$B$77=malumot!$D$77,'График аннуитет.'!E39))</f>
        <v>191095.78</v>
      </c>
      <c r="F40" s="34">
        <f>IF(malumot!$B$77=malumot!$C$77,'График дифференц'!F39,IF(malumot!$B$77=malumot!$D$77,'График аннуитет.'!F39))</f>
        <v>941095.78</v>
      </c>
    </row>
    <row r="41" spans="1:6">
      <c r="A41" s="18">
        <f t="shared" si="0"/>
        <v>33</v>
      </c>
      <c r="B41" s="33">
        <f>IF('График аннуитет.'!B40=FALSE,"",'График аннуитет.'!B40)</f>
        <v>46727</v>
      </c>
      <c r="C41" s="34">
        <f>IF(malumot!$B$77=malumot!$C$77,'График дифференц'!C40,IF(malumot!$B$77=malumot!$D$77,'График аннуитет.'!C40))</f>
        <v>3000000</v>
      </c>
      <c r="D41" s="34">
        <f>IF(malumot!$B$77=malumot!$C$77,'График дифференц'!D40,IF(malumot!$B$77=malumot!$D$77,'График аннуитет.'!D40))</f>
        <v>750000</v>
      </c>
      <c r="E41" s="34">
        <f>IF(malumot!$B$77=malumot!$C$77,'График дифференц'!E40,IF(malumot!$B$77=malumot!$D$77,'График аннуитет.'!E40))</f>
        <v>152876.81</v>
      </c>
      <c r="F41" s="34">
        <f>IF(malumot!$B$77=malumot!$C$77,'График дифференц'!F40,IF(malumot!$B$77=malumot!$D$77,'График аннуитет.'!F40))</f>
        <v>902876.81</v>
      </c>
    </row>
    <row r="42" spans="1:6">
      <c r="A42" s="18">
        <f t="shared" si="0"/>
        <v>34</v>
      </c>
      <c r="B42" s="33">
        <f>IF('График аннуитет.'!B41=FALSE,"",'График аннуитет.'!B41)</f>
        <v>46757</v>
      </c>
      <c r="C42" s="34">
        <f>IF(malumot!$B$77=malumot!$C$77,'График дифференц'!C41,IF(malumot!$B$77=malumot!$D$77,'График аннуитет.'!C41))</f>
        <v>2250000</v>
      </c>
      <c r="D42" s="34">
        <f>IF(malumot!$B$77=malumot!$C$77,'График дифференц'!D41,IF(malumot!$B$77=malumot!$D$77,'График аннуитет.'!D41))</f>
        <v>750000</v>
      </c>
      <c r="E42" s="34">
        <f>IF(malumot!$B$77=malumot!$C$77,'График дифференц'!E41,IF(malumot!$B$77=malumot!$D$77,'График аннуитет.'!E41))</f>
        <v>110655.6</v>
      </c>
      <c r="F42" s="34">
        <f>IF(malumot!$B$77=malumot!$C$77,'График дифференц'!F41,IF(malumot!$B$77=malumot!$D$77,'График аннуитет.'!F41))</f>
        <v>860655.6</v>
      </c>
    </row>
    <row r="43" spans="1:6" ht="13.5" customHeight="1">
      <c r="A43" s="18">
        <f t="shared" si="0"/>
        <v>35</v>
      </c>
      <c r="B43" s="33">
        <f>IF('График аннуитет.'!B42=FALSE,"",'График аннуитет.'!B42)</f>
        <v>46790</v>
      </c>
      <c r="C43" s="34">
        <f>IF(malumot!$B$77=malumot!$C$77,'График дифференц'!C42,IF(malumot!$B$77=malumot!$D$77,'График аннуитет.'!C42))</f>
        <v>1500000</v>
      </c>
      <c r="D43" s="34">
        <f>IF(malumot!$B$77=malumot!$C$77,'График дифференц'!D42,IF(malumot!$B$77=malumot!$D$77,'График аннуитет.'!D42))</f>
        <v>750000</v>
      </c>
      <c r="E43" s="34">
        <f>IF(malumot!$B$77=malumot!$C$77,'График дифференц'!E42,IF(malumot!$B$77=malumot!$D$77,'График аннуитет.'!E42))</f>
        <v>81147.66</v>
      </c>
      <c r="F43" s="34">
        <f>IF(malumot!$B$77=malumot!$C$77,'График дифференц'!F42,IF(malumot!$B$77=malumot!$D$77,'График аннуитет.'!F42))</f>
        <v>831147.66</v>
      </c>
    </row>
    <row r="44" spans="1:6" ht="15.75" customHeight="1">
      <c r="A44" s="18">
        <f>1+A43</f>
        <v>36</v>
      </c>
      <c r="B44" s="33">
        <f>IF('График аннуитет.'!B43=FALSE,"",'График аннуитет.'!B43)</f>
        <v>46823</v>
      </c>
      <c r="C44" s="34">
        <f>IF(malumot!$B$77=malumot!$C$77,'График дифференц'!C43,IF(malumot!$B$77=malumot!$D$77,'График аннуитет.'!C43))</f>
        <v>750000</v>
      </c>
      <c r="D44" s="34">
        <f>IF(malumot!$B$77=malumot!$C$77,'График дифференц'!D43,IF(malumot!$B$77=malumot!$D$77,'График аннуитет.'!D43))</f>
        <v>750000</v>
      </c>
      <c r="E44" s="34">
        <f>IF(malumot!$B$77=malumot!$C$77,'График дифференц'!E43,IF(malumot!$B$77=malumot!$D$77,'График аннуитет.'!E43))</f>
        <v>40573.83</v>
      </c>
      <c r="F44" s="34">
        <f>IF(malumot!$B$77=malumot!$C$77,'График дифференц'!F43,IF(malumot!$B$77=malumot!$D$77,'График аннуитет.'!F43))</f>
        <v>790573.83</v>
      </c>
    </row>
    <row r="45" spans="1:6" ht="15" customHeight="1">
      <c r="A45" s="46"/>
      <c r="B45" s="47" t="s">
        <v>209</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89" t="str">
        <f>"*"&amp;malumot!C64&amp;" bo‘yicha to‘lovlar to‘lov jadvalida ko‘rsatilmagan sanalarda to‘langan taqdirda, to‘lov summasi mikroqarz shartnomasining 2.2.-bandiga muvofiq "&amp;malumot!B65&amp;"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89"/>
      <c r="C47" s="289"/>
      <c r="D47" s="289"/>
      <c r="E47" s="289"/>
      <c r="F47" s="289"/>
    </row>
    <row r="48" spans="1:6" ht="7.5" customHeight="1"/>
    <row r="49" spans="1:6" ht="15" customHeight="1">
      <c r="A49" s="318" t="s">
        <v>271</v>
      </c>
      <c r="B49" s="318"/>
      <c r="C49" s="318"/>
      <c r="D49" s="318" t="s">
        <v>278</v>
      </c>
      <c r="E49" s="318"/>
      <c r="F49" s="318"/>
    </row>
    <row r="50" spans="1:6" ht="11.25" customHeight="1">
      <c r="A50" s="319"/>
      <c r="B50" s="319"/>
      <c r="C50" s="319"/>
      <c r="D50" s="319"/>
      <c r="E50" s="319"/>
      <c r="F50" s="319"/>
    </row>
    <row r="51" spans="1:6" ht="30" customHeight="1">
      <c r="A51" s="290" t="str">
        <f>shartnoma!A117</f>
        <v>«CLEVER MIKROMOLIYA TASHKILOTI» MChJ</v>
      </c>
      <c r="B51" s="290"/>
      <c r="C51" s="290"/>
      <c r="D51" s="290" t="str">
        <f>shartnoma!B117</f>
        <v>NUTFULLAYEV AKBARJON AXMEDOVICH</v>
      </c>
      <c r="E51" s="290"/>
      <c r="F51" s="290"/>
    </row>
    <row r="52" spans="1:6" ht="39" customHeight="1">
      <c r="A52" s="314" t="str">
        <f>shartnoma!A119</f>
        <v>Manzil: Toshkent shahri, Olmazor tumani, Sagbon ko'chasi, 30 boshi berk, 6-uy</v>
      </c>
      <c r="B52" s="314"/>
      <c r="C52" s="314"/>
      <c r="D52" s="314" t="str">
        <f>shartnoma!B119</f>
        <v>Manzil: BUXORO VILOYATI BUXORO SHAHAR TADBIRKOR KO'CHASI 12-UY</v>
      </c>
      <c r="E52" s="314"/>
      <c r="F52" s="314"/>
    </row>
    <row r="53" spans="1:6" ht="15" customHeight="1">
      <c r="A53" s="314" t="str">
        <f>shartnoma!A120</f>
        <v>h/r: №20216000705068380001</v>
      </c>
      <c r="B53" s="314"/>
      <c r="C53" s="314"/>
      <c r="D53" s="314" t="str">
        <f>shartnoma!B121</f>
        <v>Pasport: AA 9481167, BUXORO VILOYATI BUXORO SHAHAR IIB tomonidan 24.04.2015 yilda berilgan</v>
      </c>
      <c r="E53" s="314"/>
      <c r="F53" s="314"/>
    </row>
    <row r="54" spans="1:6" ht="32.25" customHeight="1">
      <c r="A54" s="314" t="str">
        <f>shartnoma!A121</f>
        <v>MFO: №01042 в ATB “Kapitalbank” Sergeli filiali</v>
      </c>
      <c r="B54" s="314"/>
      <c r="C54" s="314"/>
      <c r="D54" s="314"/>
      <c r="E54" s="314"/>
      <c r="F54" s="314"/>
    </row>
    <row r="55" spans="1:6" ht="15" customHeight="1">
      <c r="A55" s="314" t="str">
        <f>shartnoma!A122</f>
        <v>STIR: 306365847</v>
      </c>
      <c r="B55" s="314"/>
      <c r="C55" s="314"/>
      <c r="D55" s="314" t="str">
        <f>shartnoma!B122</f>
        <v>Tel: 91 408 76 67  UZI</v>
      </c>
      <c r="E55" s="314"/>
      <c r="F55" s="314"/>
    </row>
    <row r="56" spans="1:6" ht="15" customHeight="1">
      <c r="A56" s="314" t="str">
        <f>shartnoma!A123</f>
        <v>Tel: (78) 113 31 33</v>
      </c>
      <c r="B56" s="314"/>
      <c r="C56" s="314"/>
      <c r="D56" s="314" t="str">
        <f>shartnoma!B123</f>
        <v>88 305 76 67 AYOLI</v>
      </c>
      <c r="E56" s="314"/>
      <c r="F56" s="314"/>
    </row>
    <row r="57" spans="1:6" ht="15" customHeight="1">
      <c r="A57" s="314" t="str">
        <f>shartnoma!A124</f>
        <v>(78) 113 31 34</v>
      </c>
      <c r="B57" s="314"/>
      <c r="C57" s="314"/>
      <c r="D57" s="314" t="str">
        <f>shartnoma!B124</f>
        <v>88 870 76 67 AKASI</v>
      </c>
      <c r="E57" s="314"/>
      <c r="F57" s="314"/>
    </row>
    <row r="58" spans="1:6" ht="23.25" customHeight="1">
      <c r="A58" s="314"/>
      <c r="B58" s="314"/>
      <c r="C58" s="314"/>
      <c r="D58" s="314" t="str">
        <f>IF(shartnoma!B125=0,"",shartnoma!B125)</f>
        <v/>
      </c>
      <c r="E58" s="314"/>
      <c r="F58" s="314"/>
    </row>
    <row r="59" spans="1:6" ht="29.25" customHeight="1">
      <c r="A59" s="267"/>
      <c r="B59" s="333" t="str">
        <f>malumot!A156</f>
        <v>Olmaliq filiali boshlig'i</v>
      </c>
      <c r="C59" s="333"/>
      <c r="D59" s="290" t="str">
        <f>shartnoma!B127</f>
        <v>A.A.NUTFULLAYEV     __________________</v>
      </c>
      <c r="E59" s="290"/>
      <c r="F59" s="290"/>
    </row>
    <row r="60" spans="1:6" ht="15" customHeight="1">
      <c r="A60" s="267"/>
      <c r="B60" s="333" t="str">
        <f>malumot!B156</f>
        <v>V. Yerjanov</v>
      </c>
      <c r="C60" s="333"/>
      <c r="D60" s="290"/>
      <c r="E60" s="290"/>
      <c r="F60" s="290"/>
    </row>
    <row r="61" spans="1:6" ht="15.75">
      <c r="A61" s="266"/>
      <c r="B61" s="266"/>
      <c r="C61" s="266"/>
      <c r="D61" s="290"/>
      <c r="E61" s="290"/>
      <c r="F61" s="290"/>
    </row>
    <row r="62" spans="1:6">
      <c r="A62" s="314"/>
      <c r="B62" s="314"/>
      <c r="C62" s="314"/>
      <c r="D62" s="314"/>
      <c r="E62" s="314"/>
      <c r="F62" s="314"/>
    </row>
    <row r="63" spans="1:6">
      <c r="A63" s="315"/>
      <c r="B63" s="315"/>
      <c r="C63" s="315"/>
      <c r="D63" s="316"/>
      <c r="E63" s="316"/>
      <c r="F63" s="316"/>
    </row>
    <row r="64" spans="1:6">
      <c r="A64" s="317"/>
      <c r="B64" s="317"/>
      <c r="C64" s="317"/>
      <c r="D64" s="317"/>
      <c r="E64" s="317"/>
      <c r="F64" s="317"/>
    </row>
    <row r="65" spans="1:6">
      <c r="A65" s="313"/>
      <c r="B65" s="313"/>
      <c r="C65" s="313"/>
      <c r="D65" s="313"/>
      <c r="E65" s="313"/>
      <c r="F65" s="313"/>
    </row>
  </sheetData>
  <mergeCells count="41">
    <mergeCell ref="E2:F2"/>
    <mergeCell ref="A5:F5"/>
    <mergeCell ref="A7:A8"/>
    <mergeCell ref="B7:B8"/>
    <mergeCell ref="C7:C8"/>
    <mergeCell ref="D7:F7"/>
    <mergeCell ref="E3:F3"/>
    <mergeCell ref="A51:C51"/>
    <mergeCell ref="D51:F51"/>
    <mergeCell ref="A52:C52"/>
    <mergeCell ref="D52:F52"/>
    <mergeCell ref="A53:C53"/>
    <mergeCell ref="D53:F54"/>
    <mergeCell ref="A54:C54"/>
    <mergeCell ref="A47:F47"/>
    <mergeCell ref="A49:C49"/>
    <mergeCell ref="D49:F49"/>
    <mergeCell ref="A50:C50"/>
    <mergeCell ref="D50:F50"/>
    <mergeCell ref="A57:C57"/>
    <mergeCell ref="D57:F57"/>
    <mergeCell ref="A58:C58"/>
    <mergeCell ref="D58:F58"/>
    <mergeCell ref="A55:C55"/>
    <mergeCell ref="D55:F55"/>
    <mergeCell ref="B59:C59"/>
    <mergeCell ref="B60:C60"/>
    <mergeCell ref="H12:P24"/>
    <mergeCell ref="A65:C65"/>
    <mergeCell ref="D65:F65"/>
    <mergeCell ref="A62:C62"/>
    <mergeCell ref="D62:F62"/>
    <mergeCell ref="A63:C63"/>
    <mergeCell ref="D63:F63"/>
    <mergeCell ref="A64:C64"/>
    <mergeCell ref="D64:F64"/>
    <mergeCell ref="D59:F59"/>
    <mergeCell ref="D60:F60"/>
    <mergeCell ref="D61:F61"/>
    <mergeCell ref="A56:C56"/>
    <mergeCell ref="D56:F56"/>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1"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8F31A-BF63-4538-AF8C-AA4C4EADFD20}">
  <sheetPr>
    <tabColor rgb="FF00B050"/>
  </sheetPr>
  <dimension ref="A1:D54"/>
  <sheetViews>
    <sheetView tabSelected="1" view="pageBreakPreview" zoomScaleSheetLayoutView="100" workbookViewId="0">
      <selection activeCell="D16" sqref="D16"/>
    </sheetView>
  </sheetViews>
  <sheetFormatPr defaultColWidth="9.140625" defaultRowHeight="15.75"/>
  <cols>
    <col min="1" max="1" width="20.140625" style="6" customWidth="1"/>
    <col min="2" max="2" width="18.7109375" style="6" customWidth="1"/>
    <col min="3" max="3" width="18.42578125" style="6" customWidth="1"/>
    <col min="4" max="4" width="28.7109375" style="6" customWidth="1"/>
    <col min="5" max="16384" width="9.140625" style="6"/>
  </cols>
  <sheetData>
    <row r="1" spans="1:4" ht="36.75" customHeight="1">
      <c r="C1" s="337" t="str">
        <f>malumot!B153&amp;" Ijrochi direktori"</f>
        <v>«CLEVER MIKROMOLIYA TASHKILOTI» MChJ Ijrochi direktori</v>
      </c>
      <c r="D1" s="337"/>
    </row>
    <row r="2" spans="1:4">
      <c r="C2" s="339" t="s">
        <v>428</v>
      </c>
      <c r="D2" s="339"/>
    </row>
    <row r="3" spans="1:4">
      <c r="C3" s="13"/>
      <c r="D3" s="14"/>
    </row>
    <row r="4" spans="1:4" ht="43.5" customHeight="1">
      <c r="C4" s="338" t="str">
        <f>malumot!B22&amp;" manzilida istiqomat qiluvchi"</f>
        <v>BUXORO VILOYATI BUXORO SHAHAR TADBIRKOR KO'CHASI 12-UY manzilida istiqomat qiluvchi</v>
      </c>
      <c r="D4" s="338"/>
    </row>
    <row r="5" spans="1:4" ht="36" customHeight="1">
      <c r="C5" s="338" t="str">
        <f>malumot!B5&amp;" tomonidan"</f>
        <v>NUTFULLAYEV AKBARJON AXMEDOVICH tomonidan</v>
      </c>
      <c r="D5" s="338"/>
    </row>
    <row r="6" spans="1:4" ht="51" customHeight="1">
      <c r="C6" s="275" t="str">
        <f>"Pasport: "&amp;malumot!B16&amp;", "&amp;malumot!B20</f>
        <v>Pasport: AA 9481167, BUXORO VILOYATI BUXORO SHAHAR IIB tomonidan 24.04.2015 yilda berilgan</v>
      </c>
      <c r="D6" s="275"/>
    </row>
    <row r="7" spans="1:4">
      <c r="C7" s="13"/>
      <c r="D7" s="14"/>
    </row>
    <row r="8" spans="1:4">
      <c r="A8" s="285" t="s">
        <v>429</v>
      </c>
      <c r="B8" s="285"/>
      <c r="C8" s="285"/>
      <c r="D8" s="285"/>
    </row>
    <row r="9" spans="1:4" ht="67.5" customHeight="1">
      <c r="A9" s="341" t="str">
        <f>"       Men, " &amp; malumot!B5 &amp; " sizdan " &amp; malumot!B2 &amp; " yildagi " &amp; malumot!B1 &amp; "-sonli kredit shartnomasiga asosan " &amp; malumot!B75  &amp; "(" &amp; malumot!B76 &amp; ")"  &amp; "so'm pul mablag'larini quyidagi rekvizitlar asosida o'tkazib berishingizni so'rayman: "</f>
        <v xml:space="preserve">       Men, NUTFULLAYEV AKBARJON AXMEDOVICH sizdan 11.03.2025 yildagi № 23-AL-sonli kredit shartnomasiga asosan 27000000(yigirma yetti million so'm)so'm pul mablag'larini quyidagi rekvizitlar asosida o'tkazib berishingizni so'rayman: </v>
      </c>
      <c r="B9" s="341"/>
      <c r="C9" s="341"/>
      <c r="D9" s="341"/>
    </row>
    <row r="10" spans="1:4">
      <c r="A10" s="250" t="str">
        <f>malumot!A92</f>
        <v>Bank nomi:</v>
      </c>
      <c r="B10" s="340" t="str">
        <f>malumot!B92</f>
        <v>«Asaka bank» AJ</v>
      </c>
      <c r="C10" s="340"/>
      <c r="D10" s="251"/>
    </row>
    <row r="11" spans="1:4">
      <c r="A11" s="250" t="str">
        <f>malumot!A93</f>
        <v>H/r:</v>
      </c>
      <c r="B11" s="340" t="str">
        <f>malumot!B93</f>
        <v xml:space="preserve">2312 0000 7000 1200 0000 </v>
      </c>
      <c r="C11" s="340"/>
      <c r="D11" s="251"/>
    </row>
    <row r="12" spans="1:4">
      <c r="A12" s="250" t="str">
        <f>malumot!A94</f>
        <v>MFO:</v>
      </c>
      <c r="B12" s="340" t="str">
        <f>malumot!B94</f>
        <v xml:space="preserve">00873 </v>
      </c>
      <c r="C12" s="340"/>
      <c r="D12" s="163"/>
    </row>
    <row r="13" spans="1:4">
      <c r="A13" s="250" t="str">
        <f>malumot!A95</f>
        <v>STIR:</v>
      </c>
      <c r="B13" s="340" t="str">
        <f>malumot!B95</f>
        <v>201589828</v>
      </c>
      <c r="C13" s="340"/>
      <c r="D13" s="163"/>
    </row>
    <row r="14" spans="1:4">
      <c r="A14" s="250" t="str">
        <f>malumot!A96</f>
        <v>Karta raqami:</v>
      </c>
      <c r="B14" s="340" t="str">
        <f>malumot!B96</f>
        <v>8600 1309 0209 3006</v>
      </c>
      <c r="C14" s="340"/>
      <c r="D14" s="163"/>
    </row>
    <row r="15" spans="1:4">
      <c r="A15" s="336"/>
      <c r="B15" s="336"/>
      <c r="C15" s="336"/>
      <c r="D15" s="336"/>
    </row>
    <row r="16" spans="1:4" ht="15.75" customHeight="1">
      <c r="A16" s="338" t="str">
        <f>malumot!B5</f>
        <v>NUTFULLAYEV AKBARJON AXMEDOVICH</v>
      </c>
      <c r="B16" s="338"/>
      <c r="C16" s="338"/>
      <c r="D16" s="252" t="s">
        <v>443</v>
      </c>
    </row>
    <row r="17" spans="1:4">
      <c r="A17" s="253"/>
      <c r="B17" s="253"/>
      <c r="D17" s="254" t="s">
        <v>330</v>
      </c>
    </row>
    <row r="18" spans="1:4">
      <c r="A18" s="336"/>
      <c r="B18" s="336"/>
      <c r="C18" s="336"/>
      <c r="D18" s="336"/>
    </row>
    <row r="19" spans="1:4">
      <c r="A19" s="336"/>
      <c r="B19" s="336"/>
      <c r="C19" s="336"/>
      <c r="D19" s="336"/>
    </row>
    <row r="20" spans="1:4">
      <c r="A20" s="336"/>
      <c r="B20" s="336"/>
      <c r="C20" s="336"/>
      <c r="D20" s="336"/>
    </row>
    <row r="21" spans="1:4">
      <c r="A21" s="336"/>
      <c r="B21" s="336"/>
      <c r="C21" s="336"/>
      <c r="D21" s="336"/>
    </row>
    <row r="22" spans="1:4">
      <c r="A22" s="336"/>
      <c r="B22" s="336"/>
      <c r="C22" s="336"/>
      <c r="D22" s="336"/>
    </row>
    <row r="23" spans="1:4">
      <c r="A23" s="336"/>
      <c r="B23" s="336"/>
      <c r="C23" s="336"/>
      <c r="D23" s="336"/>
    </row>
    <row r="24" spans="1:4">
      <c r="A24" s="336"/>
      <c r="B24" s="336"/>
      <c r="C24" s="336"/>
      <c r="D24" s="336"/>
    </row>
    <row r="25" spans="1:4">
      <c r="A25" s="336"/>
      <c r="B25" s="336"/>
      <c r="C25" s="336"/>
      <c r="D25" s="336"/>
    </row>
    <row r="26" spans="1:4">
      <c r="A26" s="336"/>
      <c r="B26" s="336"/>
      <c r="C26" s="336"/>
      <c r="D26" s="336"/>
    </row>
    <row r="27" spans="1:4">
      <c r="A27" s="336"/>
      <c r="B27" s="336"/>
      <c r="C27" s="336"/>
      <c r="D27" s="336"/>
    </row>
    <row r="28" spans="1:4">
      <c r="A28" s="336"/>
      <c r="B28" s="336"/>
      <c r="C28" s="336"/>
      <c r="D28" s="336"/>
    </row>
    <row r="29" spans="1:4">
      <c r="A29" s="336"/>
      <c r="B29" s="336"/>
      <c r="C29" s="336"/>
      <c r="D29" s="336"/>
    </row>
    <row r="30" spans="1:4">
      <c r="A30" s="336"/>
      <c r="B30" s="336"/>
      <c r="C30" s="336"/>
      <c r="D30" s="336"/>
    </row>
    <row r="31" spans="1:4">
      <c r="A31" s="336"/>
      <c r="B31" s="336"/>
      <c r="C31" s="336"/>
      <c r="D31" s="336"/>
    </row>
    <row r="32" spans="1:4">
      <c r="A32" s="336"/>
      <c r="B32" s="336"/>
      <c r="C32" s="336"/>
      <c r="D32" s="336"/>
    </row>
    <row r="33" spans="1:4">
      <c r="A33" s="336"/>
      <c r="B33" s="336"/>
      <c r="C33" s="336"/>
      <c r="D33" s="336"/>
    </row>
    <row r="34" spans="1:4">
      <c r="A34" s="336"/>
      <c r="B34" s="336"/>
      <c r="C34" s="336"/>
      <c r="D34" s="336"/>
    </row>
    <row r="35" spans="1:4">
      <c r="A35" s="336"/>
      <c r="B35" s="336"/>
      <c r="C35" s="336"/>
      <c r="D35" s="336"/>
    </row>
    <row r="36" spans="1:4">
      <c r="A36" s="336"/>
      <c r="B36" s="336"/>
      <c r="C36" s="336"/>
      <c r="D36" s="336"/>
    </row>
    <row r="37" spans="1:4">
      <c r="A37" s="336"/>
      <c r="B37" s="336"/>
      <c r="C37" s="336"/>
      <c r="D37" s="336"/>
    </row>
    <row r="38" spans="1:4">
      <c r="A38" s="336"/>
      <c r="B38" s="336"/>
      <c r="C38" s="336"/>
      <c r="D38" s="336"/>
    </row>
    <row r="39" spans="1:4">
      <c r="A39" s="336"/>
      <c r="B39" s="336"/>
      <c r="C39" s="336"/>
      <c r="D39" s="336"/>
    </row>
    <row r="40" spans="1:4">
      <c r="A40" s="336"/>
      <c r="B40" s="336"/>
      <c r="C40" s="336"/>
      <c r="D40" s="336"/>
    </row>
    <row r="41" spans="1:4">
      <c r="A41" s="336"/>
      <c r="B41" s="336"/>
      <c r="C41" s="336"/>
      <c r="D41" s="336"/>
    </row>
    <row r="42" spans="1:4">
      <c r="A42" s="336"/>
      <c r="B42" s="336"/>
      <c r="C42" s="336"/>
      <c r="D42" s="336"/>
    </row>
    <row r="43" spans="1:4">
      <c r="A43" s="336"/>
      <c r="B43" s="336"/>
      <c r="C43" s="336"/>
      <c r="D43" s="336"/>
    </row>
    <row r="44" spans="1:4">
      <c r="A44" s="336"/>
      <c r="B44" s="336"/>
      <c r="C44" s="336"/>
      <c r="D44" s="336"/>
    </row>
    <row r="45" spans="1:4">
      <c r="A45" s="336"/>
      <c r="B45" s="336"/>
      <c r="C45" s="336"/>
      <c r="D45" s="336"/>
    </row>
    <row r="46" spans="1:4">
      <c r="A46" s="336"/>
      <c r="B46" s="336"/>
      <c r="C46" s="336"/>
      <c r="D46" s="336"/>
    </row>
    <row r="47" spans="1:4">
      <c r="A47" s="336"/>
      <c r="B47" s="336"/>
      <c r="C47" s="336"/>
      <c r="D47" s="336"/>
    </row>
    <row r="48" spans="1:4">
      <c r="A48" s="336"/>
      <c r="B48" s="336"/>
      <c r="C48" s="336"/>
      <c r="D48" s="336"/>
    </row>
    <row r="49" spans="1:4">
      <c r="A49" s="336"/>
      <c r="B49" s="336"/>
      <c r="C49" s="336"/>
      <c r="D49" s="336"/>
    </row>
    <row r="50" spans="1:4">
      <c r="A50" s="336"/>
      <c r="B50" s="336"/>
      <c r="C50" s="336"/>
      <c r="D50" s="336"/>
    </row>
    <row r="51" spans="1:4">
      <c r="A51" s="336"/>
      <c r="B51" s="336"/>
      <c r="C51" s="336"/>
      <c r="D51" s="336"/>
    </row>
    <row r="52" spans="1:4">
      <c r="A52" s="336"/>
      <c r="B52" s="336"/>
      <c r="C52" s="336"/>
      <c r="D52" s="336"/>
    </row>
    <row r="53" spans="1:4">
      <c r="A53" s="336"/>
      <c r="B53" s="336"/>
      <c r="C53" s="336"/>
      <c r="D53" s="336"/>
    </row>
    <row r="54" spans="1:4">
      <c r="A54" s="336"/>
      <c r="B54" s="336"/>
      <c r="C54" s="336"/>
      <c r="D54" s="336"/>
    </row>
  </sheetData>
  <mergeCells count="51">
    <mergeCell ref="A53:D53"/>
    <mergeCell ref="A54:D54"/>
    <mergeCell ref="C4:D4"/>
    <mergeCell ref="C6:D6"/>
    <mergeCell ref="C5:D5"/>
    <mergeCell ref="A8:D8"/>
    <mergeCell ref="A47:D47"/>
    <mergeCell ref="A48:D48"/>
    <mergeCell ref="A49:D49"/>
    <mergeCell ref="A50:D50"/>
    <mergeCell ref="A51:D51"/>
    <mergeCell ref="A52:D52"/>
    <mergeCell ref="A41:D41"/>
    <mergeCell ref="A42:D42"/>
    <mergeCell ref="A43:D43"/>
    <mergeCell ref="A44:D44"/>
    <mergeCell ref="A45:D45"/>
    <mergeCell ref="A46:D46"/>
    <mergeCell ref="A35:D35"/>
    <mergeCell ref="A36:D36"/>
    <mergeCell ref="A37:D37"/>
    <mergeCell ref="A38:D38"/>
    <mergeCell ref="A39:D39"/>
    <mergeCell ref="A40:D40"/>
    <mergeCell ref="A34:D34"/>
    <mergeCell ref="A23:D23"/>
    <mergeCell ref="A24:D24"/>
    <mergeCell ref="A25:D25"/>
    <mergeCell ref="A26:D26"/>
    <mergeCell ref="A27:D27"/>
    <mergeCell ref="A28:D28"/>
    <mergeCell ref="A29:D29"/>
    <mergeCell ref="A30:D30"/>
    <mergeCell ref="A31:D31"/>
    <mergeCell ref="A32:D32"/>
    <mergeCell ref="A33:D33"/>
    <mergeCell ref="A22:D22"/>
    <mergeCell ref="A15:D15"/>
    <mergeCell ref="C1:D1"/>
    <mergeCell ref="A16:C16"/>
    <mergeCell ref="A18:D18"/>
    <mergeCell ref="A19:D19"/>
    <mergeCell ref="A20:D20"/>
    <mergeCell ref="A21:D21"/>
    <mergeCell ref="C2:D2"/>
    <mergeCell ref="B10:C10"/>
    <mergeCell ref="B11:C11"/>
    <mergeCell ref="B12:C12"/>
    <mergeCell ref="B13:C13"/>
    <mergeCell ref="B14:C14"/>
    <mergeCell ref="A9:D9"/>
  </mergeCells>
  <pageMargins left="0.7" right="0.7" top="0.75" bottom="0.75" header="0.3" footer="0.3"/>
  <pageSetup paperSize="9" scale="8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16" zoomScaleSheetLayoutView="100" workbookViewId="0">
      <selection activeCell="G41" sqref="G41"/>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53" t="str">
        <f>malumot!B154</f>
        <v>«CLEVER MIKROMOLIYA TASHKILOTI» MChJ</v>
      </c>
      <c r="C2" s="354"/>
      <c r="D2" s="354"/>
      <c r="E2" s="354"/>
      <c r="F2" s="355"/>
      <c r="G2" s="41"/>
    </row>
    <row r="3" spans="2:7">
      <c r="B3" s="345"/>
      <c r="C3" s="317"/>
      <c r="D3" s="317"/>
      <c r="E3" s="317"/>
      <c r="F3" s="346"/>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45" t="s">
        <v>27</v>
      </c>
      <c r="C10" s="317"/>
      <c r="D10" s="317"/>
      <c r="E10" s="317"/>
      <c r="F10" s="346"/>
      <c r="G10" s="42"/>
    </row>
    <row r="11" spans="2:7">
      <c r="B11" s="345" t="s">
        <v>27</v>
      </c>
      <c r="C11" s="317"/>
      <c r="D11" s="317"/>
      <c r="E11" s="317"/>
      <c r="F11" s="346"/>
      <c r="G11" s="42"/>
    </row>
    <row r="12" spans="2:7" ht="135" customHeight="1">
      <c r="B12" s="356" t="str">
        <f>malumot!B5</f>
        <v>NUTFULLAYEV AKBARJON AXMEDOVICH</v>
      </c>
      <c r="C12" s="357"/>
      <c r="D12" s="357"/>
      <c r="E12" s="357"/>
      <c r="F12" s="358"/>
      <c r="G12" s="43"/>
    </row>
    <row r="13" spans="2:7">
      <c r="B13" s="345"/>
      <c r="C13" s="317"/>
      <c r="D13" s="317"/>
      <c r="E13" s="317"/>
      <c r="F13" s="346"/>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45"/>
      <c r="C18" s="317"/>
      <c r="D18" s="317"/>
      <c r="E18" s="317"/>
      <c r="F18" s="346"/>
      <c r="G18" s="42"/>
    </row>
    <row r="19" spans="2:7" ht="20.25">
      <c r="B19" s="350" t="str">
        <f>""&amp;malumot!C64&amp;" shartnoma "&amp;malumot!B74&amp;""</f>
        <v>Mikroqarz shartnoma 11 mart 2025 y.dan № 23-AL</v>
      </c>
      <c r="C19" s="351"/>
      <c r="D19" s="351"/>
      <c r="E19" s="351"/>
      <c r="F19" s="352"/>
      <c r="G19" s="42"/>
    </row>
    <row r="20" spans="2:7">
      <c r="B20" s="345"/>
      <c r="C20" s="317"/>
      <c r="D20" s="317"/>
      <c r="E20" s="317"/>
      <c r="F20" s="346"/>
      <c r="G20" s="42"/>
    </row>
    <row r="21" spans="2:7">
      <c r="B21" s="345"/>
      <c r="C21" s="317"/>
      <c r="D21" s="317"/>
      <c r="E21" s="317"/>
      <c r="F21" s="346"/>
      <c r="G21" s="42"/>
    </row>
    <row r="22" spans="2:7">
      <c r="B22" s="345"/>
      <c r="C22" s="317"/>
      <c r="D22" s="317"/>
      <c r="E22" s="317"/>
      <c r="F22" s="346"/>
      <c r="G22" s="42"/>
    </row>
    <row r="23" spans="2:7">
      <c r="B23" s="345"/>
      <c r="C23" s="317"/>
      <c r="D23" s="317"/>
      <c r="E23" s="317"/>
      <c r="F23" s="346"/>
      <c r="G23" s="42"/>
    </row>
    <row r="24" spans="2:7">
      <c r="B24" s="347" t="str">
        <f>" Foiz stavkasi: "&amp;malumot!B85&amp;"%"</f>
        <v xml:space="preserve"> Foiz stavkasi: 60%</v>
      </c>
      <c r="C24" s="348"/>
      <c r="D24" s="348"/>
      <c r="E24" s="348"/>
      <c r="F24" s="349"/>
      <c r="G24" s="42"/>
    </row>
    <row r="25" spans="2:7" ht="15" customHeight="1">
      <c r="B25" s="347" t="str">
        <f>" "&amp;malumot!C64&amp;" muddati: "&amp;malumot!B81&amp;" oy"</f>
        <v xml:space="preserve"> Mikroqarz muddati: 36 oy</v>
      </c>
      <c r="C25" s="348"/>
      <c r="D25" s="348"/>
      <c r="E25" s="348"/>
      <c r="F25" s="349"/>
      <c r="G25" s="42"/>
    </row>
    <row r="26" spans="2:7">
      <c r="B26" s="347" t="str">
        <f>" "&amp;malumot!C64&amp;" miqdori: "&amp;FIXED(malumot!B75,2)&amp;" so'm"</f>
        <v xml:space="preserve"> Mikroqarz miqdori: 27 000 000,00 so'm</v>
      </c>
      <c r="C26" s="348"/>
      <c r="D26" s="348"/>
      <c r="E26" s="348"/>
      <c r="F26" s="349"/>
      <c r="G26" s="42"/>
    </row>
    <row r="27" spans="2:7">
      <c r="B27" s="345"/>
      <c r="C27" s="317"/>
      <c r="D27" s="317"/>
      <c r="E27" s="317"/>
      <c r="F27" s="346"/>
      <c r="G27" s="42"/>
    </row>
    <row r="28" spans="2:7" hidden="1">
      <c r="G28" s="42"/>
    </row>
    <row r="29" spans="2:7">
      <c r="B29" s="345"/>
      <c r="C29" s="317"/>
      <c r="D29" s="317"/>
      <c r="E29" s="317"/>
      <c r="F29" s="346"/>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42" t="str">
        <f>"Toshkent sh., "&amp;malumot!B70&amp;""</f>
        <v>Toshkent sh., 11 mart 2025 y.</v>
      </c>
      <c r="C40" s="343"/>
      <c r="D40" s="343"/>
      <c r="E40" s="343"/>
      <c r="F40" s="344"/>
      <c r="G40" s="42"/>
    </row>
    <row r="41" spans="2:7">
      <c r="B41" s="317"/>
      <c r="C41" s="317"/>
      <c r="D41" s="317"/>
      <c r="E41" s="317"/>
      <c r="F41" s="317"/>
      <c r="G41" s="42"/>
    </row>
    <row r="42" spans="2:7">
      <c r="B42" s="317"/>
      <c r="C42" s="317"/>
      <c r="D42" s="317"/>
      <c r="E42" s="317"/>
      <c r="F42" s="317"/>
      <c r="G42" s="42"/>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1"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360" t="s">
        <v>217</v>
      </c>
      <c r="B1" s="360"/>
      <c r="C1" s="360"/>
      <c r="D1" s="360"/>
      <c r="E1" s="360"/>
      <c r="F1" s="360"/>
    </row>
    <row r="2" spans="1:6" ht="35.25" customHeight="1">
      <c r="A2" s="361" t="s">
        <v>325</v>
      </c>
      <c r="B2" s="361"/>
      <c r="C2" s="361"/>
      <c r="D2" s="361"/>
      <c r="E2" s="361"/>
      <c r="F2" s="361"/>
    </row>
    <row r="3" spans="1:6">
      <c r="A3" s="360" t="s">
        <v>218</v>
      </c>
      <c r="B3" s="360"/>
      <c r="C3" s="360"/>
      <c r="D3" s="360"/>
      <c r="E3" s="360"/>
      <c r="F3" s="360"/>
    </row>
    <row r="4" spans="1:6">
      <c r="A4" s="359" t="str">
        <f>xulosa!A4:E4</f>
        <v>Mijozning to'liq ismi sharifi: NUTFULLAYEV AKBARJON AXMEDOVICH</v>
      </c>
      <c r="B4" s="359"/>
      <c r="C4" s="359"/>
      <c r="D4" s="359"/>
      <c r="E4" s="359"/>
      <c r="F4" s="359"/>
    </row>
    <row r="5" spans="1:6">
      <c r="A5" s="359" t="str">
        <f>xulosa!A5:E5</f>
        <v>Tug'ilgan sanasi: 14.09.1989 y</v>
      </c>
      <c r="B5" s="359"/>
      <c r="C5" s="359"/>
      <c r="D5" s="359"/>
      <c r="E5" s="359"/>
      <c r="F5" s="359"/>
    </row>
    <row r="6" spans="1:6" ht="32.25" customHeight="1">
      <c r="A6" s="359" t="str">
        <f>xulosa!A6:E6</f>
        <v>Pasport seriyasi AA 9481167 BUXORO VILOYATI BUXORO SHAHAR IIB tomonidan 24.04.2015 yilda berilgan, amal qilish muddati - 23.04.2025 y.</v>
      </c>
      <c r="B6" s="359"/>
      <c r="C6" s="359"/>
      <c r="D6" s="359"/>
      <c r="E6" s="359"/>
      <c r="F6" s="359"/>
    </row>
    <row r="7" spans="1:6">
      <c r="A7" s="359" t="str">
        <f>"Fuqaroligi: "&amp;malumot!B32&amp;""</f>
        <v>Fuqaroligi: O’zbekiston Respublikasi</v>
      </c>
      <c r="B7" s="359"/>
      <c r="C7" s="359"/>
      <c r="D7" s="359"/>
      <c r="E7" s="359"/>
      <c r="F7" s="359"/>
    </row>
    <row r="8" spans="1:6" ht="26.25" customHeight="1">
      <c r="A8" s="359" t="str">
        <f>xulosa!A7:E7</f>
        <v>Ro‘yxatdan o‘tgan manzili: BUXORO VILOYATI BUXORO SHAHAR TADBIRKOR KO'CHASI 12-UY, mo'ljal: GOR VODAKANAL</v>
      </c>
      <c r="B8" s="359"/>
      <c r="C8" s="359"/>
      <c r="D8" s="359"/>
      <c r="E8" s="359"/>
      <c r="F8" s="359"/>
    </row>
    <row r="9" spans="1:6">
      <c r="A9" s="359" t="str">
        <f>IF(malumot!B23="mos keladi"," ",mijoz_anketasi!A10:F10)</f>
        <v xml:space="preserve"> </v>
      </c>
      <c r="B9" s="359"/>
      <c r="C9" s="359"/>
      <c r="D9" s="359"/>
      <c r="E9" s="359"/>
      <c r="F9" s="359"/>
    </row>
    <row r="10" spans="1:6" ht="31.5" hidden="1" customHeight="1">
      <c r="A10" s="359" t="str">
        <f>"Haqiqatdan yashash joy manzili: "&amp;malumot!B28&amp;""</f>
        <v>Haqiqatdan yashash joy manzili: BUXORO VILOYATI BUXORO SHAHAR TADBIRKOR KO'CHASI 12-UY</v>
      </c>
      <c r="B10" s="359"/>
      <c r="C10" s="359"/>
      <c r="D10" s="359"/>
      <c r="E10" s="359"/>
      <c r="F10" s="359"/>
    </row>
    <row r="11" spans="1:6" ht="16.5" hidden="1" customHeight="1">
      <c r="A11" s="359" t="str">
        <f>xulosa!A8:E8</f>
        <v>Ish joyi:  lavozimi Yakka tartibdagi tadbirkorda Yakka tartibdagi tadbirkor</v>
      </c>
      <c r="B11" s="359"/>
      <c r="C11" s="359"/>
      <c r="D11" s="359"/>
      <c r="E11" s="359"/>
      <c r="F11" s="359"/>
    </row>
    <row r="12" spans="1:6">
      <c r="A12" s="360" t="s">
        <v>219</v>
      </c>
      <c r="B12" s="360"/>
      <c r="C12" s="360"/>
      <c r="D12" s="360"/>
      <c r="E12" s="360"/>
      <c r="F12" s="360"/>
    </row>
    <row r="13" spans="1:6">
      <c r="A13" s="359" t="str">
        <f>"Uy telefoni raqami: "&amp;malumot!B40&amp;""</f>
        <v>Uy telefoni raqami: 91 408 76 67  UZI</v>
      </c>
      <c r="B13" s="359"/>
      <c r="C13" s="359"/>
      <c r="D13" s="359"/>
      <c r="E13" s="359"/>
      <c r="F13" s="359"/>
    </row>
    <row r="14" spans="1:6">
      <c r="A14" s="359" t="str">
        <f>"Uyali telefon raqami: "&amp;malumot!B41&amp;""</f>
        <v>Uyali telefon raqami: 88 305 76 67 AYOLI</v>
      </c>
      <c r="B14" s="359"/>
      <c r="C14" s="359"/>
      <c r="D14" s="359"/>
      <c r="E14" s="359"/>
      <c r="F14" s="359"/>
    </row>
    <row r="15" spans="1:6">
      <c r="A15" s="359" t="str">
        <f>"Uyali telefon raqami: "&amp;malumot!B42&amp;""</f>
        <v>Uyali telefon raqami: 88 870 76 67 AKASI</v>
      </c>
      <c r="B15" s="359"/>
      <c r="C15" s="359"/>
      <c r="D15" s="359"/>
      <c r="E15" s="359"/>
      <c r="F15" s="359"/>
    </row>
    <row r="16" spans="1:6" hidden="1">
      <c r="A16" s="359" t="str">
        <f>"Uyali telefon raqami: "&amp;malumot!B42&amp;""</f>
        <v>Uyali telefon raqami: 88 870 76 67 AKASI</v>
      </c>
      <c r="B16" s="359"/>
      <c r="C16" s="359"/>
      <c r="D16" s="359"/>
      <c r="E16" s="359"/>
      <c r="F16" s="359"/>
    </row>
    <row r="17" spans="1:6">
      <c r="A17" s="359" t="str">
        <f>"Ish telefoni raqami: "&amp;malumot!B43&amp;""</f>
        <v xml:space="preserve">Ish telefoni raqami: </v>
      </c>
      <c r="B17" s="359"/>
      <c r="C17" s="359"/>
      <c r="D17" s="359"/>
      <c r="E17" s="359"/>
      <c r="F17" s="359"/>
    </row>
    <row r="18" spans="1:6">
      <c r="A18" s="360" t="s">
        <v>220</v>
      </c>
      <c r="B18" s="360"/>
      <c r="C18" s="360"/>
      <c r="D18" s="360"/>
      <c r="E18" s="360"/>
      <c r="F18" s="360"/>
    </row>
    <row r="19" spans="1:6">
      <c r="A19" s="359" t="str">
        <f>"Muassasa nomlanishi:"&amp;malumot!B58&amp;""</f>
        <v>Muassasa nomlanishi:Yakka tartibdagi tadbirkor</v>
      </c>
      <c r="B19" s="359"/>
      <c r="C19" s="359"/>
      <c r="D19" s="359"/>
      <c r="E19" s="359"/>
      <c r="F19" s="359"/>
    </row>
    <row r="20" spans="1:6">
      <c r="A20" s="359" t="str">
        <f>"Ro‘yxatdan o‘tish manzili:"&amp;malumot!B50&amp;""</f>
        <v>Ro‘yxatdan o‘tish manzili:</v>
      </c>
      <c r="B20" s="359"/>
      <c r="C20" s="359"/>
      <c r="D20" s="359"/>
      <c r="E20" s="359"/>
      <c r="F20" s="359"/>
    </row>
    <row r="21" spans="1:6">
      <c r="A21" s="359" t="str">
        <f>"Lavozimi: "&amp;malumot!B59&amp;""</f>
        <v>Lavozimi: Yakka tartibdagi tadbirkor</v>
      </c>
      <c r="B21" s="359"/>
      <c r="C21" s="359"/>
      <c r="D21" s="359"/>
      <c r="E21" s="359"/>
      <c r="F21" s="359"/>
    </row>
    <row r="22" spans="1:6">
      <c r="A22" s="360" t="s">
        <v>221</v>
      </c>
      <c r="B22" s="362"/>
      <c r="C22" s="362"/>
      <c r="D22" s="362"/>
      <c r="E22" s="362"/>
      <c r="F22" s="362"/>
    </row>
    <row r="23" spans="1:6" s="26" customFormat="1" ht="25.5">
      <c r="A23" s="25" t="s">
        <v>222</v>
      </c>
      <c r="B23" s="25" t="s">
        <v>223</v>
      </c>
      <c r="C23" s="25" t="s">
        <v>224</v>
      </c>
      <c r="D23" s="25" t="s">
        <v>225</v>
      </c>
      <c r="E23" s="25" t="s">
        <v>226</v>
      </c>
      <c r="F23" s="25" t="s">
        <v>227</v>
      </c>
    </row>
    <row r="24" spans="1:6" ht="51">
      <c r="A24" s="27" t="s">
        <v>228</v>
      </c>
      <c r="B24" s="28">
        <f>malumot!B60</f>
        <v>10000000</v>
      </c>
      <c r="C24" s="28">
        <v>0</v>
      </c>
      <c r="D24" s="28">
        <v>0</v>
      </c>
      <c r="E24" s="27" t="s">
        <v>231</v>
      </c>
      <c r="F24" s="28">
        <v>700000</v>
      </c>
    </row>
    <row r="25" spans="1:6" ht="25.5">
      <c r="A25" s="27" t="s">
        <v>229</v>
      </c>
      <c r="B25" s="28">
        <v>0</v>
      </c>
      <c r="C25" s="28">
        <v>0</v>
      </c>
      <c r="D25" s="28">
        <v>0</v>
      </c>
      <c r="E25" s="27" t="s">
        <v>232</v>
      </c>
      <c r="F25" s="28">
        <v>450000</v>
      </c>
    </row>
    <row r="26" spans="1:6" ht="28.5" customHeight="1">
      <c r="A26" s="27" t="s">
        <v>230</v>
      </c>
      <c r="B26" s="28">
        <f>malumot!B61</f>
        <v>0</v>
      </c>
      <c r="C26" s="28">
        <v>0</v>
      </c>
      <c r="D26" s="28">
        <v>0</v>
      </c>
      <c r="E26" s="27" t="s">
        <v>233</v>
      </c>
      <c r="F26" s="28">
        <v>500000</v>
      </c>
    </row>
    <row r="27" spans="1:6" s="31" customFormat="1">
      <c r="A27" s="29" t="s">
        <v>209</v>
      </c>
      <c r="B27" s="30">
        <f>B24+B25+B26</f>
        <v>10000000</v>
      </c>
      <c r="C27" s="30">
        <f t="shared" ref="C27:D27" si="0">SUM(C24:C26)</f>
        <v>0</v>
      </c>
      <c r="D27" s="30">
        <f t="shared" si="0"/>
        <v>0</v>
      </c>
      <c r="E27" s="29"/>
      <c r="F27" s="30">
        <f>F24+F25+F26</f>
        <v>1650000</v>
      </c>
    </row>
    <row r="28" spans="1:6" ht="31.5" customHeight="1">
      <c r="A28" s="359" t="str">
        <f>"Men, "&amp;malumot!B5&amp;", ushbu anketada ko‘rsatilgan barcha ma'lumotlar anketa to'ldirilgan sanada  to'g'ri va aniq ekanligini tasdiqlayman."</f>
        <v>Men, NUTFULLAYEV AKBARJON AXMEDOVICH, ushbu anketada ko‘rsatilgan barcha ma'lumotlar anketa to'ldirilgan sanada  to'g'ri va aniq ekanligini tasdiqlayman.</v>
      </c>
      <c r="B28" s="359"/>
      <c r="C28" s="359"/>
      <c r="D28" s="359"/>
      <c r="E28" s="359"/>
      <c r="F28" s="359"/>
    </row>
    <row r="29" spans="1:6">
      <c r="A29" s="359" t="str">
        <f>"Men,  "&amp;malumot!B5&amp;", quyidagilarni tan olaman va roziman::"</f>
        <v>Men,  NUTFULLAYEV AKBARJON AXMEDOVICH, quyidagilarni tan olaman va roziman::</v>
      </c>
      <c r="B29" s="359"/>
      <c r="C29" s="359"/>
      <c r="D29" s="359"/>
      <c r="E29" s="359"/>
      <c r="F29" s="359"/>
    </row>
    <row r="30" spans="1:6" ht="45.75" customHeight="1">
      <c r="A30" s="359" t="str">
        <f>"1.  Ushbu anketada ko‘rsatilgan har qanday ma’lumot  "&amp;malumot!B153&amp;",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359"/>
      <c r="C30" s="359"/>
      <c r="D30" s="359"/>
      <c r="E30" s="359"/>
      <c r="F30" s="359"/>
    </row>
    <row r="31" spans="1:6" ht="42.75" customHeight="1">
      <c r="A31" s="359" t="str">
        <f>"2. Mazkur anketaning "&amp;malumot!B153&amp;" tomonidan qabul qilinishi “Clever Mikromoliya Tashkiloti” MChJ tomonidan menga "&amp;malumot!B65&amp;" berish majburiyatini yuklamaydi."</f>
        <v>2. Mazkur anketaning «CLEVER MIKROMOLIYA TASHKILOTI» MChJ tomonidan qabul qilinishi “Clever Mikromoliya Tashkiloti” MChJ tomonidan menga mikroqarz berish majburiyatini yuklamaydi.</v>
      </c>
      <c r="B31" s="359"/>
      <c r="C31" s="359"/>
      <c r="D31" s="359"/>
      <c r="E31" s="359"/>
      <c r="F31" s="359"/>
    </row>
    <row r="32" spans="1:6" ht="71.25" customHeight="1">
      <c r="A32" s="359" t="s">
        <v>234</v>
      </c>
      <c r="B32" s="359"/>
      <c r="C32" s="359"/>
      <c r="D32" s="359"/>
      <c r="E32" s="359"/>
      <c r="F32" s="359"/>
    </row>
    <row r="33" spans="1:6">
      <c r="A33" s="359"/>
      <c r="B33" s="359"/>
      <c r="C33" s="359"/>
      <c r="D33" s="359"/>
      <c r="E33" s="359"/>
      <c r="F33" s="359"/>
    </row>
    <row r="34" spans="1:6" ht="12.75" customHeight="1">
      <c r="A34" s="362" t="s">
        <v>235</v>
      </c>
      <c r="B34" s="362"/>
      <c r="C34" s="362"/>
      <c r="D34" s="143" t="s">
        <v>157</v>
      </c>
      <c r="E34" s="362" t="s">
        <v>236</v>
      </c>
      <c r="F34" s="362"/>
    </row>
    <row r="35" spans="1:6" ht="25.5" customHeight="1">
      <c r="A35" s="363"/>
      <c r="B35" s="363"/>
      <c r="C35" s="363"/>
      <c r="D35" s="364" t="str">
        <f>malumot!B2</f>
        <v>11.03.2025</v>
      </c>
      <c r="E35" s="363"/>
      <c r="F35" s="363"/>
    </row>
    <row r="36" spans="1:6" ht="25.5" customHeight="1">
      <c r="A36" s="363"/>
      <c r="B36" s="363"/>
      <c r="C36" s="363"/>
      <c r="D36" s="364"/>
      <c r="E36" s="363"/>
      <c r="F36" s="363"/>
    </row>
    <row r="37" spans="1:6">
      <c r="A37" s="359"/>
      <c r="B37" s="359"/>
      <c r="C37" s="359"/>
      <c r="D37" s="359"/>
      <c r="E37" s="359"/>
      <c r="F37" s="359"/>
    </row>
    <row r="38" spans="1:6">
      <c r="A38" s="359"/>
      <c r="B38" s="359"/>
      <c r="C38" s="359"/>
      <c r="D38" s="359"/>
      <c r="E38" s="359"/>
      <c r="F38" s="359"/>
    </row>
    <row r="39" spans="1:6">
      <c r="A39" s="359"/>
      <c r="B39" s="359"/>
      <c r="C39" s="359"/>
      <c r="D39" s="359"/>
      <c r="E39" s="359"/>
      <c r="F39" s="359"/>
    </row>
    <row r="40" spans="1:6">
      <c r="A40" s="359"/>
      <c r="B40" s="359"/>
      <c r="C40" s="359"/>
      <c r="D40" s="359"/>
      <c r="E40" s="359"/>
      <c r="F40" s="359"/>
    </row>
    <row r="41" spans="1:6">
      <c r="A41" s="359"/>
      <c r="B41" s="359"/>
      <c r="C41" s="359"/>
      <c r="D41" s="359"/>
      <c r="E41" s="359"/>
      <c r="F41" s="359"/>
    </row>
    <row r="42" spans="1:6">
      <c r="A42" s="359"/>
      <c r="B42" s="359"/>
      <c r="C42" s="359"/>
      <c r="D42" s="359"/>
      <c r="E42" s="359"/>
      <c r="F42" s="359"/>
    </row>
    <row r="43" spans="1:6">
      <c r="A43" s="359"/>
      <c r="B43" s="359"/>
      <c r="C43" s="359"/>
      <c r="D43" s="359"/>
      <c r="E43" s="359"/>
      <c r="F43" s="359"/>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A5" sqref="A5:B5"/>
    </sheetView>
  </sheetViews>
  <sheetFormatPr defaultRowHeight="15"/>
  <cols>
    <col min="1" max="1" width="54.42578125" style="15" customWidth="1"/>
    <col min="2" max="2" width="32.28515625" style="15" customWidth="1"/>
  </cols>
  <sheetData>
    <row r="3" spans="1:2" ht="35.25" customHeight="1">
      <c r="A3" s="365" t="s">
        <v>214</v>
      </c>
      <c r="B3" s="365"/>
    </row>
    <row r="4" spans="1:2" ht="92.25" customHeight="1">
      <c r="A4" s="289" t="str">
        <f>"     Men, fuqaro "&amp;malumot!B5&amp;" "&amp;malumot!B155&amp;" bilan "&amp;malumot!B69&amp;" sanasidagi "&amp;malumot!B66&amp;"-sonli shartnomaning garov ta'minoti sifatida taqdim etilayotgan mulk "&amp;malumot!B131&amp;"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23-AL-sonli shartnomaning garov ta'minoti sifatida taqdim etilayotgan mulk CHANGAN CHANGAN SC 1027SB rusumli avtotransport vositasini qonunga xilof ravishda o‘zlashtirmaslikka, yashirmaslikka, nobud qilmaslikka yoki unga shikast yetkazmaslik majburiyatini olaman.</v>
      </c>
      <c r="B4" s="289"/>
    </row>
    <row r="5" spans="1:2" ht="56.25" customHeight="1">
      <c r="A5" s="366" t="s">
        <v>215</v>
      </c>
      <c r="B5" s="366"/>
    </row>
    <row r="6" spans="1:2" ht="42.75" customHeight="1"/>
    <row r="7" spans="1:2">
      <c r="A7" s="15" t="str">
        <f>malumot!B5</f>
        <v>NUTFULLAYEV AKBARJON AXMEDOVICH</v>
      </c>
      <c r="B7" s="131" t="s">
        <v>216</v>
      </c>
    </row>
    <row r="8" spans="1:2" ht="26.25" customHeight="1"/>
    <row r="9" spans="1:2" ht="26.25" customHeight="1"/>
    <row r="10" spans="1:2" ht="26.25" customHeight="1"/>
    <row r="11" spans="1:2">
      <c r="A11" s="15" t="str">
        <f>"sana:   "&amp;TEXT(malumot!B2,"ДД.ММ.ГГГГ")&amp;"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zoomScaleNormal="100" zoomScaleSheetLayoutView="100" workbookViewId="0">
      <selection activeCell="C5" sqref="C5:E5"/>
    </sheetView>
  </sheetViews>
  <sheetFormatPr defaultColWidth="9.140625" defaultRowHeight="15.75"/>
  <cols>
    <col min="1" max="2" width="17.42578125" style="118" customWidth="1"/>
    <col min="3" max="3" width="29.85546875" style="118" customWidth="1"/>
    <col min="4" max="4" width="18.140625" style="118" customWidth="1"/>
    <col min="5" max="5" width="6.5703125" style="118" customWidth="1"/>
    <col min="6" max="16384" width="9.140625" style="118"/>
  </cols>
  <sheetData>
    <row r="2" spans="1:5">
      <c r="A2" s="371" t="s">
        <v>237</v>
      </c>
      <c r="B2" s="371"/>
      <c r="C2" s="371"/>
      <c r="D2" s="371"/>
      <c r="E2" s="371"/>
    </row>
    <row r="3" spans="1:5">
      <c r="E3" s="117" t="str">
        <f>malumot!B68</f>
        <v>11 mart 2025 y.</v>
      </c>
    </row>
    <row r="5" spans="1:5" s="119" customFormat="1" ht="27" customHeight="1">
      <c r="A5" s="375" t="s">
        <v>238</v>
      </c>
      <c r="B5" s="376"/>
      <c r="C5" s="372" t="str">
        <f>malumot!B8</f>
        <v>NUTFULLAYEV AKBARJON AXMEDOVICH</v>
      </c>
      <c r="D5" s="373"/>
      <c r="E5" s="374"/>
    </row>
    <row r="7" spans="1:5" ht="15.75" customHeight="1">
      <c r="A7" s="377" t="s">
        <v>355</v>
      </c>
      <c r="B7" s="378"/>
      <c r="C7" s="379"/>
      <c r="D7" s="120" t="s">
        <v>133</v>
      </c>
      <c r="E7" s="120"/>
    </row>
    <row r="8" spans="1:5">
      <c r="A8" s="380"/>
      <c r="B8" s="381"/>
      <c r="C8" s="382"/>
      <c r="D8" s="120" t="s">
        <v>242</v>
      </c>
      <c r="E8" s="120"/>
    </row>
    <row r="9" spans="1:5" ht="15.75" customHeight="1">
      <c r="A9" s="368" t="s">
        <v>239</v>
      </c>
      <c r="B9" s="368"/>
      <c r="C9" s="368"/>
      <c r="D9" s="120" t="s">
        <v>133</v>
      </c>
      <c r="E9" s="120"/>
    </row>
    <row r="10" spans="1:5">
      <c r="A10" s="368"/>
      <c r="B10" s="368"/>
      <c r="C10" s="368"/>
      <c r="D10" s="120" t="s">
        <v>242</v>
      </c>
      <c r="E10" s="120"/>
    </row>
    <row r="11" spans="1:5" ht="15.75" customHeight="1">
      <c r="A11" s="368" t="s">
        <v>240</v>
      </c>
      <c r="B11" s="368"/>
      <c r="C11" s="368"/>
      <c r="D11" s="120" t="s">
        <v>133</v>
      </c>
      <c r="E11" s="120"/>
    </row>
    <row r="12" spans="1:5">
      <c r="A12" s="368"/>
      <c r="B12" s="368"/>
      <c r="C12" s="368"/>
      <c r="D12" s="120" t="s">
        <v>242</v>
      </c>
      <c r="E12" s="120"/>
    </row>
    <row r="13" spans="1:5" ht="34.5" customHeight="1">
      <c r="A13" s="369" t="s">
        <v>241</v>
      </c>
      <c r="B13" s="369"/>
      <c r="C13" s="369"/>
      <c r="D13" s="369"/>
      <c r="E13" s="369"/>
    </row>
    <row r="14" spans="1:5" ht="16.5" thickBot="1">
      <c r="A14" s="370"/>
      <c r="B14" s="370"/>
      <c r="C14" s="370"/>
      <c r="D14" s="370"/>
      <c r="E14" s="370"/>
    </row>
    <row r="15" spans="1:5" ht="16.5" thickBot="1">
      <c r="A15" s="370"/>
      <c r="B15" s="370"/>
      <c r="C15" s="370"/>
      <c r="D15" s="370"/>
      <c r="E15" s="370"/>
    </row>
    <row r="16" spans="1:5" ht="16.5" thickBot="1">
      <c r="A16" s="370"/>
      <c r="B16" s="370"/>
      <c r="C16" s="370"/>
      <c r="D16" s="370"/>
      <c r="E16" s="370"/>
    </row>
    <row r="18" spans="1:8" ht="18.75" customHeight="1">
      <c r="A18" s="368" t="s">
        <v>243</v>
      </c>
      <c r="B18" s="368"/>
      <c r="C18" s="368"/>
      <c r="D18" s="120" t="s">
        <v>133</v>
      </c>
      <c r="E18" s="120"/>
    </row>
    <row r="19" spans="1:8" ht="18.75" customHeight="1">
      <c r="A19" s="368"/>
      <c r="B19" s="368"/>
      <c r="C19" s="368"/>
      <c r="D19" s="120" t="s">
        <v>242</v>
      </c>
      <c r="E19" s="120"/>
    </row>
    <row r="20" spans="1:8" ht="29.25" customHeight="1">
      <c r="A20" s="368" t="s">
        <v>244</v>
      </c>
      <c r="B20" s="368"/>
      <c r="C20" s="368"/>
      <c r="D20" s="120" t="s">
        <v>133</v>
      </c>
      <c r="E20" s="120"/>
    </row>
    <row r="21" spans="1:8" ht="29.25" customHeight="1">
      <c r="A21" s="368"/>
      <c r="B21" s="368"/>
      <c r="C21" s="368"/>
      <c r="D21" s="120" t="s">
        <v>242</v>
      </c>
      <c r="E21" s="120"/>
    </row>
    <row r="23" spans="1:8" ht="15.75" customHeight="1">
      <c r="A23" s="369" t="s">
        <v>245</v>
      </c>
      <c r="B23" s="369"/>
      <c r="C23" s="369"/>
      <c r="D23" s="369"/>
      <c r="E23" s="369"/>
    </row>
    <row r="24" spans="1:8" ht="16.5" thickBot="1">
      <c r="A24" s="370"/>
      <c r="B24" s="370"/>
      <c r="C24" s="370"/>
      <c r="D24" s="370"/>
      <c r="E24" s="370"/>
    </row>
    <row r="25" spans="1:8" ht="16.5" thickBot="1">
      <c r="A25" s="370"/>
      <c r="B25" s="370"/>
      <c r="C25" s="370"/>
      <c r="D25" s="370"/>
      <c r="E25" s="370"/>
    </row>
    <row r="26" spans="1:8" ht="16.5" thickBot="1">
      <c r="A26" s="370"/>
      <c r="B26" s="370"/>
      <c r="C26" s="370"/>
      <c r="D26" s="370"/>
      <c r="E26" s="370"/>
    </row>
    <row r="28" spans="1:8" ht="78.75" customHeight="1">
      <c r="A28" s="367" t="s">
        <v>246</v>
      </c>
      <c r="B28" s="367"/>
      <c r="C28" s="367"/>
      <c r="D28" s="367"/>
      <c r="E28" s="367"/>
    </row>
    <row r="30" spans="1:8" ht="33" customHeight="1">
      <c r="A30" s="367" t="s">
        <v>247</v>
      </c>
      <c r="B30" s="367"/>
      <c r="C30" s="367"/>
      <c r="D30" s="367"/>
      <c r="E30" s="367"/>
      <c r="F30" s="121"/>
      <c r="G30" s="121"/>
      <c r="H30" s="121"/>
    </row>
    <row r="33" spans="1:5" ht="16.5" thickBot="1">
      <c r="A33" s="122" t="str">
        <f>C5</f>
        <v>NUTFULLAYEV AKBARJON AXMEDOVICH</v>
      </c>
      <c r="D33" s="123"/>
      <c r="E33" s="124"/>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zoomScaleSheetLayoutView="100" workbookViewId="0">
      <selection activeCell="H22" sqref="H22"/>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383" t="str">
        <f>""&amp;malumot!B153&amp;"ning
"&amp;malumot!A156&amp;""</f>
        <v>«CLEVER MIKROMOLIYA TASHKILOTI» MChJning
Olmaliq filiali boshlig'i</v>
      </c>
      <c r="D1" s="383"/>
    </row>
    <row r="2" spans="1:4">
      <c r="C2" s="13"/>
      <c r="D2" s="14" t="str">
        <f>""&amp;malumot!B156&amp;"ga"</f>
        <v>V. Yerjanovga</v>
      </c>
    </row>
    <row r="4" spans="1:4">
      <c r="A4" s="285" t="str">
        <f>""&amp;malumot!C64&amp;" olish uchun Ariza"</f>
        <v>Mikroqarz olish uchun Ariza</v>
      </c>
      <c r="B4" s="285"/>
      <c r="C4" s="285"/>
      <c r="D4" s="285"/>
    </row>
    <row r="5" spans="1:4">
      <c r="A5" s="285"/>
      <c r="B5" s="285"/>
      <c r="C5" s="285"/>
      <c r="D5" s="285"/>
    </row>
    <row r="6" spans="1:4" ht="60" customHeight="1">
      <c r="A6" s="336" t="str">
        <f>""&amp;malumot!B28&amp;".-da yashovchi O‘zbekiston Respublikasi fuqarosi "&amp;malumot!B8&amp;"dan. "</f>
        <v xml:space="preserve">BUXORO VILOYATI BUXORO SHAHAR TADBIRKOR KO'CHASI 12-UY.-da yashovchi O‘zbekiston Respublikasi fuqarosi NUTFULLAYEV AKBARJON AXMEDOVICHdan. </v>
      </c>
      <c r="B6" s="336"/>
      <c r="C6" s="336"/>
      <c r="D6" s="336"/>
    </row>
    <row r="7" spans="1:4" ht="15.75" customHeight="1">
      <c r="A7" s="336" t="str">
        <f>"Tug'ilgan kuni: "&amp;malumot!B15&amp;""</f>
        <v>Tug'ilgan kuni: 14.09.1989 y</v>
      </c>
      <c r="B7" s="336"/>
      <c r="C7" s="336"/>
      <c r="D7" s="336"/>
    </row>
    <row r="8" spans="1:4" ht="33" customHeight="1">
      <c r="A8" s="336" t="str">
        <f>"Pasport seriyasi: "&amp;malumot!B16&amp;" "&amp;malumot!B20&amp;""</f>
        <v>Pasport seriyasi: AA 9481167 BUXORO VILOYATI BUXORO SHAHAR IIB tomonidan 24.04.2015 yilda berilgan</v>
      </c>
      <c r="B8" s="336"/>
      <c r="C8" s="336"/>
      <c r="D8" s="336"/>
    </row>
    <row r="9" spans="1:4" ht="16.5" customHeight="1">
      <c r="A9" s="336" t="str">
        <f>"Asosiy ish joyi : "&amp;malumot!B58&amp;""</f>
        <v>Asosiy ish joyi : Yakka tartibdagi tadbirkor</v>
      </c>
      <c r="B9" s="336"/>
      <c r="C9" s="336"/>
      <c r="D9" s="336"/>
    </row>
    <row r="10" spans="1:4" ht="15.75" customHeight="1">
      <c r="A10" s="336" t="str">
        <f>"Lavozimi: "&amp;malumot!B59&amp;""</f>
        <v>Lavozimi: Yakka tartibdagi tadbirkor</v>
      </c>
      <c r="B10" s="336"/>
      <c r="C10" s="336"/>
      <c r="D10" s="336"/>
    </row>
    <row r="11" spans="1:4">
      <c r="A11" s="336" t="str">
        <f>"O’rtacha oylik daromadi: "&amp;FIXED(malumot!B60,2)&amp;" so'm."</f>
        <v>O’rtacha oylik daromadi: 10 000 000,00 so'm.</v>
      </c>
      <c r="B11" s="336"/>
      <c r="C11" s="336"/>
      <c r="D11" s="336"/>
    </row>
    <row r="12" spans="1:4">
      <c r="A12" s="336" t="str">
        <f>"Menga quyidagi shartlarda "&amp;malumot!B65&amp;" berishingizni so’rayman:"</f>
        <v>Menga quyidagi shartlarda mikroqarz berishingizni so’rayman:</v>
      </c>
      <c r="B12" s="336"/>
      <c r="C12" s="336"/>
      <c r="D12" s="336"/>
    </row>
    <row r="13" spans="1:4">
      <c r="A13" s="336" t="str">
        <f>""&amp;malumot!C64&amp;" summasi: "&amp;FIXED(malumot!B75,2)&amp;" ("&amp;malumot!B76&amp;") so'm."</f>
        <v>Mikroqarz summasi: 27 000 000,00 (yigirma yetti million so'm) so'm.</v>
      </c>
      <c r="B13" s="336"/>
      <c r="C13" s="336"/>
      <c r="D13" s="336"/>
    </row>
    <row r="14" spans="1:4">
      <c r="A14" s="336" t="str">
        <f>""&amp;malumot!C64&amp;" muddati: "&amp;malumot!B81&amp;" ("&amp;malumot!B82&amp;") oy."</f>
        <v>Mikroqarz muddati: 36 (o'ttiz olti) oy.</v>
      </c>
      <c r="B14" s="336"/>
      <c r="C14" s="336"/>
      <c r="D14" s="336"/>
    </row>
    <row r="15" spans="1:4" ht="17.25" customHeight="1">
      <c r="A15" s="336" t="str">
        <f>""&amp;malumot!C64&amp;"dan foydalanganlik uchun foiz stavkasi: yillik  "&amp;malumot!B85&amp;"% ("&amp;malumot!B86&amp;") foiz"</f>
        <v>Mikroqarzdan foydalanganlik uchun foiz stavkasi: yillik  60% (Oltmish) foiz</v>
      </c>
      <c r="B15" s="336"/>
      <c r="C15" s="336"/>
      <c r="D15" s="336"/>
    </row>
    <row r="16" spans="1:4">
      <c r="A16" s="336" t="str">
        <f>""&amp;malumot!C64&amp;" bo'yicha asosiy qarz va foizlarni to'lash:"</f>
        <v>Mikroqarz bo'yicha asosiy qarz va foizlarni to'lash:</v>
      </c>
      <c r="B16" s="336"/>
      <c r="C16" s="336"/>
      <c r="D16" s="336"/>
    </row>
    <row r="17" spans="1:5" ht="20.25" hidden="1" customHeight="1">
      <c r="A17" s="384" t="str">
        <f>" - "&amp;malumot!B65&amp;" shartnomasi bo'yicha har oy differensial to'lovlari amalga oshiriladi"</f>
        <v xml:space="preserve"> - mikroqarz shartnomasi bo'yicha har oy differensial to'lovlari amalga oshiriladi</v>
      </c>
      <c r="B17" s="384"/>
      <c r="C17" s="384"/>
      <c r="D17" s="384"/>
    </row>
    <row r="18" spans="1:5" ht="33.75" hidden="1" customHeight="1">
      <c r="A18" s="384" t="str">
        <f>" - "&amp;malumot!B65&amp;" shartnomasi bo'yicha har oy annuitet to'lovlari amalga oshiriladi"</f>
        <v xml:space="preserve"> - mikroqarz shartnomasi bo'yicha har oy annuitet to'lovlari amalga oshiriladi</v>
      </c>
      <c r="B18" s="384"/>
      <c r="C18" s="384"/>
      <c r="D18" s="384"/>
    </row>
    <row r="19" spans="1:5" ht="33.75" customHeight="1">
      <c r="A19" s="384" t="str">
        <f>IF(malumot!B77=malumot!C77,'Кредитная заявка'!A17:D17,IF(malumot!B77=malumot!D77,'Кредитная заявка'!A18:D18))</f>
        <v xml:space="preserve"> - mikroqarz shartnomasi bo'yicha har oy differensial to'lovlari amalga oshiriladi</v>
      </c>
      <c r="B19" s="384"/>
      <c r="C19" s="384"/>
      <c r="D19" s="384"/>
    </row>
    <row r="20" spans="1:5" ht="33.75" hidden="1" customHeight="1">
      <c r="A20" s="336" t="str">
        <f>IF(DAY(malumot!E67)&lt;15,"   ","  Oxirgi yakuniy to'lov "&amp;malumot!B65&amp;" shartnomasi tuzilgan kundan boshlab oxirgi oyning oxirgi kunida amalga oshiriladi")</f>
        <v xml:space="preserve">   </v>
      </c>
      <c r="B20" s="336"/>
      <c r="C20" s="336"/>
      <c r="D20" s="336"/>
    </row>
    <row r="21" spans="1:5">
      <c r="A21" s="336" t="str">
        <f>""&amp;malumot!C64&amp;" ta’minoti::"</f>
        <v>Mikroqarz ta’minoti::</v>
      </c>
      <c r="B21" s="336"/>
      <c r="C21" s="336"/>
      <c r="D21" s="336"/>
    </row>
    <row r="22" spans="1:5" ht="72.75" customHeight="1">
      <c r="A22" s="384" t="str">
        <f>IF(malumot!B109="Avtotransport",A26,A23)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384"/>
      <c r="C22" s="384"/>
      <c r="D22" s="384"/>
    </row>
    <row r="23" spans="1:5" ht="79.5" hidden="1" customHeight="1">
      <c r="A23" s="384" t="str">
        <f>IF(malumot!B98=malumot!C98,A25,IF(malumot!B98=malumot!D98,A24,0))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384"/>
      <c r="C23" s="384"/>
      <c r="D23" s="384"/>
    </row>
    <row r="24" spans="1:5" ht="96.75" hidden="1" customHeight="1">
      <c r="A24" s="384" t="str">
        <f>" - Navbatdagi garov (ipoteka) Egalik huquqi asosida  "&amp;malumot!C123&amp;"ga "&amp;malumot!C132&amp;", umumiy maydoni - "&amp;malumot!C136&amp;" va yashash maydoni - "&amp;malumot!C139&amp;", manzili: "&amp;malumot!C129&amp;"."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384"/>
      <c r="C24" s="384"/>
      <c r="D24" s="384"/>
      <c r="E24" s="149"/>
    </row>
    <row r="25" spans="1:5" ht="92.25" hidden="1" customHeight="1">
      <c r="A25" s="384" t="str">
        <f>" Egalik huquqi "&amp;malumot!C123&amp;"ga tegishli bo'lgan umumiy maydoni - "&amp;malumot!C136&amp;"  va yashash maydoni - "&amp;malumot!C139&amp;" "&amp;malumot!C132&amp;", "&amp;malumot!C129&amp;"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384"/>
      <c r="C25" s="384"/>
      <c r="D25" s="384"/>
    </row>
    <row r="26" spans="1:5" ht="78" hidden="1" customHeight="1">
      <c r="A26" s="384" t="str">
        <f>IF(malumot!B98=malumot!C98,'Кредитная заявка'!A28:D28,IF(malumot!B98=malumot!D98,'Кредитная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384"/>
      <c r="C26" s="384"/>
      <c r="D26" s="384"/>
    </row>
    <row r="27" spans="1:5" ht="93" hidden="1" customHeight="1">
      <c r="A27" s="384" t="str">
        <f>" Egalik huquqi "&amp;malumot!B123&amp;"ga tegishli bo'lgan "&amp;malumot!B131&amp;", "&amp;malumot!B139&amp;", davlat raqam belgisi "&amp;malumot!B132&amp;", "&amp;malumot!B133&amp;", "&amp;malumot!B136&amp;"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384"/>
      <c r="C27" s="384"/>
      <c r="D27" s="384"/>
    </row>
    <row r="28" spans="1:5" ht="93.75" hidden="1" customHeight="1">
      <c r="A28" s="384" t="str">
        <f>"  Egalik huquqi "&amp;malumot!B123&amp;"ga tegishli bo'lgan garovga olingan avtomobil markasi   "&amp;malumot!B131&amp;", "&amp;malumot!B139&amp;", davlat raqam belgisi "&amp;malumot!B132&amp;", "&amp;malumot!B133&amp;", "&amp;malumot!B136&amp;""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384"/>
      <c r="C28" s="384"/>
      <c r="D28" s="384"/>
    </row>
    <row r="29" spans="1:5" ht="10.5" customHeight="1">
      <c r="A29" s="336"/>
      <c r="B29" s="336"/>
      <c r="C29" s="336"/>
      <c r="D29" s="336"/>
    </row>
    <row r="30" spans="1:5" ht="53.25" customHeight="1">
      <c r="A30" s="384" t="str">
        <f>"Mazkur ariza bilan "&amp;malumot!B153&amp;"ga men va soʻralayotgan "&amp;malumot!B65&amp;"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384"/>
      <c r="C30" s="384"/>
      <c r="D30" s="384"/>
    </row>
    <row r="31" spans="1:5" ht="15.75" customHeight="1">
      <c r="A31" s="384" t="s">
        <v>248</v>
      </c>
      <c r="B31" s="384"/>
      <c r="C31" s="384"/>
      <c r="D31" s="384"/>
    </row>
    <row r="32" spans="1:5">
      <c r="A32" s="384" t="s">
        <v>249</v>
      </c>
      <c r="B32" s="384"/>
      <c r="C32" s="384"/>
      <c r="D32" s="384"/>
    </row>
    <row r="33" spans="1:4">
      <c r="A33" s="384" t="s">
        <v>250</v>
      </c>
      <c r="B33" s="384"/>
      <c r="C33" s="384"/>
      <c r="D33" s="384"/>
    </row>
    <row r="34" spans="1:4">
      <c r="A34" s="336" t="str">
        <f>"Ariza berilgan sana: "&amp;TEXT(malumot!B2,"ДД.ММ.ГГГГ")&amp;"y."</f>
        <v>Ariza berilgan sana: 11.03.2025y.</v>
      </c>
      <c r="B34" s="336"/>
      <c r="C34" s="336"/>
      <c r="D34" s="336"/>
    </row>
    <row r="35" spans="1:4">
      <c r="A35" s="336"/>
      <c r="B35" s="336"/>
      <c r="C35" s="336"/>
      <c r="D35" s="336"/>
    </row>
    <row r="36" spans="1:4">
      <c r="A36" s="336" t="s">
        <v>251</v>
      </c>
      <c r="B36" s="336"/>
      <c r="C36" s="336"/>
      <c r="D36" s="336"/>
    </row>
    <row r="37" spans="1:4">
      <c r="A37" s="336"/>
      <c r="B37" s="336"/>
      <c r="C37" s="336"/>
      <c r="D37" s="336"/>
    </row>
    <row r="38" spans="1:4">
      <c r="A38" s="336"/>
      <c r="B38" s="336"/>
      <c r="C38" s="336"/>
      <c r="D38" s="336"/>
    </row>
    <row r="39" spans="1:4" ht="15.75" customHeight="1">
      <c r="A39" s="338" t="str">
        <f>malumot!B5</f>
        <v>NUTFULLAYEV AKBARJON AXMEDOVICH</v>
      </c>
      <c r="B39" s="338"/>
      <c r="C39" s="338"/>
      <c r="D39" s="11" t="s">
        <v>4</v>
      </c>
    </row>
    <row r="40" spans="1:4">
      <c r="A40" s="10"/>
      <c r="B40" s="10"/>
      <c r="D40" s="12" t="s">
        <v>330</v>
      </c>
    </row>
    <row r="41" spans="1:4">
      <c r="A41" s="336"/>
      <c r="B41" s="336"/>
      <c r="C41" s="336"/>
      <c r="D41" s="336"/>
    </row>
    <row r="42" spans="1:4">
      <c r="A42" s="336"/>
      <c r="B42" s="336"/>
      <c r="C42" s="336"/>
      <c r="D42" s="336"/>
    </row>
    <row r="43" spans="1:4">
      <c r="A43" s="336"/>
      <c r="B43" s="336"/>
      <c r="C43" s="336"/>
      <c r="D43" s="336"/>
    </row>
    <row r="44" spans="1:4">
      <c r="A44" s="336"/>
      <c r="B44" s="336"/>
      <c r="C44" s="336"/>
      <c r="D44" s="336"/>
    </row>
    <row r="45" spans="1:4">
      <c r="A45" s="336"/>
      <c r="B45" s="336"/>
      <c r="C45" s="336"/>
      <c r="D45" s="336"/>
    </row>
    <row r="46" spans="1:4">
      <c r="A46" s="336"/>
      <c r="B46" s="336"/>
      <c r="C46" s="336"/>
      <c r="D46" s="336"/>
    </row>
    <row r="47" spans="1:4">
      <c r="A47" s="336"/>
      <c r="B47" s="336"/>
      <c r="C47" s="336"/>
      <c r="D47" s="336"/>
    </row>
    <row r="48" spans="1:4">
      <c r="A48" s="336"/>
      <c r="B48" s="336"/>
      <c r="C48" s="336"/>
      <c r="D48" s="336"/>
    </row>
    <row r="49" spans="1:4">
      <c r="A49" s="336"/>
      <c r="B49" s="336"/>
      <c r="C49" s="336"/>
      <c r="D49" s="336"/>
    </row>
    <row r="50" spans="1:4">
      <c r="A50" s="336"/>
      <c r="B50" s="336"/>
      <c r="C50" s="336"/>
      <c r="D50" s="336"/>
    </row>
    <row r="51" spans="1:4">
      <c r="A51" s="336"/>
      <c r="B51" s="336"/>
      <c r="C51" s="336"/>
      <c r="D51" s="336"/>
    </row>
    <row r="52" spans="1:4">
      <c r="A52" s="336"/>
      <c r="B52" s="336"/>
      <c r="C52" s="336"/>
      <c r="D52" s="336"/>
    </row>
    <row r="53" spans="1:4">
      <c r="A53" s="336"/>
      <c r="B53" s="336"/>
      <c r="C53" s="336"/>
      <c r="D53" s="336"/>
    </row>
    <row r="54" spans="1:4">
      <c r="A54" s="336"/>
      <c r="B54" s="336"/>
      <c r="C54" s="336"/>
      <c r="D54" s="336"/>
    </row>
    <row r="55" spans="1:4">
      <c r="A55" s="336"/>
      <c r="B55" s="336"/>
      <c r="C55" s="336"/>
      <c r="D55" s="336"/>
    </row>
    <row r="56" spans="1:4">
      <c r="A56" s="336"/>
      <c r="B56" s="336"/>
      <c r="C56" s="336"/>
      <c r="D56" s="336"/>
    </row>
    <row r="57" spans="1:4">
      <c r="A57" s="336"/>
      <c r="B57" s="336"/>
      <c r="C57" s="336"/>
      <c r="D57" s="336"/>
    </row>
    <row r="58" spans="1:4">
      <c r="A58" s="336"/>
      <c r="B58" s="336"/>
      <c r="C58" s="336"/>
      <c r="D58" s="336"/>
    </row>
    <row r="59" spans="1:4">
      <c r="A59" s="336"/>
      <c r="B59" s="336"/>
      <c r="C59" s="336"/>
      <c r="D59" s="336"/>
    </row>
    <row r="60" spans="1:4">
      <c r="A60" s="336"/>
      <c r="B60" s="336"/>
      <c r="C60" s="336"/>
      <c r="D60" s="336"/>
    </row>
    <row r="61" spans="1:4">
      <c r="A61" s="336"/>
      <c r="B61" s="336"/>
      <c r="C61" s="336"/>
      <c r="D61" s="336"/>
    </row>
    <row r="62" spans="1:4">
      <c r="A62" s="336"/>
      <c r="B62" s="336"/>
      <c r="C62" s="336"/>
      <c r="D62" s="336"/>
    </row>
    <row r="63" spans="1:4">
      <c r="A63" s="336"/>
      <c r="B63" s="336"/>
      <c r="C63" s="336"/>
      <c r="D63" s="336"/>
    </row>
    <row r="64" spans="1:4">
      <c r="A64" s="336"/>
      <c r="B64" s="336"/>
      <c r="C64" s="336"/>
      <c r="D64" s="336"/>
    </row>
    <row r="65" spans="1:4">
      <c r="A65" s="336"/>
      <c r="B65" s="336"/>
      <c r="C65" s="336"/>
      <c r="D65" s="336"/>
    </row>
    <row r="66" spans="1:4">
      <c r="A66" s="336"/>
      <c r="B66" s="336"/>
      <c r="C66" s="336"/>
      <c r="D66" s="336"/>
    </row>
    <row r="67" spans="1:4">
      <c r="A67" s="336"/>
      <c r="B67" s="336"/>
      <c r="C67" s="336"/>
      <c r="D67" s="336"/>
    </row>
    <row r="68" spans="1:4">
      <c r="A68" s="336"/>
      <c r="B68" s="336"/>
      <c r="C68" s="336"/>
      <c r="D68" s="336"/>
    </row>
    <row r="69" spans="1:4">
      <c r="A69" s="336"/>
      <c r="B69" s="336"/>
      <c r="C69" s="336"/>
      <c r="D69" s="336"/>
    </row>
    <row r="70" spans="1:4">
      <c r="A70" s="336"/>
      <c r="B70" s="336"/>
      <c r="C70" s="336"/>
      <c r="D70" s="336"/>
    </row>
    <row r="71" spans="1:4">
      <c r="A71" s="336"/>
      <c r="B71" s="336"/>
      <c r="C71" s="336"/>
      <c r="D71" s="336"/>
    </row>
    <row r="72" spans="1:4">
      <c r="A72" s="336"/>
      <c r="B72" s="336"/>
      <c r="C72" s="336"/>
      <c r="D72" s="336"/>
    </row>
    <row r="73" spans="1:4">
      <c r="A73" s="336"/>
      <c r="B73" s="336"/>
      <c r="C73" s="336"/>
      <c r="D73" s="336"/>
    </row>
    <row r="74" spans="1:4">
      <c r="A74" s="336"/>
      <c r="B74" s="336"/>
      <c r="C74" s="336"/>
      <c r="D74" s="336"/>
    </row>
    <row r="75" spans="1:4">
      <c r="A75" s="336"/>
      <c r="B75" s="336"/>
      <c r="C75" s="336"/>
      <c r="D75" s="336"/>
    </row>
    <row r="76" spans="1:4">
      <c r="A76" s="336"/>
      <c r="B76" s="336"/>
      <c r="C76" s="336"/>
      <c r="D76" s="336"/>
    </row>
    <row r="77" spans="1:4">
      <c r="A77" s="336"/>
      <c r="B77" s="336"/>
      <c r="C77" s="336"/>
      <c r="D77" s="336"/>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3" sqref="A13:B13"/>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malumot!B154</f>
        <v>«CLEVER MIKROMOLIYA TASHKILOTI» MChJ</v>
      </c>
    </row>
    <row r="7" spans="1:2" ht="33" customHeight="1">
      <c r="A7" s="168"/>
      <c r="B7" s="159" t="str">
        <f>""&amp;malumot!A156&amp;" "&amp;malumot!B156&amp;"ga"</f>
        <v>Olmaliq filiali boshlig'i V. Yerjanovga</v>
      </c>
    </row>
    <row r="8" spans="1:2">
      <c r="A8" s="150"/>
      <c r="B8" s="159" t="str">
        <f>""&amp;malumot!B117&amp;"dan"</f>
        <v>NUTFULLAYEV AKBARJON AXMEDOVICHdan</v>
      </c>
    </row>
    <row r="9" spans="1:2" ht="15.75" hidden="1" customHeight="1">
      <c r="B9" s="7" t="str">
        <f>malumot!B117</f>
        <v>NUTFULLAYEV AKBARJON AXMEDOVICH</v>
      </c>
    </row>
    <row r="10" spans="1:2" ht="15.75" hidden="1" customHeight="1">
      <c r="B10" s="7" t="str">
        <f>malumot!C117</f>
        <v>NUTFULLAYEV AKBARJON AXMEDOVICH</v>
      </c>
    </row>
    <row r="11" spans="1:2" ht="15.75" hidden="1" customHeight="1">
      <c r="B11" s="150" t="s">
        <v>273</v>
      </c>
    </row>
    <row r="12" spans="1:2"/>
    <row r="13" spans="1:2" ht="115.5" customHeight="1">
      <c r="A13" s="384" t="str">
        <f>IF(malumot!B109="Avtotransport",A14,A15)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384"/>
    </row>
    <row r="14" spans="1:2" ht="124.5" hidden="1" customHeight="1">
      <c r="A14" s="384" t="str">
        <f>""&amp;malumot!B12&amp;" tomonidan so’ralayotgan "&amp;malumot!B81&amp;" ("&amp;malumot!B82&amp;") oy muddatga, "&amp;FIXED(malumot!B75,0)&amp;" ("&amp;malumot!B76&amp;") miqdoridagi "&amp;malumot!B65&amp;"ning ta’minoti sifatida menga mulk huquqi asosida tegishli bo’lgan  "&amp;malumot!B131&amp;", "&amp;malumot!B133&amp;", "&amp;malumot!B136&amp;", "&amp;malumot!B139&amp;",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384"/>
    </row>
    <row r="15" spans="1:2" ht="116.25" hidden="1" customHeight="1">
      <c r="A15" s="384" t="str">
        <f>""&amp;malumot!B12&amp;" tomonidan so’ralayotgan "&amp;malumot!B81&amp;" ("&amp;malumot!B82&amp;") oy muddatga, "&amp;FIXED(malumot!B75,0)&amp;" ("&amp;malumot!B76&amp;") miqdoridagi "&amp;malumot!B65&amp;"ning ta’minoti sifatida menga mulk huquqi asosida tegishli bo’lgan  "&amp;malumot!C132&amp;", umumiy maydoni "&amp;malumot!C136&amp;" va yashash maydoni "&amp;malumot!C139&amp;"  "&amp;malumot!C129&amp;"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384"/>
    </row>
    <row r="16" spans="1:2"/>
    <row r="17" spans="1:2"/>
    <row r="18" spans="1:2">
      <c r="B18" s="7" t="s">
        <v>272</v>
      </c>
    </row>
    <row r="19" spans="1:2" ht="18.75" customHeight="1">
      <c r="A19" s="6" t="str">
        <f>IF(malumot!B100=malumot!C100,malumot!B118,malumot!B7)</f>
        <v>A.A.NUTFULLAYEV</v>
      </c>
      <c r="B19" s="56" t="str">
        <f>malumot!B2</f>
        <v>11.03.2025</v>
      </c>
    </row>
    <row r="20" spans="1:2" ht="71.25" customHeight="1">
      <c r="A20" s="341" t="str">
        <f>IF(malumot!B100=malumot!D100,CONCATENATE(A24," ",A28,A22),"")</f>
        <v/>
      </c>
      <c r="B20" s="341"/>
    </row>
    <row r="21" spans="1:2">
      <c r="A21" s="6" t="s">
        <v>27</v>
      </c>
    </row>
    <row r="22" spans="1:2" hidden="1">
      <c r="A22" s="6" t="str">
        <f>" xususiy faoliyat ko'rsatuvchi notarius tomonidan "&amp;malumot!B104&amp;" "&amp;malumot!B105&amp;" berilgan ishonchnomaga asosan "</f>
        <v xml:space="preserve"> xususiy faoliyat ko'rsatuvchi notarius tomonidan   berilgan ishonchnomaga asosan </v>
      </c>
    </row>
    <row r="24" spans="1:2" hidden="1">
      <c r="A24" s="6" t="str">
        <f>"№"&amp;malumot!B106&amp; ""</f>
        <v>№</v>
      </c>
    </row>
    <row r="25" spans="1:2" hidden="1">
      <c r="A25" s="6" t="str">
        <f>malumot!B108</f>
        <v>00.01.1900</v>
      </c>
    </row>
    <row r="26" spans="1:2" hidden="1">
      <c r="A26" s="6" t="str">
        <f>TEXT(A25,"ДД.ММ.ГГГГ")</f>
        <v>00.01.1900</v>
      </c>
    </row>
    <row r="27" spans="1:2" hidden="1">
      <c r="A27" s="6" t="s">
        <v>384</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4" t="s">
        <v>49</v>
      </c>
    </row>
    <row r="3" spans="1:5">
      <c r="A3" s="104" t="s">
        <v>50</v>
      </c>
    </row>
    <row r="6" spans="1:5" ht="20.25" customHeight="1">
      <c r="E6" s="105" t="s">
        <v>36</v>
      </c>
    </row>
    <row r="7" spans="1:5">
      <c r="E7" s="105" t="s">
        <v>51</v>
      </c>
    </row>
    <row r="9" spans="1:5" ht="107.25" customHeight="1">
      <c r="A9" s="386" t="str">
        <f>"          Между ООО «Clever Mikrokredit Tashkiloti» и "&amp;malumot!B5&amp;"  (паспорт: "&amp;malumot!B16&amp;" "&amp;malumot!B20&amp;") заключен договор микрозайма "&amp;malumot!B74&amp;", на сумму "&amp;FIXED(malumot!B75)&amp;" ("&amp;malumot!B76&amp;") сум, сроком на "&amp;malumot!B81&amp;" ("&amp;malumot!B82&amp;") месяцев. В качестве своевременного исполнения обязательств по договору Микрозайма "&amp;malumot!B74&amp;" планирует предоставить нижеследующее "&amp;IF(malumot!B109=malumot!C109,"автотранспортного средство марки "&amp;malumot!B131&amp;" принадлежащее на правах собственности "&amp;malumot!B123&amp;"","недвижимого имущества в виде "&amp;malumot!C132&amp;", общей площадью - "&amp;malumot!C136&amp;" и жилой площадью - "&amp;malumot!C139&amp;", расположенного по адресу: "&amp;malumot!C129&amp;", принадлежащее на правах собственности "&amp;malumot!C123&amp;".")</f>
        <v xml:space="preserve">          Между ООО «Clever Mikrokredit Tashkiloti» и NUTFULLAYEV AKBARJON AXMEDOVICH  (паспорт: AA 9481167 BUXORO VILOYATI BUXORO SHAHAR IIB tomonidan 24.04.2015 yilda berilgan) заключен договор микрозайма 11 mart 2025 y.dan № 23-AL, на сумму 27 000 000,00 (yigirma yetti million so'm) сум, сроком на 36 (o'ttiz olti) месяцев. В качестве своевременного исполнения обязательств по договору Микрозайма 11 mart 2025 y.dan № 23-AL планирует предоставить нижеследующее автотранспортного средство марки CHANGAN CHANGAN SC 1027SB принадлежащее на правах собственности NUTFULLAYEV AKBARJON AXMEDOVICH</v>
      </c>
      <c r="B9" s="386"/>
      <c r="C9" s="386"/>
      <c r="D9" s="386"/>
      <c r="E9" s="386"/>
    </row>
    <row r="11" spans="1:5" ht="28.5">
      <c r="A11" s="39" t="str">
        <f>buyruq!A19</f>
        <v>Nomi</v>
      </c>
      <c r="B11" s="39" t="str">
        <f>buyruq!B19</f>
        <v>Kuzov turi  va kuzov raqami*</v>
      </c>
      <c r="C11" s="39" t="str">
        <f>buyruq!C19</f>
        <v>Dvigatel va shassi raqami*</v>
      </c>
      <c r="D11" s="39" t="str">
        <f>buyruq!D19</f>
        <v>Ishlab chiqarilgan yili va rangi*</v>
      </c>
      <c r="E11" s="39" t="str">
        <f>buyruq!E19</f>
        <v>Kelishilgan garov qiymati, so'm</v>
      </c>
    </row>
    <row r="12" spans="1:5" ht="73.5" customHeight="1">
      <c r="A12" s="39" t="str">
        <f>buyruq!A20</f>
        <v>CHANGAN CHANGAN SC 1027SB</v>
      </c>
      <c r="B12" s="39" t="str">
        <f>buyruq!B20</f>
        <v>kuzov turi - YUK BORTLI TENT, kuzov raqami LSCAB23D8EG228387</v>
      </c>
      <c r="C12" s="39" t="str">
        <f>buyruq!C20</f>
        <v>dvigatel raqami JL466Q1%E61H022801, shassi raqami - URINDIKLAR SONI 5TA</v>
      </c>
      <c r="D12" s="39" t="str">
        <f>buyruq!D20</f>
        <v>rangi -  OQ BELIY, ishlab chiqarilgan yili - 2014</v>
      </c>
      <c r="E12" s="39" t="str">
        <f>buyruq!E20</f>
        <v>40 500 000,00 
(qirq million besh yuz ming so'm)</v>
      </c>
    </row>
    <row r="13" spans="1:5">
      <c r="A13" s="390" t="str">
        <f>buyruq!A21:E21</f>
        <v>-* avtotransport egasi: NUTFULLAYEV AKBARJON AXMEDOVICH</v>
      </c>
      <c r="B13" s="390"/>
      <c r="C13" s="390"/>
      <c r="D13" s="390"/>
      <c r="E13" s="390"/>
    </row>
    <row r="14" spans="1:5">
      <c r="A14" s="390" t="str">
        <f>buyruq!A22:E22</f>
        <v>-* texnik pasport: AAG   2346592  13.09.2023y</v>
      </c>
      <c r="B14" s="390"/>
      <c r="C14" s="390"/>
      <c r="D14" s="390"/>
      <c r="E14" s="390"/>
    </row>
    <row r="15" spans="1:5">
      <c r="A15" s="390" t="str">
        <f>buyruq!A23:E23</f>
        <v>-* roʻyxatdan oʻtgan manzili/garaj manzili: BUXORO VILOYATI BUXORO SHAHAR TADBIRKOR KO'CHASI 12-UY</v>
      </c>
      <c r="B15" s="390"/>
      <c r="C15" s="390"/>
      <c r="D15" s="390"/>
      <c r="E15" s="390"/>
    </row>
    <row r="16" spans="1:5">
      <c r="A16" s="390" t="str">
        <f>buyruq!A24:E24</f>
        <v>-* davlat raqami: 80T312WA</v>
      </c>
      <c r="B16" s="390"/>
      <c r="C16" s="390"/>
      <c r="D16" s="390"/>
      <c r="E16" s="390"/>
    </row>
    <row r="17" spans="1:5" ht="3" customHeight="1"/>
    <row r="19" spans="1:5" ht="59.25" hidden="1" customHeight="1">
      <c r="A19" s="39" t="str">
        <f>dalolatnoma!A32</f>
        <v>Наименование</v>
      </c>
      <c r="B19" s="39" t="str">
        <f>dalolatnoma!B32</f>
        <v>Полезная площадь</v>
      </c>
      <c r="C19" s="39" t="str">
        <f>dalolatnoma!C32</f>
        <v>Жилая площадь</v>
      </c>
      <c r="D19" s="39" t="str">
        <f>dalolatnoma!D32</f>
        <v>Общая площадь</v>
      </c>
      <c r="E19" s="39" t="str">
        <f>dalolatnoma!E32</f>
        <v>Согласованная залоговая стоимость, сум</v>
      </c>
    </row>
    <row r="20" spans="1:5" ht="17.25" hidden="1" customHeight="1">
      <c r="A20" s="17" t="e">
        <f>dalolatnoma!A33</f>
        <v>#REF!</v>
      </c>
      <c r="B20" s="17" t="e">
        <f>dalolatnoma!B33</f>
        <v>#REF!</v>
      </c>
      <c r="C20" s="17" t="e">
        <f>dalolatnoma!C33</f>
        <v>#REF!</v>
      </c>
      <c r="D20" s="17" t="e">
        <f>dalolatnoma!D33</f>
        <v>#REF!</v>
      </c>
      <c r="E20" s="330" t="str">
        <f>""&amp;FIXED(malumot!C142,2)&amp;" ("&amp;malumot!C143&amp;")"</f>
        <v>40 500 000,00 (qirq million besh yuz ming so'm)</v>
      </c>
    </row>
    <row r="21" spans="1:5" ht="17.25" hidden="1" customHeight="1">
      <c r="A21" s="17">
        <f>dalolatnoma!A34</f>
        <v>0</v>
      </c>
      <c r="B21" s="17">
        <f>dalolatnoma!B34</f>
        <v>0</v>
      </c>
      <c r="C21" s="17">
        <f>dalolatnoma!C34</f>
        <v>0</v>
      </c>
      <c r="D21" s="17">
        <f>dalolatnoma!D34</f>
        <v>0</v>
      </c>
      <c r="E21" s="331"/>
    </row>
    <row r="22" spans="1:5" ht="17.25" hidden="1" customHeight="1">
      <c r="A22" s="17" t="e">
        <f>dalolatnoma!A35</f>
        <v>#REF!</v>
      </c>
      <c r="B22" s="17" t="e">
        <f>dalolatnoma!B35</f>
        <v>#REF!</v>
      </c>
      <c r="C22" s="17" t="e">
        <f>dalolatnoma!C35</f>
        <v>#REF!</v>
      </c>
      <c r="D22" s="17" t="e">
        <f>dalolatnoma!D35</f>
        <v>#REF!</v>
      </c>
      <c r="E22" s="331"/>
    </row>
    <row r="23" spans="1:5" ht="17.25" hidden="1" customHeight="1">
      <c r="A23" s="17" t="e">
        <f>dalolatnoma!A36</f>
        <v>#REF!</v>
      </c>
      <c r="B23" s="17" t="e">
        <f>dalolatnoma!B36</f>
        <v>#REF!</v>
      </c>
      <c r="C23" s="17" t="e">
        <f>dalolatnoma!C36</f>
        <v>#REF!</v>
      </c>
      <c r="D23" s="17" t="e">
        <f>dalolatnoma!D36</f>
        <v>#REF!</v>
      </c>
      <c r="E23" s="331"/>
    </row>
    <row r="24" spans="1:5" ht="17.25" hidden="1" customHeight="1">
      <c r="A24" s="17" t="e">
        <f>dalolatnoma!A37</f>
        <v>#REF!</v>
      </c>
      <c r="B24" s="17" t="e">
        <f>dalolatnoma!B37</f>
        <v>#REF!</v>
      </c>
      <c r="C24" s="17" t="e">
        <f>dalolatnoma!C37</f>
        <v>#REF!</v>
      </c>
      <c r="D24" s="17" t="e">
        <f>dalolatnoma!D37</f>
        <v>#REF!</v>
      </c>
      <c r="E24" s="331"/>
    </row>
    <row r="25" spans="1:5" ht="15.75" hidden="1" customHeight="1">
      <c r="A25" s="17" t="e">
        <f>dalolatnoma!A38</f>
        <v>#REF!</v>
      </c>
      <c r="B25" s="17" t="e">
        <f>dalolatnoma!B38</f>
        <v>#REF!</v>
      </c>
      <c r="C25" s="17" t="e">
        <f>dalolatnoma!C38</f>
        <v>#REF!</v>
      </c>
      <c r="D25" s="17" t="e">
        <f>dalolatnoma!D38</f>
        <v>#REF!</v>
      </c>
      <c r="E25" s="331"/>
    </row>
    <row r="26" spans="1:5" ht="17.25" hidden="1" customHeight="1">
      <c r="A26" s="17" t="e">
        <f>dalolatnoma!A39</f>
        <v>#REF!</v>
      </c>
      <c r="B26" s="17" t="e">
        <f>dalolatnoma!B39</f>
        <v>#REF!</v>
      </c>
      <c r="C26" s="17" t="e">
        <f>dalolatnoma!C39</f>
        <v>#REF!</v>
      </c>
      <c r="D26" s="17" t="e">
        <f>dalolatnoma!D39</f>
        <v>#REF!</v>
      </c>
      <c r="E26" s="331"/>
    </row>
    <row r="27" spans="1:5" ht="17.25" hidden="1" customHeight="1">
      <c r="A27" s="17" t="e">
        <f>dalolatnoma!A40</f>
        <v>#REF!</v>
      </c>
      <c r="B27" s="17" t="e">
        <f>dalolatnoma!B40</f>
        <v>#REF!</v>
      </c>
      <c r="C27" s="17" t="e">
        <f>dalolatnoma!C40</f>
        <v>#REF!</v>
      </c>
      <c r="D27" s="17" t="e">
        <f>dalolatnoma!D40</f>
        <v>#REF!</v>
      </c>
      <c r="E27" s="331"/>
    </row>
    <row r="28" spans="1:5" ht="17.25" hidden="1" customHeight="1">
      <c r="A28" s="17" t="e">
        <f>dalolatnoma!A41</f>
        <v>#REF!</v>
      </c>
      <c r="B28" s="17" t="e">
        <f>dalolatnoma!B41</f>
        <v>#REF!</v>
      </c>
      <c r="C28" s="17" t="e">
        <f>dalolatnoma!C41</f>
        <v>#REF!</v>
      </c>
      <c r="D28" s="17" t="e">
        <f>dalolatnoma!D41</f>
        <v>#REF!</v>
      </c>
      <c r="E28" s="331"/>
    </row>
    <row r="29" spans="1:5" ht="17.25" hidden="1" customHeight="1">
      <c r="A29" s="17" t="e">
        <f>dalolatnoma!A42</f>
        <v>#REF!</v>
      </c>
      <c r="B29" s="17" t="e">
        <f>dalolatnoma!B42</f>
        <v>#REF!</v>
      </c>
      <c r="C29" s="17" t="e">
        <f>dalolatnoma!C42</f>
        <v>#REF!</v>
      </c>
      <c r="D29" s="17" t="e">
        <f>dalolatnoma!D42</f>
        <v>#REF!</v>
      </c>
      <c r="E29" s="331"/>
    </row>
    <row r="30" spans="1:5" ht="17.25" hidden="1" customHeight="1">
      <c r="A30" s="17" t="e">
        <f>dalolatnoma!A43</f>
        <v>#REF!</v>
      </c>
      <c r="B30" s="17" t="e">
        <f>dalolatnoma!B43</f>
        <v>#REF!</v>
      </c>
      <c r="C30" s="17" t="e">
        <f>dalolatnoma!C43</f>
        <v>#REF!</v>
      </c>
      <c r="D30" s="17" t="e">
        <f>dalolatnoma!D43</f>
        <v>#REF!</v>
      </c>
      <c r="E30" s="332"/>
    </row>
    <row r="31" spans="1:5" ht="17.25" hidden="1" customHeight="1">
      <c r="A31" s="17" t="e">
        <f>dalolatnoma!A44</f>
        <v>#REF!</v>
      </c>
      <c r="B31" s="17" t="e">
        <f>dalolatnoma!B44</f>
        <v>#REF!</v>
      </c>
      <c r="C31" s="17" t="e">
        <f>dalolatnoma!C44</f>
        <v>#REF!</v>
      </c>
      <c r="D31" s="17" t="e">
        <f>dalolatnoma!D44</f>
        <v>#REF!</v>
      </c>
      <c r="E31" s="17" t="str">
        <f>dalolatnoma!E44</f>
        <v>40 500 000,00</v>
      </c>
    </row>
    <row r="32" spans="1:5" ht="18.75" hidden="1" customHeight="1">
      <c r="A32" s="386" t="e">
        <f>_xlfn.SINGLE(dalolatnoma!#REF!)</f>
        <v>#REF!</v>
      </c>
      <c r="B32" s="386"/>
      <c r="C32" s="386"/>
      <c r="D32" s="386"/>
      <c r="E32" s="386"/>
    </row>
    <row r="33" spans="1:5" ht="24.75" hidden="1" customHeight="1">
      <c r="A33" s="386" t="e">
        <f>_xlfn.SINGLE(dalolatnoma!#REF!)</f>
        <v>#REF!</v>
      </c>
      <c r="B33" s="386"/>
      <c r="C33" s="386"/>
      <c r="D33" s="386"/>
      <c r="E33" s="386"/>
    </row>
    <row r="34" spans="1:5" ht="30.75" hidden="1" customHeight="1">
      <c r="A34" s="386" t="e">
        <f>_xlfn.SINGLE(dalolatnoma!#REF!)</f>
        <v>#REF!</v>
      </c>
      <c r="B34" s="386"/>
      <c r="C34" s="386"/>
      <c r="D34" s="386"/>
      <c r="E34" s="386"/>
    </row>
    <row r="35" spans="1:5" ht="15" hidden="1" customHeight="1">
      <c r="A35" s="386" t="e">
        <f>_xlfn.SINGLE(dalolatnoma!#REF!)</f>
        <v>#REF!</v>
      </c>
      <c r="B35" s="386"/>
      <c r="C35" s="386"/>
      <c r="D35" s="386"/>
      <c r="E35" s="386"/>
    </row>
    <row r="36" spans="1:5">
      <c r="A36" s="22"/>
      <c r="B36" s="22"/>
      <c r="C36" s="22"/>
      <c r="D36" s="22"/>
      <c r="E36" s="22"/>
    </row>
    <row r="37" spans="1:5" s="126" customFormat="1" ht="51" customHeight="1">
      <c r="A37" s="389" t="str">
        <f>dalolatnoma!A46:E46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89"/>
      <c r="C37" s="389"/>
      <c r="D37" s="389"/>
      <c r="E37" s="389"/>
    </row>
    <row r="38" spans="1:5" ht="40.5" customHeight="1">
      <c r="A38" s="386" t="str">
        <f>dalolatnoma!A47:E47</f>
        <v>Shu bilan birga, garov predmetining kelishilgan garov qiymati deganda ushbu mulk garov sifatida taqdim etilgan/qabul qilingan qiymati tushuniladi.</v>
      </c>
      <c r="B38" s="386"/>
      <c r="C38" s="386"/>
      <c r="D38" s="386"/>
      <c r="E38" s="386"/>
    </row>
    <row r="39" spans="1:5" ht="39" customHeight="1">
      <c r="A39" s="386"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23-AL, при сохранении запрета.</v>
      </c>
      <c r="B39" s="386"/>
      <c r="C39" s="386"/>
      <c r="D39" s="386"/>
      <c r="E39" s="386"/>
    </row>
    <row r="40" spans="1:5">
      <c r="A40" s="387"/>
      <c r="B40" s="387"/>
      <c r="C40" s="387"/>
      <c r="D40" s="387"/>
      <c r="E40" s="387"/>
    </row>
    <row r="41" spans="1:5">
      <c r="A41" s="388" t="s">
        <v>37</v>
      </c>
      <c r="B41" s="388"/>
      <c r="C41" s="388"/>
      <c r="D41" s="388"/>
      <c r="E41" s="388"/>
    </row>
    <row r="42" spans="1:5">
      <c r="A42" s="387"/>
      <c r="B42" s="387"/>
      <c r="C42" s="387"/>
      <c r="D42" s="387"/>
      <c r="E42" s="387"/>
    </row>
    <row r="43" spans="1:5">
      <c r="A43" s="388" t="s">
        <v>38</v>
      </c>
      <c r="B43" s="388"/>
      <c r="C43" s="388"/>
      <c r="D43" s="388"/>
      <c r="E43" s="388"/>
    </row>
    <row r="44" spans="1:5" ht="28.5" customHeight="1">
      <c r="A44" s="385" t="s">
        <v>39</v>
      </c>
      <c r="B44" s="385"/>
      <c r="C44" s="385"/>
      <c r="D44" s="385"/>
      <c r="E44" s="106"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zoomScaleNormal="100" zoomScaleSheetLayoutView="100" workbookViewId="0">
      <selection activeCell="H5" sqref="H5"/>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98"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98"/>
      <c r="C2" s="398"/>
      <c r="D2" s="398"/>
      <c r="E2" s="398"/>
      <c r="F2" s="398"/>
      <c r="G2" s="398"/>
      <c r="H2" s="398"/>
      <c r="I2" s="31"/>
    </row>
    <row r="3" spans="1:9">
      <c r="A3" s="398"/>
      <c r="B3" s="398"/>
      <c r="C3" s="398"/>
      <c r="D3" s="398"/>
      <c r="E3" s="398"/>
      <c r="F3" s="398"/>
      <c r="G3" s="398"/>
      <c r="H3" s="398"/>
      <c r="I3" s="31"/>
    </row>
    <row r="5" spans="1:9">
      <c r="A5" s="24" t="s">
        <v>203</v>
      </c>
      <c r="F5" s="151"/>
      <c r="H5" s="136" t="str">
        <f>TEXT(malumot!D2,"ДД.ММ.ГГГГ")</f>
        <v>07.09.2025</v>
      </c>
    </row>
    <row r="7" spans="1:9" ht="45" customHeight="1">
      <c r="A7" s="397" t="str">
        <f>"      Men, “СLEVER MIKROMOLYA TASHKILOTI” "&amp;malumot!A156&amp;"i "&amp;malumot!B156&amp;", jismoniy shaxs "&amp;" "&amp;malumot!B5&amp;" "&amp;" "&amp;malumot!B74&amp;"-sonli "&amp;malumot!B65&amp;" shartnomasi bo‘yicha garovga qo‘yilgan mol-mulkni ko‘zdan kechirdim"</f>
        <v xml:space="preserve">      Men, “СLEVER MIKROMOLYA TASHKILOTI” Olmaliq filiali boshlig'ii V. Yerjanov, jismoniy shaxs  NUTFULLAYEV AKBARJON AXMEDOVICH  11 mart 2025 y.dan № 23-AL-sonli mikroqarz shartnomasi bo‘yicha garovga qo‘yilgan mol-mulkni ko‘zdan kechirdim</v>
      </c>
      <c r="B7" s="397"/>
      <c r="C7" s="397"/>
      <c r="D7" s="397"/>
      <c r="E7" s="397"/>
      <c r="F7" s="397"/>
      <c r="G7" s="397"/>
      <c r="H7" s="397"/>
    </row>
    <row r="8" spans="1:9" ht="19.5" customHeight="1">
      <c r="A8" s="392" t="s">
        <v>274</v>
      </c>
      <c r="B8" s="392"/>
      <c r="C8" s="392"/>
      <c r="D8" s="392"/>
      <c r="E8" s="392"/>
      <c r="F8" s="392"/>
      <c r="G8" s="392"/>
      <c r="H8" s="392"/>
    </row>
    <row r="9" spans="1:9" s="137" customFormat="1" ht="32.25" customHeight="1">
      <c r="A9" s="393" t="str">
        <f>dalolatnoma!A20</f>
        <v>Nomi</v>
      </c>
      <c r="B9" s="394"/>
      <c r="C9" s="393" t="str">
        <f>dalolatnoma!B20</f>
        <v>Kuzov turi  va kuzov raqami*</v>
      </c>
      <c r="D9" s="394"/>
      <c r="E9" s="393" t="str">
        <f>dalolatnoma!D20</f>
        <v>Dvigatel va shassi raqami*</v>
      </c>
      <c r="F9" s="394"/>
      <c r="G9" s="393" t="str">
        <f>dalolatnoma!E20</f>
        <v>Ishlab chiqarilgan yili va rangi**</v>
      </c>
      <c r="H9" s="394"/>
    </row>
    <row r="10" spans="1:9" s="135" customFormat="1" ht="58.5" customHeight="1">
      <c r="A10" s="395" t="str">
        <f>dalolatnoma!A21</f>
        <v>CHANGAN CHANGAN SC 1027SB</v>
      </c>
      <c r="B10" s="395"/>
      <c r="C10" s="395" t="str">
        <f>dalolatnoma!B21</f>
        <v>kuzov turi - YUK BORTLI TENT, kuzov raqami LSCAB23D8EG228387</v>
      </c>
      <c r="D10" s="395"/>
      <c r="E10" s="395" t="str">
        <f>dalolatnoma!D21</f>
        <v>dvigatel raqami JL466Q1%E61H022801, shassi raqami - URINDIKLAR SONI 5TA</v>
      </c>
      <c r="F10" s="395"/>
      <c r="G10" s="395" t="str">
        <f>dalolatnoma!E21</f>
        <v>rangi -  OQ BELIY, ishlab chiqarilgan yili - 2014</v>
      </c>
      <c r="H10" s="395"/>
    </row>
    <row r="11" spans="1:9" ht="19.5" customHeight="1">
      <c r="A11" s="396" t="str">
        <f>dalolatnoma!A22:E22</f>
        <v>-* avtotransport egasi: NUTFULLAYEV AKBARJON AXMEDOVICH</v>
      </c>
      <c r="B11" s="396"/>
      <c r="C11" s="396"/>
      <c r="D11" s="396"/>
      <c r="E11" s="396"/>
      <c r="F11" s="396"/>
      <c r="G11" s="396"/>
      <c r="H11" s="396"/>
    </row>
    <row r="12" spans="1:9" ht="19.5" customHeight="1">
      <c r="A12" s="396" t="str">
        <f>dalolatnoma!A23:E23</f>
        <v>-* texnik pasport: AAG   2346592  13.09.2023y</v>
      </c>
      <c r="B12" s="396"/>
      <c r="C12" s="396"/>
      <c r="D12" s="396"/>
      <c r="E12" s="396"/>
      <c r="F12" s="396"/>
      <c r="G12" s="396"/>
      <c r="H12" s="396"/>
    </row>
    <row r="13" spans="1:9" ht="19.5" customHeight="1">
      <c r="A13" s="396" t="str">
        <f>dalolatnoma!A24:E24</f>
        <v>-* roʻyxatdan oʻtgan manzili/garaj manzili: BUXORO VILOYATI BUXORO SHAHAR TADBIRKOR KO'CHASI 12-UY</v>
      </c>
      <c r="B13" s="396"/>
      <c r="C13" s="396"/>
      <c r="D13" s="396"/>
      <c r="E13" s="396"/>
      <c r="F13" s="396"/>
      <c r="G13" s="396"/>
      <c r="H13" s="396"/>
    </row>
    <row r="14" spans="1:9" ht="19.5" customHeight="1">
      <c r="A14" s="396" t="str">
        <f>dalolatnoma!A25:E25</f>
        <v>-* davlat raqami: 80T312WA</v>
      </c>
      <c r="B14" s="396"/>
      <c r="C14" s="396"/>
      <c r="D14" s="396"/>
      <c r="E14" s="396"/>
      <c r="F14" s="396"/>
      <c r="G14" s="396"/>
      <c r="H14" s="396"/>
    </row>
    <row r="15" spans="1:9" ht="33.75" customHeight="1">
      <c r="A15" s="399" t="str">
        <f>+"Shu bilan birga, yuqoridagi mulkning kelishilgan garov qiymati "&amp;dalolatnoma!E30</f>
        <v>Shu bilan birga, yuqoridagi mulkning kelishilgan garov qiymati 40 500 000,00 
(qirq million besh yuz ming so'm)</v>
      </c>
      <c r="B15" s="399"/>
      <c r="C15" s="399"/>
      <c r="D15" s="399"/>
      <c r="E15" s="399"/>
      <c r="F15" s="399"/>
      <c r="G15" s="399"/>
      <c r="H15" s="399"/>
    </row>
    <row r="17" spans="1:8" ht="27" customHeight="1">
      <c r="A17" s="391" t="s">
        <v>275</v>
      </c>
      <c r="B17" s="391"/>
      <c r="C17" s="391"/>
      <c r="D17" s="391"/>
      <c r="E17" s="391"/>
      <c r="F17" s="391"/>
      <c r="G17" s="391"/>
      <c r="H17" s="391"/>
    </row>
    <row r="21" spans="1:8" s="31" customFormat="1"/>
    <row r="22" spans="1:8" s="31" customFormat="1">
      <c r="A22" s="31" t="str">
        <f>malumot!A156</f>
        <v>Olmaliq filiali boshlig'i</v>
      </c>
      <c r="H22" s="138" t="str">
        <f>malumot!B156</f>
        <v>V. Yerjanov</v>
      </c>
    </row>
    <row r="23" spans="1:8" s="31" customFormat="1" ht="32.25" customHeight="1">
      <c r="H23" s="138"/>
    </row>
    <row r="24" spans="1:8" s="31" customFormat="1" ht="16.5" customHeight="1">
      <c r="A24" s="31" t="s">
        <v>276</v>
      </c>
      <c r="H24" s="31" t="str">
        <f>malumot!B166</f>
        <v>B. Jumanazarov</v>
      </c>
    </row>
    <row r="25" spans="1:8" s="31" customFormat="1" ht="60" customHeight="1"/>
    <row r="26" spans="1:8" s="31" customFormat="1">
      <c r="A26" s="31" t="s">
        <v>277</v>
      </c>
      <c r="H26" s="138" t="str">
        <f>malumot!B7</f>
        <v>A.A.NUTFULLAYEV</v>
      </c>
    </row>
    <row r="27" spans="1:8" s="31" customFormat="1"/>
    <row r="28" spans="1:8" s="31" customFormat="1"/>
    <row r="29" spans="1:8" s="31" customFormat="1"/>
    <row r="30" spans="1:8" s="31" customFormat="1"/>
  </sheetData>
  <mergeCells count="17">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98"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98"/>
      <c r="C2" s="398"/>
      <c r="D2" s="398"/>
      <c r="E2" s="398"/>
      <c r="F2" s="398"/>
      <c r="G2" s="398"/>
      <c r="H2" s="398"/>
      <c r="I2" s="31"/>
    </row>
    <row r="3" spans="1:9">
      <c r="A3" s="398"/>
      <c r="B3" s="398"/>
      <c r="C3" s="398"/>
      <c r="D3" s="398"/>
      <c r="E3" s="398"/>
      <c r="F3" s="398"/>
      <c r="G3" s="398"/>
      <c r="H3" s="398"/>
      <c r="I3" s="31"/>
    </row>
    <row r="5" spans="1:9">
      <c r="A5" s="24" t="s">
        <v>203</v>
      </c>
      <c r="H5" s="136" t="str">
        <f>TEXT(+malumot!B2+360,"ДД.ММ.ГГГГ")</f>
        <v>06.03.2026</v>
      </c>
    </row>
    <row r="7" spans="1:9" ht="45" customHeight="1">
      <c r="A7" s="397" t="str">
        <f>"      Men, "&amp;malumot!B153&amp;" "&amp;malumot!A156&amp;"i "&amp;malumot!B156&amp;", jismoniy shaxs "&amp;" "&amp;malumot!B5&amp;" "&amp;" "&amp;malumot!B74&amp;"-sonli "&amp;malumot!C64&amp;" shartnomasi bo‘yicha garovga qo‘yilgan mol-mulkni ko‘zdan kechirdim"</f>
        <v xml:space="preserve">      Men, «CLEVER MIKROMOLIYA TASHKILOTI» MChJ Olmaliq filiali boshlig'ii V. Yerjanov, jismoniy shaxs  NUTFULLAYEV AKBARJON AXMEDOVICH  11 mart 2025 y.dan № 23-AL-sonli Mikroqarz shartnomasi bo‘yicha garovga qo‘yilgan mol-mulkni ko‘zdan kechirdim</v>
      </c>
      <c r="B7" s="397"/>
      <c r="C7" s="397"/>
      <c r="D7" s="397"/>
      <c r="E7" s="397"/>
      <c r="F7" s="397"/>
      <c r="G7" s="397"/>
      <c r="H7" s="397"/>
    </row>
    <row r="8" spans="1:9" ht="19.5" customHeight="1">
      <c r="A8" s="392" t="s">
        <v>274</v>
      </c>
      <c r="B8" s="392"/>
      <c r="C8" s="392"/>
      <c r="D8" s="392"/>
      <c r="E8" s="392"/>
      <c r="F8" s="392"/>
      <c r="G8" s="392"/>
      <c r="H8" s="392"/>
    </row>
    <row r="9" spans="1:9" s="137" customFormat="1" ht="32.25" customHeight="1">
      <c r="A9" s="393" t="str">
        <f>' Акт мониторинга 1'!A9</f>
        <v>Nomi</v>
      </c>
      <c r="B9" s="394"/>
      <c r="C9" s="393" t="str">
        <f>' Акт мониторинга 1'!C9</f>
        <v>Kuzov turi  va kuzov raqami*</v>
      </c>
      <c r="D9" s="394"/>
      <c r="E9" s="393" t="str">
        <f>' Акт мониторинга 1'!E9</f>
        <v>Dvigatel va shassi raqami*</v>
      </c>
      <c r="F9" s="394"/>
      <c r="G9" s="393" t="str">
        <f>' Акт мониторинга 1'!G9</f>
        <v>Ishlab chiqarilgan yili va rangi**</v>
      </c>
      <c r="H9" s="394"/>
    </row>
    <row r="10" spans="1:9" s="135" customFormat="1" ht="58.5" customHeight="1">
      <c r="A10" s="395" t="str">
        <f>' Акт мониторинга 1'!A10</f>
        <v>CHANGAN CHANGAN SC 1027SB</v>
      </c>
      <c r="B10" s="395"/>
      <c r="C10" s="395" t="str">
        <f>' Акт мониторинга 1'!C10</f>
        <v>kuzov turi - YUK BORTLI TENT, kuzov raqami LSCAB23D8EG228387</v>
      </c>
      <c r="D10" s="395"/>
      <c r="E10" s="395" t="str">
        <f>' Акт мониторинга 1'!E10</f>
        <v>dvigatel raqami JL466Q1%E61H022801, shassi raqami - URINDIKLAR SONI 5TA</v>
      </c>
      <c r="F10" s="395"/>
      <c r="G10" s="395" t="str">
        <f>' Акт мониторинга 1'!G10</f>
        <v>rangi -  OQ BELIY, ishlab chiqarilgan yili - 2014</v>
      </c>
      <c r="H10" s="395"/>
    </row>
    <row r="11" spans="1:9" ht="19.5" customHeight="1">
      <c r="A11" s="396" t="str">
        <f>dalolatnoma!A22:E22</f>
        <v>-* avtotransport egasi: NUTFULLAYEV AKBARJON AXMEDOVICH</v>
      </c>
      <c r="B11" s="396"/>
      <c r="C11" s="396"/>
      <c r="D11" s="396"/>
      <c r="E11" s="396"/>
      <c r="F11" s="396"/>
      <c r="G11" s="396"/>
      <c r="H11" s="396"/>
    </row>
    <row r="12" spans="1:9" ht="19.5" customHeight="1">
      <c r="A12" s="396" t="str">
        <f>dalolatnoma!A23:E23</f>
        <v>-* texnik pasport: AAG   2346592  13.09.2023y</v>
      </c>
      <c r="B12" s="396"/>
      <c r="C12" s="396"/>
      <c r="D12" s="396"/>
      <c r="E12" s="396"/>
      <c r="F12" s="396"/>
      <c r="G12" s="396"/>
      <c r="H12" s="396"/>
    </row>
    <row r="13" spans="1:9" ht="19.5" customHeight="1">
      <c r="A13" s="396" t="str">
        <f>dalolatnoma!A24:E24</f>
        <v>-* roʻyxatdan oʻtgan manzili/garaj manzili: BUXORO VILOYATI BUXORO SHAHAR TADBIRKOR KO'CHASI 12-UY</v>
      </c>
      <c r="B13" s="396"/>
      <c r="C13" s="396"/>
      <c r="D13" s="396"/>
      <c r="E13" s="396"/>
      <c r="F13" s="396"/>
      <c r="G13" s="396"/>
      <c r="H13" s="396"/>
    </row>
    <row r="14" spans="1:9" ht="19.5" customHeight="1">
      <c r="A14" s="396" t="str">
        <f>dalolatnoma!A25:E25</f>
        <v>-* davlat raqami: 80T312WA</v>
      </c>
      <c r="B14" s="396"/>
      <c r="C14" s="396"/>
      <c r="D14" s="396"/>
      <c r="E14" s="396"/>
      <c r="F14" s="396"/>
      <c r="G14" s="396"/>
      <c r="H14" s="396"/>
    </row>
    <row r="15" spans="1:9" ht="33.75" customHeight="1">
      <c r="A15" s="399" t="str">
        <f>+"Shu bilan birga, yuqoridagi mulkning kelishilgan garov qiymati "&amp;dalolatnoma!E30</f>
        <v>Shu bilan birga, yuqoridagi mulkning kelishilgan garov qiymati 40 500 000,00 
(qirq million besh yuz ming so'm)</v>
      </c>
      <c r="B15" s="399"/>
      <c r="C15" s="399"/>
      <c r="D15" s="399"/>
      <c r="E15" s="399"/>
      <c r="F15" s="399"/>
      <c r="G15" s="399"/>
      <c r="H15" s="399"/>
    </row>
    <row r="17" spans="1:8" ht="35.25" customHeight="1">
      <c r="A17" s="391" t="s">
        <v>275</v>
      </c>
      <c r="B17" s="391"/>
      <c r="C17" s="391"/>
      <c r="D17" s="391"/>
      <c r="E17" s="391"/>
      <c r="F17" s="391"/>
      <c r="G17" s="391"/>
      <c r="H17" s="391"/>
    </row>
    <row r="21" spans="1:8" s="31" customFormat="1"/>
    <row r="22" spans="1:8" s="31" customFormat="1">
      <c r="A22" s="31" t="str">
        <f>malumot!A156</f>
        <v>Olmaliq filiali boshlig'i</v>
      </c>
      <c r="H22" s="138" t="str">
        <f>malumot!B156</f>
        <v>V. Yerjanov</v>
      </c>
    </row>
    <row r="23" spans="1:8" s="31" customFormat="1" ht="32.25" customHeight="1">
      <c r="H23" s="138"/>
    </row>
    <row r="24" spans="1:8" s="31" customFormat="1" ht="16.5" customHeight="1">
      <c r="A24" s="31" t="s">
        <v>276</v>
      </c>
      <c r="H24" s="31" t="str">
        <f>malumot!B166</f>
        <v>B. Jumanazarov</v>
      </c>
    </row>
    <row r="25" spans="1:8" s="31" customFormat="1" ht="60" customHeight="1"/>
    <row r="26" spans="1:8" s="31" customFormat="1">
      <c r="A26" s="31" t="s">
        <v>277</v>
      </c>
      <c r="H26" s="138" t="str">
        <f>malumot!B7</f>
        <v>A.A.NUTFULLAYEV</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7"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98"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98"/>
      <c r="C2" s="398"/>
      <c r="D2" s="398"/>
      <c r="E2" s="398"/>
      <c r="F2" s="398"/>
      <c r="G2" s="398"/>
      <c r="H2" s="398"/>
      <c r="I2" s="31"/>
    </row>
    <row r="3" spans="1:9">
      <c r="A3" s="398"/>
      <c r="B3" s="398"/>
      <c r="C3" s="398"/>
      <c r="D3" s="398"/>
      <c r="E3" s="398"/>
      <c r="F3" s="398"/>
      <c r="G3" s="398"/>
      <c r="H3" s="398"/>
      <c r="I3" s="31"/>
    </row>
    <row r="5" spans="1:9">
      <c r="A5" s="24" t="s">
        <v>203</v>
      </c>
      <c r="H5" s="136" t="str">
        <f>TEXT(+malumot!B2+540,"ДД.ММ.ГГГГ")</f>
        <v>02.09.2026</v>
      </c>
    </row>
    <row r="7" spans="1:9" ht="45" customHeight="1">
      <c r="A7" s="397" t="str">
        <f>"      Men, "&amp;malumot!B153&amp;" "&amp;malumot!A156&amp;"i "&amp;malumot!B156&amp;", jismoniy shaxs "&amp;" "&amp;malumot!B5&amp;" "&amp;" "&amp;malumot!B74&amp;"-sonli "&amp;malumot!C64&amp;" shartnomasi bo‘yicha garovga qo‘yilgan mol-mulkni ko‘zdan kechirdim"</f>
        <v xml:space="preserve">      Men, «CLEVER MIKROMOLIYA TASHKILOTI» MChJ Olmaliq filiali boshlig'ii V. Yerjanov, jismoniy shaxs  NUTFULLAYEV AKBARJON AXMEDOVICH  11 mart 2025 y.dan № 23-AL-sonli Mikroqarz shartnomasi bo‘yicha garovga qo‘yilgan mol-mulkni ko‘zdan kechirdim</v>
      </c>
      <c r="B7" s="397"/>
      <c r="C7" s="397"/>
      <c r="D7" s="397"/>
      <c r="E7" s="397"/>
      <c r="F7" s="397"/>
      <c r="G7" s="397"/>
      <c r="H7" s="397"/>
    </row>
    <row r="8" spans="1:9" ht="19.5" customHeight="1">
      <c r="A8" s="392" t="s">
        <v>274</v>
      </c>
      <c r="B8" s="392"/>
      <c r="C8" s="392"/>
      <c r="D8" s="392"/>
      <c r="E8" s="392"/>
      <c r="F8" s="392"/>
      <c r="G8" s="392"/>
      <c r="H8" s="392"/>
    </row>
    <row r="9" spans="1:9" s="137" customFormat="1" ht="32.25" customHeight="1">
      <c r="A9" s="393" t="str">
        <f>' Акт мониторинга 1'!A9</f>
        <v>Nomi</v>
      </c>
      <c r="B9" s="394"/>
      <c r="C9" s="393" t="str">
        <f>' Акт мониторинга 1'!C9</f>
        <v>Kuzov turi  va kuzov raqami*</v>
      </c>
      <c r="D9" s="394"/>
      <c r="E9" s="393" t="str">
        <f>' Акт мониторинга 1'!E9</f>
        <v>Dvigatel va shassi raqami*</v>
      </c>
      <c r="F9" s="394"/>
      <c r="G9" s="393" t="str">
        <f>' Акт мониторинга 1'!G9</f>
        <v>Ishlab chiqarilgan yili va rangi**</v>
      </c>
      <c r="H9" s="394"/>
    </row>
    <row r="10" spans="1:9" s="135" customFormat="1" ht="58.5" customHeight="1">
      <c r="A10" s="400" t="str">
        <f>' Акт мониторинга 1'!A10</f>
        <v>CHANGAN CHANGAN SC 1027SB</v>
      </c>
      <c r="B10" s="401"/>
      <c r="C10" s="400" t="str">
        <f>' Акт мониторинга 1'!C10</f>
        <v>kuzov turi - YUK BORTLI TENT, kuzov raqami LSCAB23D8EG228387</v>
      </c>
      <c r="D10" s="401"/>
      <c r="E10" s="400" t="str">
        <f>' Акт мониторинга 1'!E10</f>
        <v>dvigatel raqami JL466Q1%E61H022801, shassi raqami - URINDIKLAR SONI 5TA</v>
      </c>
      <c r="F10" s="401"/>
      <c r="G10" s="400" t="str">
        <f>' Акт мониторинга 1'!G10</f>
        <v>rangi -  OQ BELIY, ishlab chiqarilgan yili - 2014</v>
      </c>
      <c r="H10" s="401"/>
    </row>
    <row r="11" spans="1:9" ht="19.5" customHeight="1">
      <c r="A11" s="396" t="str">
        <f>dalolatnoma!A22:E22</f>
        <v>-* avtotransport egasi: NUTFULLAYEV AKBARJON AXMEDOVICH</v>
      </c>
      <c r="B11" s="396"/>
      <c r="C11" s="396"/>
      <c r="D11" s="396"/>
      <c r="E11" s="396"/>
      <c r="F11" s="396"/>
      <c r="G11" s="396"/>
      <c r="H11" s="396"/>
    </row>
    <row r="12" spans="1:9" ht="19.5" customHeight="1">
      <c r="A12" s="396" t="str">
        <f>dalolatnoma!A23:E23</f>
        <v>-* texnik pasport: AAG   2346592  13.09.2023y</v>
      </c>
      <c r="B12" s="396"/>
      <c r="C12" s="396"/>
      <c r="D12" s="396"/>
      <c r="E12" s="396"/>
      <c r="F12" s="396"/>
      <c r="G12" s="396"/>
      <c r="H12" s="396"/>
    </row>
    <row r="13" spans="1:9" ht="19.5" customHeight="1">
      <c r="A13" s="396" t="str">
        <f>dalolatnoma!A24:E24</f>
        <v>-* roʻyxatdan oʻtgan manzili/garaj manzili: BUXORO VILOYATI BUXORO SHAHAR TADBIRKOR KO'CHASI 12-UY</v>
      </c>
      <c r="B13" s="396"/>
      <c r="C13" s="396"/>
      <c r="D13" s="396"/>
      <c r="E13" s="396"/>
      <c r="F13" s="396"/>
      <c r="G13" s="396"/>
      <c r="H13" s="396"/>
    </row>
    <row r="14" spans="1:9" ht="19.5" customHeight="1">
      <c r="A14" s="396" t="str">
        <f>dalolatnoma!A25:E25</f>
        <v>-* davlat raqami: 80T312WA</v>
      </c>
      <c r="B14" s="396"/>
      <c r="C14" s="396"/>
      <c r="D14" s="396"/>
      <c r="E14" s="396"/>
      <c r="F14" s="396"/>
      <c r="G14" s="396"/>
      <c r="H14" s="396"/>
    </row>
    <row r="15" spans="1:9" ht="33.75" customHeight="1">
      <c r="A15" s="399" t="str">
        <f>+"Shu bilan birga, yuqoridagi mulkning kelishilgan garov qiymati "&amp;dalolatnoma!E30</f>
        <v>Shu bilan birga, yuqoridagi mulkning kelishilgan garov qiymati 40 500 000,00 
(qirq million besh yuz ming so'm)</v>
      </c>
      <c r="B15" s="399"/>
      <c r="C15" s="399"/>
      <c r="D15" s="399"/>
      <c r="E15" s="399"/>
      <c r="F15" s="399"/>
      <c r="G15" s="399"/>
      <c r="H15" s="399"/>
    </row>
    <row r="17" spans="1:8" s="135" customFormat="1" ht="32.25" customHeight="1">
      <c r="A17" s="391" t="s">
        <v>275</v>
      </c>
      <c r="B17" s="391"/>
      <c r="C17" s="391"/>
      <c r="D17" s="391"/>
      <c r="E17" s="391"/>
      <c r="F17" s="391"/>
      <c r="G17" s="391"/>
      <c r="H17" s="391"/>
    </row>
    <row r="21" spans="1:8" s="31" customFormat="1"/>
    <row r="22" spans="1:8" s="31" customFormat="1">
      <c r="A22" s="31" t="str">
        <f>malumot!A156</f>
        <v>Olmaliq filiali boshlig'i</v>
      </c>
      <c r="H22" s="138" t="str">
        <f>malumot!B156</f>
        <v>V. Yerjanov</v>
      </c>
    </row>
    <row r="23" spans="1:8" s="31" customFormat="1" ht="32.25" customHeight="1">
      <c r="H23" s="138"/>
    </row>
    <row r="24" spans="1:8" s="31" customFormat="1" ht="16.5" customHeight="1">
      <c r="A24" s="31" t="s">
        <v>276</v>
      </c>
      <c r="H24" s="31" t="str">
        <f>malumot!B166</f>
        <v>B. Jumanazarov</v>
      </c>
    </row>
    <row r="25" spans="1:8" s="31" customFormat="1" ht="60" customHeight="1"/>
    <row r="26" spans="1:8" s="31" customFormat="1">
      <c r="A26" s="31" t="s">
        <v>277</v>
      </c>
      <c r="H26" s="138" t="str">
        <f>malumot!B7</f>
        <v>A.A.NUTFULLAYEV</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98"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98"/>
      <c r="C2" s="398"/>
      <c r="D2" s="398"/>
      <c r="E2" s="398"/>
      <c r="F2" s="398"/>
      <c r="G2" s="398"/>
      <c r="H2" s="398"/>
      <c r="I2" s="31"/>
    </row>
    <row r="3" spans="1:9">
      <c r="A3" s="398"/>
      <c r="B3" s="398"/>
      <c r="C3" s="398"/>
      <c r="D3" s="398"/>
      <c r="E3" s="398"/>
      <c r="F3" s="398"/>
      <c r="G3" s="398"/>
      <c r="H3" s="398"/>
      <c r="I3" s="31"/>
    </row>
    <row r="5" spans="1:9">
      <c r="A5" s="24" t="s">
        <v>203</v>
      </c>
      <c r="H5" s="136" t="str">
        <f>TEXT(+malumot!B2+720,"ДД.ММ.ГГГГ")</f>
        <v>01.03.2027</v>
      </c>
    </row>
    <row r="7" spans="1:9" ht="45" customHeight="1">
      <c r="A7" s="397" t="str">
        <f>"      Men, "&amp;malumot!B153&amp;" "&amp;malumot!A156&amp;"i "&amp;malumot!B156&amp;", jismoniy shaxs "&amp;" "&amp;malumot!B5&amp;" "&amp;" "&amp;malumot!B74&amp;"-sonli "&amp;malumot!C64&amp;" shartnomasi bo‘yicha garovga qo‘yilgan mol-mulkni ko‘zdan kechirdim"</f>
        <v xml:space="preserve">      Men, «CLEVER MIKROMOLIYA TASHKILOTI» MChJ Olmaliq filiali boshlig'ii V. Yerjanov, jismoniy shaxs  NUTFULLAYEV AKBARJON AXMEDOVICH  11 mart 2025 y.dan № 23-AL-sonli Mikroqarz shartnomasi bo‘yicha garovga qo‘yilgan mol-mulkni ko‘zdan kechirdim</v>
      </c>
      <c r="B7" s="397"/>
      <c r="C7" s="397"/>
      <c r="D7" s="397"/>
      <c r="E7" s="397"/>
      <c r="F7" s="397"/>
      <c r="G7" s="397"/>
      <c r="H7" s="397"/>
    </row>
    <row r="8" spans="1:9" ht="19.5" customHeight="1">
      <c r="A8" s="392" t="s">
        <v>274</v>
      </c>
      <c r="B8" s="392"/>
      <c r="C8" s="392"/>
      <c r="D8" s="392"/>
      <c r="E8" s="392"/>
      <c r="F8" s="392"/>
      <c r="G8" s="392"/>
      <c r="H8" s="392"/>
    </row>
    <row r="9" spans="1:9" s="137" customFormat="1" ht="32.25" customHeight="1">
      <c r="A9" s="393" t="str">
        <f>' Акт мониторинга 1'!A9</f>
        <v>Nomi</v>
      </c>
      <c r="B9" s="394"/>
      <c r="C9" s="393" t="str">
        <f>' Акт мониторинга 1'!C9</f>
        <v>Kuzov turi  va kuzov raqami*</v>
      </c>
      <c r="D9" s="394"/>
      <c r="E9" s="393" t="str">
        <f>' Акт мониторинга 1'!E9</f>
        <v>Dvigatel va shassi raqami*</v>
      </c>
      <c r="F9" s="394"/>
      <c r="G9" s="393" t="str">
        <f>' Акт мониторинга 1'!G9</f>
        <v>Ishlab chiqarilgan yili va rangi**</v>
      </c>
      <c r="H9" s="394"/>
    </row>
    <row r="10" spans="1:9" s="135" customFormat="1" ht="58.5" customHeight="1">
      <c r="A10" s="395" t="str">
        <f>' Акт мониторинга 1'!A10</f>
        <v>CHANGAN CHANGAN SC 1027SB</v>
      </c>
      <c r="B10" s="395"/>
      <c r="C10" s="395" t="str">
        <f>' Акт мониторинга 1'!C10</f>
        <v>kuzov turi - YUK BORTLI TENT, kuzov raqami LSCAB23D8EG228387</v>
      </c>
      <c r="D10" s="395"/>
      <c r="E10" s="395" t="str">
        <f>' Акт мониторинга 1'!E10</f>
        <v>dvigatel raqami JL466Q1%E61H022801, shassi raqami - URINDIKLAR SONI 5TA</v>
      </c>
      <c r="F10" s="395"/>
      <c r="G10" s="395" t="str">
        <f>' Акт мониторинга 1'!G10</f>
        <v>rangi -  OQ BELIY, ishlab chiqarilgan yili - 2014</v>
      </c>
      <c r="H10" s="395"/>
    </row>
    <row r="11" spans="1:9" ht="19.5" customHeight="1">
      <c r="A11" s="396" t="str">
        <f>dalolatnoma!A22:E22</f>
        <v>-* avtotransport egasi: NUTFULLAYEV AKBARJON AXMEDOVICH</v>
      </c>
      <c r="B11" s="396"/>
      <c r="C11" s="396"/>
      <c r="D11" s="396"/>
      <c r="E11" s="396"/>
      <c r="F11" s="396"/>
      <c r="G11" s="396"/>
      <c r="H11" s="396"/>
    </row>
    <row r="12" spans="1:9" ht="19.5" customHeight="1">
      <c r="A12" s="396" t="str">
        <f>dalolatnoma!A23:E23</f>
        <v>-* texnik pasport: AAG   2346592  13.09.2023y</v>
      </c>
      <c r="B12" s="396"/>
      <c r="C12" s="396"/>
      <c r="D12" s="396"/>
      <c r="E12" s="396"/>
      <c r="F12" s="396"/>
      <c r="G12" s="396"/>
      <c r="H12" s="396"/>
    </row>
    <row r="13" spans="1:9" ht="19.5" customHeight="1">
      <c r="A13" s="396" t="str">
        <f>dalolatnoma!A24:E24</f>
        <v>-* roʻyxatdan oʻtgan manzili/garaj manzili: BUXORO VILOYATI BUXORO SHAHAR TADBIRKOR KO'CHASI 12-UY</v>
      </c>
      <c r="B13" s="396"/>
      <c r="C13" s="396"/>
      <c r="D13" s="396"/>
      <c r="E13" s="396"/>
      <c r="F13" s="396"/>
      <c r="G13" s="396"/>
      <c r="H13" s="396"/>
    </row>
    <row r="14" spans="1:9" ht="19.5" customHeight="1">
      <c r="A14" s="396" t="str">
        <f>dalolatnoma!A25:E25</f>
        <v>-* davlat raqami: 80T312WA</v>
      </c>
      <c r="B14" s="396"/>
      <c r="C14" s="396"/>
      <c r="D14" s="396"/>
      <c r="E14" s="396"/>
      <c r="F14" s="396"/>
      <c r="G14" s="396"/>
      <c r="H14" s="396"/>
    </row>
    <row r="15" spans="1:9" ht="33.75" customHeight="1">
      <c r="A15" s="399" t="str">
        <f>+"Shu bilan birga, yuqoridagi mulkning kelishilgan garov qiymati "&amp;dalolatnoma!E30</f>
        <v>Shu bilan birga, yuqoridagi mulkning kelishilgan garov qiymati 40 500 000,00 
(qirq million besh yuz ming so'm)</v>
      </c>
      <c r="B15" s="399"/>
      <c r="C15" s="399"/>
      <c r="D15" s="399"/>
      <c r="E15" s="399"/>
      <c r="F15" s="399"/>
      <c r="G15" s="399"/>
      <c r="H15" s="399"/>
    </row>
    <row r="17" spans="1:8" ht="28.5" customHeight="1">
      <c r="A17" s="391" t="s">
        <v>275</v>
      </c>
      <c r="B17" s="391"/>
      <c r="C17" s="391"/>
      <c r="D17" s="391"/>
      <c r="E17" s="391"/>
      <c r="F17" s="391"/>
      <c r="G17" s="391"/>
      <c r="H17" s="391"/>
    </row>
    <row r="21" spans="1:8" s="31" customFormat="1"/>
    <row r="22" spans="1:8" s="31" customFormat="1">
      <c r="A22" s="31" t="str">
        <f>malumot!A156</f>
        <v>Olmaliq filiali boshlig'i</v>
      </c>
      <c r="H22" s="138" t="str">
        <f>malumot!B156</f>
        <v>V. Yerjanov</v>
      </c>
    </row>
    <row r="23" spans="1:8" s="31" customFormat="1" ht="32.25" customHeight="1">
      <c r="H23" s="138"/>
    </row>
    <row r="24" spans="1:8" s="31" customFormat="1" ht="16.5" customHeight="1">
      <c r="A24" s="31" t="s">
        <v>276</v>
      </c>
      <c r="H24" s="31" t="str">
        <f>malumot!B166</f>
        <v>B. Jumanazarov</v>
      </c>
    </row>
    <row r="25" spans="1:8" s="31" customFormat="1" ht="60" customHeight="1"/>
    <row r="26" spans="1:8" s="31" customFormat="1">
      <c r="A26" s="31" t="s">
        <v>277</v>
      </c>
      <c r="H26" s="138" t="str">
        <f>malumot!B7</f>
        <v>A.A.NUTFULLAYEV</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22</vt:i4>
      </vt:variant>
      <vt:variant>
        <vt:lpstr>Именованные диапазоны</vt:lpstr>
      </vt:variant>
      <vt:variant>
        <vt:i4>12</vt:i4>
      </vt:variant>
    </vt:vector>
  </HeadingPairs>
  <TitlesOfParts>
    <vt:vector size="34" baseType="lpstr">
      <vt:lpstr>malumot</vt:lpstr>
      <vt:lpstr>shartnoma</vt:lpstr>
      <vt:lpstr>buyruq</vt:lpstr>
      <vt:lpstr>bayonnoma</vt:lpstr>
      <vt:lpstr>График дифференц</vt:lpstr>
      <vt:lpstr>Данные для послед. Залога</vt:lpstr>
      <vt:lpstr>График аннуитет.</vt:lpstr>
      <vt:lpstr>xulosa</vt:lpstr>
      <vt:lpstr>dalolatnoma</vt:lpstr>
      <vt:lpstr>grafik</vt:lpstr>
      <vt:lpstr>ariza</vt:lpstr>
      <vt:lpstr>muqova</vt:lpstr>
      <vt:lpstr>mijoz_anketasi</vt:lpstr>
      <vt:lpstr>majburiyatnoma</vt:lpstr>
      <vt:lpstr>Анкета 2</vt:lpstr>
      <vt:lpstr>Кредитная заявка</vt:lpstr>
      <vt:lpstr>заявление залогодателя</vt:lpstr>
      <vt:lpstr>Письмо</vt:lpstr>
      <vt:lpstr> Акт мониторинга 1</vt:lpstr>
      <vt:lpstr> Акт мониторинга 2</vt:lpstr>
      <vt:lpstr> Акт мониторинга 3</vt:lpstr>
      <vt:lpstr> Акт мониторинга 4</vt:lpstr>
      <vt:lpstr>ariza!Область_печати</vt:lpstr>
      <vt:lpstr>bayonnoma!Область_печати</vt:lpstr>
      <vt:lpstr>buyruq!Область_печати</vt:lpstr>
      <vt:lpstr>dalolatnoma!Область_печати</vt:lpstr>
      <vt:lpstr>grafik!Область_печати</vt:lpstr>
      <vt:lpstr>mijoz_anketasi!Область_печати</vt:lpstr>
      <vt:lpstr>muqova!Область_печати</vt:lpstr>
      <vt:lpstr>shartnoma!Область_печати</vt:lpstr>
      <vt:lpstr>xulosa!Область_печати</vt:lpstr>
      <vt:lpstr>'График аннуитет.'!Область_печати</vt:lpstr>
      <vt:lpstr>'заявление залогодателя'!Область_печати</vt:lpstr>
      <vt:lpstr>'Кредитная заявка'!Область_печати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Admin</cp:lastModifiedBy>
  <cp:lastPrinted>2025-01-06T10:54:18Z</cp:lastPrinted>
  <dcterms:created xsi:type="dcterms:W3CDTF">2015-06-05T18:19:34Z</dcterms:created>
  <dcterms:modified xsi:type="dcterms:W3CDTF">2025-03-16T03:28:39Z</dcterms:modified>
</cp:coreProperties>
</file>