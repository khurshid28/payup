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codeName="ЭтаКнига"/>
  <mc:AlternateContent xmlns:mc="http://schemas.openxmlformats.org/markup-compatibility/2006">
    <mc:Choice Requires="x15">
      <x15ac:absPath xmlns:x15ac="http://schemas.microsoft.com/office/spreadsheetml/2010/11/ac" url="Z:\Кредитный дела 2025\03 март\№656 XUDAYQULOV (XATIRCHI)\"/>
    </mc:Choice>
  </mc:AlternateContent>
  <xr:revisionPtr revIDLastSave="0" documentId="13_ncr:1_{D9584DDA-3120-4A4C-9E72-9248458945F0}" xr6:coauthVersionLast="46" xr6:coauthVersionMax="46" xr10:uidLastSave="{00000000-0000-0000-0000-000000000000}"/>
  <bookViews>
    <workbookView xWindow="-120" yWindow="-120" windowWidth="29040" windowHeight="15720" tabRatio="915"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dalolatnoma" sheetId="7" r:id="rId9"/>
    <sheet name="grafik" sheetId="16" r:id="rId10"/>
    <sheet name="ariza" sheetId="30" r:id="rId11"/>
    <sheet name="muqova" sheetId="9" r:id="rId12"/>
    <sheet name="mijoz_anketasi" sheetId="4" r:id="rId13"/>
    <sheet name="majburiyatnoma" sheetId="24" r:id="rId14"/>
    <sheet name="Анкета 2" sheetId="22" r:id="rId15"/>
    <sheet name="Кредитная заявка" sheetId="2" r:id="rId16"/>
    <sheet name="заявление залогодателя" sheetId="13" r:id="rId17"/>
    <sheet name="Письмо" sheetId="20" state="hidden" r:id="rId18"/>
    <sheet name=" Акт мониторинга 1" sheetId="26" r:id="rId19"/>
    <sheet name=" Акт мониторинга 2" sheetId="27" r:id="rId20"/>
    <sheet name=" Акт мониторинга 3" sheetId="28" r:id="rId21"/>
    <sheet name=" Акт мониторинга 4" sheetId="29" r:id="rId22"/>
  </sheets>
  <externalReferences>
    <externalReference r:id="rId23"/>
  </externalReferences>
  <definedNames>
    <definedName name="mos">'[1]Общие данные'!$C$23:$D$23</definedName>
    <definedName name="mulk">'[1]Общие данные'!$C$24:$W$24</definedName>
    <definedName name="_xlnm.Print_Area" localSheetId="10">ariza!$A$1:$D$17</definedName>
    <definedName name="_xlnm.Print_Area" localSheetId="3">bayonnoma!$A$1:$E$41</definedName>
    <definedName name="_xlnm.Print_Area" localSheetId="2">buyruq!$A$1:$E$29</definedName>
    <definedName name="_xlnm.Print_Area" localSheetId="8">dalolatnoma!$A$1:$E$62</definedName>
    <definedName name="_xlnm.Print_Area" localSheetId="9">grafik!$A$1:$F$63</definedName>
    <definedName name="_xlnm.Print_Area" localSheetId="12">mijoz_anketasi!$A$1:$F$36</definedName>
    <definedName name="_xlnm.Print_Area" localSheetId="11">muqova!$A$1:$G$42</definedName>
    <definedName name="_xlnm.Print_Area" localSheetId="1">shartnoma!$A$1:$B$133</definedName>
    <definedName name="_xlnm.Print_Area" localSheetId="7">xulosa!$A$1:$E$58</definedName>
    <definedName name="_xlnm.Print_Area" localSheetId="6">'График аннуитет.'!$A$1:$F$63</definedName>
    <definedName name="_xlnm.Print_Area" localSheetId="16">'заявление залогодателя'!$A$3:$BL$20</definedName>
    <definedName name="_xlnm.Print_Area" localSheetId="15">'Кредитная заявка'!$A$1:$D$40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0" i="16" l="1"/>
  <c r="B59" i="16"/>
  <c r="E52" i="7"/>
  <c r="B37" i="23"/>
  <c r="B38" i="23"/>
  <c r="D38" i="23"/>
  <c r="B39" i="23"/>
  <c r="D39" i="23"/>
  <c r="A10" i="30"/>
  <c r="B10" i="30"/>
  <c r="A11" i="30"/>
  <c r="B11" i="30"/>
  <c r="A12" i="30"/>
  <c r="B12" i="30"/>
  <c r="A13" i="30"/>
  <c r="B13" i="30"/>
  <c r="A14" i="30"/>
  <c r="B14" i="30"/>
  <c r="C4" i="30"/>
  <c r="C5" i="30"/>
  <c r="C1" i="30"/>
  <c r="A16" i="30"/>
  <c r="A128" i="19"/>
  <c r="B54" i="3"/>
  <c r="C56" i="3"/>
  <c r="C55" i="3"/>
  <c r="C54" i="3"/>
  <c r="B56" i="3"/>
  <c r="B55" i="3"/>
  <c r="B139" i="1" l="1"/>
  <c r="B133" i="1" l="1"/>
  <c r="B65" i="1" l="1"/>
  <c r="F27" i="4"/>
  <c r="A21" i="3" s="1"/>
  <c r="D59" i="7"/>
  <c r="A126" i="19"/>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22" i="1"/>
  <c r="C128" i="1" s="1"/>
  <c r="C120" i="1"/>
  <c r="C126" i="1" s="1"/>
  <c r="C119" i="1"/>
  <c r="C125" i="1" s="1"/>
  <c r="C118" i="1"/>
  <c r="C124" i="1" s="1"/>
  <c r="C117" i="1"/>
  <c r="C123" i="1" s="1"/>
  <c r="A62" i="7"/>
  <c r="A61" i="7"/>
  <c r="F61" i="7"/>
  <c r="A25" i="7"/>
  <c r="A23" i="7"/>
  <c r="H24" i="27" l="1"/>
  <c r="A9" i="26"/>
  <c r="A9" i="29" s="1"/>
  <c r="A9" i="27" l="1"/>
  <c r="A9" i="28"/>
  <c r="I132" i="1"/>
  <c r="A48" i="3"/>
  <c r="A35" i="3"/>
  <c r="E30" i="3"/>
  <c r="A30" i="3"/>
  <c r="A33" i="3"/>
  <c r="D29" i="7" l="1"/>
  <c r="D30" i="3" s="1"/>
  <c r="F136" i="1"/>
  <c r="E139" i="1"/>
  <c r="E136" i="1"/>
  <c r="D20" i="7"/>
  <c r="E20" i="7"/>
  <c r="G9" i="26" s="1"/>
  <c r="B20" i="7"/>
  <c r="G9" i="28" l="1"/>
  <c r="G9" i="27"/>
  <c r="G9" i="29"/>
  <c r="B29" i="7"/>
  <c r="B30" i="3" s="1"/>
  <c r="C9" i="26"/>
  <c r="C29" i="7"/>
  <c r="C30" i="3" s="1"/>
  <c r="E9" i="26"/>
  <c r="E9" i="29" l="1"/>
  <c r="E9" i="28"/>
  <c r="E9" i="27"/>
  <c r="C9" i="29"/>
  <c r="C9" i="28"/>
  <c r="C9" i="27"/>
  <c r="B76" i="1"/>
  <c r="A9" i="30" s="1"/>
  <c r="H24" i="29" l="1"/>
  <c r="H24" i="28"/>
  <c r="A22" i="26"/>
  <c r="H24" i="26"/>
  <c r="A51" i="3"/>
  <c r="A37" i="3"/>
  <c r="A1" i="3"/>
  <c r="D17" i="23"/>
  <c r="E17" i="23" s="1"/>
  <c r="A1" i="23"/>
  <c r="D58" i="16"/>
  <c r="A116" i="1" l="1"/>
  <c r="A115" i="1"/>
  <c r="A114" i="1"/>
  <c r="A113" i="1"/>
  <c r="C22" i="1"/>
  <c r="H9" i="23"/>
  <c r="A57" i="16"/>
  <c r="A18" i="23" l="1"/>
  <c r="A7" i="23"/>
  <c r="B49" i="1"/>
  <c r="B59" i="1" s="1"/>
  <c r="A16" i="4" l="1"/>
  <c r="A17" i="4"/>
  <c r="A7" i="24"/>
  <c r="B27" i="1"/>
  <c r="B119" i="19" s="1"/>
  <c r="B34" i="1"/>
  <c r="B122" i="1"/>
  <c r="B128" i="1" s="1"/>
  <c r="A24" i="7" s="1"/>
  <c r="A34" i="3" s="1"/>
  <c r="B120" i="1"/>
  <c r="B119" i="1"/>
  <c r="B118" i="1"/>
  <c r="D62" i="7" s="1"/>
  <c r="B117"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23" i="1"/>
  <c r="A22" i="7" s="1"/>
  <c r="B124" i="1"/>
  <c r="A18" i="8" l="1"/>
  <c r="A32" i="3"/>
  <c r="H7" i="23"/>
  <c r="A2" i="23" s="1"/>
  <c r="B126" i="1" l="1"/>
  <c r="B125"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B24" i="9" l="1"/>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70" i="1"/>
  <c r="H132" i="1"/>
  <c r="I131" i="1"/>
  <c r="F131" i="1" s="1"/>
  <c r="H131" i="1"/>
  <c r="C131" i="1"/>
  <c r="B9" i="1"/>
  <c r="B8" i="1"/>
  <c r="B142" i="1"/>
  <c r="B143" i="1" s="1"/>
  <c r="E21" i="7"/>
  <c r="B136" i="1"/>
  <c r="D21" i="7" s="1"/>
  <c r="E10" i="26" s="1"/>
  <c r="B21" i="7"/>
  <c r="C10" i="26" s="1"/>
  <c r="B11" i="1" l="1"/>
  <c r="B13" i="1" s="1"/>
  <c r="G10" i="26"/>
  <c r="D30" i="7"/>
  <c r="D31" i="3" s="1"/>
  <c r="E10" i="28"/>
  <c r="E10" i="27"/>
  <c r="E10" i="29"/>
  <c r="C10" i="28"/>
  <c r="C10" i="27"/>
  <c r="C10" i="29"/>
  <c r="C132" i="1"/>
  <c r="A17" i="7" s="1"/>
  <c r="A21" i="7"/>
  <c r="A10" i="26" s="1"/>
  <c r="C143" i="1"/>
  <c r="B144" i="1"/>
  <c r="A6" i="2"/>
  <c r="E30" i="7"/>
  <c r="E31" i="3" s="1"/>
  <c r="A48" i="7"/>
  <c r="A15" i="7"/>
  <c r="E131" i="1"/>
  <c r="A27" i="3"/>
  <c r="B9" i="13"/>
  <c r="A20" i="3"/>
  <c r="A27" i="2"/>
  <c r="A28" i="2"/>
  <c r="F132" i="1"/>
  <c r="E132"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8" i="1"/>
  <c r="R130" i="1" l="1"/>
  <c r="R131" i="1" s="1"/>
  <c r="N132" i="1" s="1"/>
  <c r="A25" i="13"/>
  <c r="A26" i="13" s="1"/>
  <c r="A28" i="13" s="1"/>
  <c r="A20" i="13" s="1"/>
  <c r="C63" i="7" s="1"/>
  <c r="Q130" i="1"/>
  <c r="Q131" i="1" s="1"/>
  <c r="N131" i="1" s="1"/>
  <c r="B24" i="4" l="1"/>
  <c r="B67" i="1" l="1"/>
  <c r="C78" i="1" s="1"/>
  <c r="C79" i="1" s="1"/>
  <c r="C80" i="1" s="1"/>
  <c r="B79" i="1" s="1"/>
  <c r="B80" i="1" s="1"/>
  <c r="B151" i="1" l="1"/>
  <c r="B149" i="1"/>
  <c r="C18" i="1" l="1"/>
  <c r="B20" i="1" l="1"/>
  <c r="C20" i="1"/>
  <c r="A5" i="19" s="1"/>
  <c r="C121" i="1" l="1"/>
  <c r="C127" i="1" s="1"/>
  <c r="B121" i="19"/>
  <c r="D53" i="16" s="1"/>
  <c r="C6" i="30"/>
  <c r="B121" i="1"/>
  <c r="B127" i="1"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2"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50"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71" i="1"/>
  <c r="A4" i="8" s="1"/>
  <c r="B148"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34" i="20"/>
  <c r="A35" i="20"/>
  <c r="C148" i="1"/>
  <c r="A9" i="20" l="1"/>
  <c r="N129" i="1"/>
  <c r="E44" i="7"/>
  <c r="E31" i="20" s="1"/>
  <c r="A23" i="2" l="1"/>
  <c r="A32" i="20"/>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B90" i="1" l="1"/>
  <c r="F8" i="12" s="1"/>
  <c r="F45" i="16"/>
  <c r="D45" i="16"/>
  <c r="E45" i="16"/>
  <c r="C63" i="1"/>
  <c r="C60" i="1" s="1"/>
  <c r="A23" i="3" l="1"/>
  <c r="A22" i="3" s="1"/>
  <c r="A24" i="3"/>
  <c r="D8" i="12"/>
  <c r="F9" i="12"/>
  <c r="F10" i="12" l="1"/>
  <c r="C9" i="12"/>
  <c r="E9" i="12" l="1"/>
  <c r="F11" i="12"/>
  <c r="F12" i="12" l="1"/>
  <c r="D9" i="12"/>
  <c r="C10" i="12" l="1"/>
  <c r="F13" i="12"/>
  <c r="F14" i="12" l="1"/>
  <c r="E10" i="12"/>
  <c r="D10" i="12" l="1"/>
  <c r="F15" i="12"/>
  <c r="F16" i="12" l="1"/>
  <c r="C11"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D20" i="12" s="1"/>
  <c r="C21" i="12" s="1"/>
  <c r="E21" i="12" s="1"/>
  <c r="F21" i="12" l="1"/>
  <c r="D21" i="12" s="1"/>
  <c r="C22" i="12" s="1"/>
  <c r="E22" i="12" s="1"/>
  <c r="F22" i="12" l="1"/>
  <c r="D22" i="12" s="1"/>
  <c r="C23" i="12" s="1"/>
  <c r="E23" i="12" s="1"/>
  <c r="F23" i="12" l="1"/>
  <c r="D23" i="12" s="1"/>
  <c r="C24" i="12" s="1"/>
  <c r="E24" i="12" s="1"/>
  <c r="F24" i="12" l="1"/>
  <c r="D24" i="12" s="1"/>
  <c r="C25" i="12" s="1"/>
  <c r="E25" i="12" s="1"/>
  <c r="F25" i="12" l="1"/>
  <c r="D25" i="12" s="1"/>
  <c r="C26" i="12" s="1"/>
  <c r="E26" i="12" s="1"/>
  <c r="F26" i="12" l="1"/>
  <c r="D26" i="12" s="1"/>
  <c r="C27" i="12" s="1"/>
  <c r="E27" i="12" s="1"/>
  <c r="F27" i="12" l="1"/>
  <c r="D27" i="12" s="1"/>
  <c r="C28" i="12" s="1"/>
  <c r="E28" i="12" s="1"/>
  <c r="F28" i="12" l="1"/>
  <c r="D28" i="12" s="1"/>
  <c r="C29" i="12" s="1"/>
  <c r="E29" i="12" s="1"/>
  <c r="F29" i="12" l="1"/>
  <c r="D29" i="12" s="1"/>
  <c r="C30" i="12" s="1"/>
  <c r="E30" i="12" s="1"/>
  <c r="F30" i="12" l="1"/>
  <c r="D30" i="12" s="1"/>
  <c r="C31" i="12" s="1"/>
  <c r="E31" i="12" s="1"/>
  <c r="D31" i="12" s="1"/>
  <c r="C32" i="12" l="1"/>
  <c r="F31" i="12"/>
  <c r="E32" i="12"/>
  <c r="D32" i="12" s="1"/>
  <c r="C33" i="12" l="1"/>
  <c r="F32" i="12"/>
  <c r="E33" i="12"/>
  <c r="D33" i="12" s="1"/>
  <c r="C34" i="12" l="1"/>
  <c r="F33" i="12"/>
  <c r="E34" i="12"/>
  <c r="D34" i="12" s="1"/>
  <c r="C35" i="12" l="1"/>
  <c r="F34" i="12"/>
  <c r="E35" i="12"/>
  <c r="D35" i="12" s="1"/>
  <c r="C36" i="12" l="1"/>
  <c r="F35" i="12"/>
  <c r="E36" i="12"/>
  <c r="D36" i="12" s="1"/>
  <c r="C37" i="12" l="1"/>
  <c r="F36" i="12"/>
  <c r="E37" i="12"/>
  <c r="D37" i="12" s="1"/>
  <c r="C38" i="12" l="1"/>
  <c r="F37" i="12"/>
  <c r="E38" i="12"/>
  <c r="D38" i="12" s="1"/>
  <c r="C39" i="12" l="1"/>
  <c r="F38" i="12"/>
  <c r="E39" i="12"/>
  <c r="D39" i="12" s="1"/>
  <c r="C40" i="12" l="1"/>
  <c r="F39" i="12"/>
  <c r="E40" i="12"/>
  <c r="D40" i="12" s="1"/>
  <c r="C41" i="12" l="1"/>
  <c r="F40" i="12"/>
  <c r="E41" i="12"/>
  <c r="D41" i="12" s="1"/>
  <c r="C42" i="12" l="1"/>
  <c r="F41" i="12"/>
  <c r="E42" i="12"/>
  <c r="D42" i="12" s="1"/>
  <c r="C43" i="12" l="1"/>
  <c r="F42" i="12"/>
  <c r="E43" i="12"/>
  <c r="E44" i="12" s="1"/>
  <c r="D43" i="12"/>
  <c r="F43" i="12" l="1"/>
  <c r="F44" i="12" s="1"/>
  <c r="D44" i="12"/>
  <c r="B39" i="1" a="1"/>
  <c r="B39" i="1"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<sst xmlns="http://schemas.openxmlformats.org/spreadsheetml/2006/main" count="610" uniqueCount="450">
  <si>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</si>
  <si>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</si>
  <si>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</si>
  <si>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</si>
  <si>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</si>
  <si>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</si>
  <si>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</si>
  <si>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</si>
  <si>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</si>
  <si>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</si>
  <si>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</si>
  <si>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</si>
  <si>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</si>
  <si>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</si>
  <si>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</si>
  <si>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</si>
  <si>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</si>
  <si>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</si>
  <si>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</si>
  <si>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</si>
  <si>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</si>
  <si>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</si>
  <si>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</si>
  <si>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</si>
  <si>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</si>
  <si>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</si>
  <si>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</si>
  <si>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</si>
  <si>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</si>
  <si>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</si>
  <si>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</si>
  <si>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</si>
  <si>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</si>
  <si>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</si>
  <si>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</si>
  <si>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</si>
  <si>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</si>
  <si>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</si>
  <si>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</si>
  <si>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</si>
  <si>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</si>
  <si>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</si>
  <si>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</si>
  <si>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</si>
  <si>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</si>
  <si>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</si>
  <si>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</si>
  <si>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</si>
  <si>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</si>
  <si>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</si>
  <si>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</si>
  <si>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</si>
  <si>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</si>
  <si>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</si>
  <si>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</si>
  <si>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</si>
  <si>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</si>
  <si>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</si>
  <si>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</si>
  <si>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</si>
  <si>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</si>
  <si>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</si>
  <si>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</si>
  <si>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</si>
  <si>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</si>
  <si>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</si>
  <si>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</si>
  <si>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</si>
  <si>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</si>
  <si>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</si>
  <si>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</si>
  <si>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</si>
  <si>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</si>
  <si>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</si>
  <si>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</si>
  <si>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</si>
  <si>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</si>
  <si>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</si>
  <si>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</si>
  <si>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</si>
  <si>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</si>
  <si>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</si>
  <si>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</si>
  <si>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</si>
  <si>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</si>
  <si>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</si>
  <si>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</si>
  <si>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</si>
  <si>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</si>
  <si>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</si>
  <si>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</si>
  <si>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</si>
  <si>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</si>
  <si>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</si>
  <si>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</si>
  <si>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</si>
  <si>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</si>
  <si>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</si>
  <si>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</si>
  <si>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</si>
  <si>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</si>
  <si>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</si>
  <si>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</si>
  <si>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</si>
  <si>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</si>
  <si>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</si>
  <si>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</si>
  <si>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</si>
  <si>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</si>
  <si>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</si>
  <si>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</si>
  <si>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</si>
  <si>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</si>
  <si>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</si>
  <si>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</si>
  <si>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</si>
  <si>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</si>
  <si>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</si>
  <si>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</si>
  <si>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</si>
  <si>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</si>
  <si>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</si>
  <si>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</si>
  <si>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</si>
  <si>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</si>
  <si>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</si>
  <si>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</si>
  <si>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</si>
  <si>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</si>
  <si>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</si>
  <si>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</si>
  <si>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</si>
  <si>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</si>
  <si>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</si>
  <si>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</si>
  <si>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</si>
  <si>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</si>
  <si>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</si>
  <si>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</si>
  <si>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</si>
  <si>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</si>
  <si>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</si>
  <si>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</si>
  <si>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</si>
  <si>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</si>
  <si>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</si>
  <si>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</si>
  <si>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</si>
  <si>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</si>
  <si>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</si>
  <si>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</si>
  <si>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</si>
  <si>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</si>
  <si>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</si>
  <si>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</si>
  <si>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</si>
  <si>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</si>
  <si>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</si>
  <si>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</si>
  <si>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</si>
  <si>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</si>
  <si>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</si>
  <si>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</si>
  <si>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</si>
  <si>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</si>
  <si>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</si>
  <si>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</si>
  <si>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</si>
  <si>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</si>
  <si>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</si>
  <si>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</si>
  <si>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</si>
  <si>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</si>
  <si>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</si>
  <si>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</si>
  <si>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</si>
  <si>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</si>
  <si>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</si>
  <si>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</si>
  <si>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</si>
  <si>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</si>
  <si>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</si>
  <si>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</si>
  <si>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</si>
  <si>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</si>
  <si>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</si>
  <si>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</si>
  <si>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</si>
  <si>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</si>
  <si>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</si>
  <si>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</si>
  <si>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</si>
  <si>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</si>
  <si>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</si>
  <si>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</si>
  <si>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</si>
  <si>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</si>
  <si>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</si>
  <si>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</si>
  <si>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</si>
  <si>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</si>
  <si>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</si>
  <si>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</si>
  <si>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</si>
  <si>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</si>
  <si>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</si>
  <si>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</si>
  <si>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</si>
  <si>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</si>
  <si>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</si>
  <si>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</si>
  <si>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</si>
  <si>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</si>
  <si>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</si>
  <si>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</si>
  <si>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</si>
  <si>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</si>
  <si>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</si>
  <si>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</si>
  <si>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</si>
  <si>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</si>
  <si>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</si>
  <si>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</si>
  <si>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</si>
  <si>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</si>
  <si>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</si>
  <si>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</si>
  <si>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</si>
  <si>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</si>
  <si>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</si>
  <si>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</si>
  <si>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</si>
  <si>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</si>
  <si>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</si>
  <si>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</si>
  <si>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</si>
  <si>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</si>
  <si>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</si>
  <si>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</si>
  <si>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</si>
  <si>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</si>
  <si>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</si>
  <si>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</si>
  <si>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</si>
  <si>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</si>
  <si>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</si>
  <si>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</si>
  <si>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</si>
  <si>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</si>
  <si>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</si>
  <si>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</si>
  <si>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</si>
  <si>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</si>
  <si>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</si>
  <si>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</si>
  <si>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</si>
  <si>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</si>
  <si>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</si>
  <si>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</si>
  <si>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</si>
  <si>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</si>
  <si>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</si>
  <si>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</si>
  <si>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</si>
  <si>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</si>
  <si>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</si>
  <si>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</si>
  <si>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</si>
  <si>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</si>
  <si>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</si>
  <si>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</si>
  <si>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</si>
  <si>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</si>
  <si>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</si>
  <si>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</si>
  <si>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</si>
  <si>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</si>
  <si>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</si>
  <si>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</si>
  <si>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</si>
  <si>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</si>
  <si>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</si>
  <si>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</si>
  <si>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</si>
  <si>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</si>
  <si>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</si>
  <si>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</si>
  <si>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</si>
  <si>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</si>
  <si>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</si>
  <si>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</si>
  <si>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</si>
  <si>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</si>
  <si>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</si>
  <si>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</si>
  <si>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</si>
  <si>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</si>
  <si>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</si>
  <si>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</si>
  <si>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</si>
  <si>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</si>
  <si>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</si>
  <si>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</si>
  <si>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</si>
  <si>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</si>
  <si>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</si>
  <si>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</si>
  <si>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</si>
  <si>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</si>
  <si>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</si>
  <si>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</si>
  <si>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</si>
  <si>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</si>
  <si>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</si>
  <si>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</si>
  <si>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</si>
  <si>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</si>
  <si>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</si>
  <si>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</si>
  <si>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</si>
  <si>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</si>
  <si>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</si>
  <si>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</si>
  <si>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</si>
  <si>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</si>
  <si>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</si>
  <si>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</si>
  <si>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</si>
  <si>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</si>
  <si>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</si>
  <si>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</si>
  <si>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</si>
  <si>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</si>
  <si>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</si>
  <si>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</si>
  <si>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</si>
  <si>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</si>
  <si>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</si>
  <si>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</si>
  <si>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</si>
  <si>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</si>
  <si>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</si>
  <si>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</si>
  <si>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</si>
  <si>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</si>
  <si>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</si>
  <si>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</si>
  <si>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</si>
  <si>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</si>
  <si>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</si>
  <si>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</si>
  <si>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</si>
  <si>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</si>
  <si>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</si>
  <si>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</si>
  <si>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</si>
  <si>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</si>
  <si>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</si>
  <si>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</si>
  <si>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</si>
  <si>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</si>
  <si>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</si>
  <si>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</si>
  <si>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</si>
  <si>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</si>
  <si>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</si>
  <si>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</si>
  <si>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</si>
  <si>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</si>
  <si>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</si>
  <si>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</si>
  <si>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</si>
  <si>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</si>
  <si>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</si>
  <si>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</si>
  <si>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</si>
  <si>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</si>
  <si>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</si>
  <si>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</si>
  <si>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</si>
  <si>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</si>
  <si>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</si>
  <si>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</si>
  <si>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</si>
  <si>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</si>
  <si>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</si>
  <si>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</si>
  <si>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</si>
  <si>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</si>
  <si>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</si>
  <si>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</si>
  <si>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</si>
  <si>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</si>
  <si>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</si>
  <si>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Kreditlash bo’limi boshlig’i</t>
  </si>
  <si>
    <t>B. Mominov</t>
  </si>
  <si>
    <t>N. Abduraximov</t>
  </si>
  <si>
    <t>B. Jumanazarov</t>
  </si>
  <si>
    <t>Imzolaganlar ro'yxati:</t>
  </si>
  <si>
    <t>Ijrochi direktor:</t>
  </si>
  <si>
    <t>N.Abduraximovga</t>
  </si>
  <si>
    <t>ARIZA</t>
  </si>
  <si>
    <t xml:space="preserve"> Mikroqarz shartnomasining bir nusxasini oldim ____________</t>
  </si>
  <si>
    <t>Mijoz plastik kartasi parametrlari</t>
  </si>
  <si>
    <t>Karta raqami:</t>
  </si>
  <si>
    <t>Bank nomi:</t>
  </si>
  <si>
    <t>H/r:</t>
  </si>
  <si>
    <t>MFO:</t>
  </si>
  <si>
    <t>STIR:</t>
  </si>
  <si>
    <t>SH. Xayriyev</t>
  </si>
  <si>
    <t>Xayriyev Sherali Bo'riboyevich</t>
  </si>
  <si>
    <t>Xatirchi  filial boshlig'i</t>
  </si>
  <si>
    <t>RAKAMSIZ</t>
  </si>
  <si>
    <t>«Xalq baki» AT</t>
  </si>
  <si>
    <t>01125</t>
  </si>
  <si>
    <t>207215726</t>
  </si>
  <si>
    <t>________________</t>
  </si>
  <si>
    <t>24.03.2025</t>
  </si>
  <si>
    <t>XUDAYQULOV FAZLIDDIN SAIDOVICH</t>
  </si>
  <si>
    <t>XUDAYQULOV .F.S</t>
  </si>
  <si>
    <t>23.03.1974 y</t>
  </si>
  <si>
    <t>AD0901293</t>
  </si>
  <si>
    <t>IIV 18215</t>
  </si>
  <si>
    <t>SAMARQAND VILOYATI KATTAQO'RG'ON TUMANI BURGANSOY MAHALLASI</t>
  </si>
  <si>
    <t>88 958 17 74 UZI</t>
  </si>
  <si>
    <t>105-MAKTABGA YETMASI</t>
  </si>
  <si>
    <t>XATIRCHI TUMANI</t>
  </si>
  <si>
    <t>88 985 17 74  UZI</t>
  </si>
  <si>
    <t>33 316 17 74  TURMUSH O'RTOG'I</t>
  </si>
  <si>
    <t>99 771 77 40  UKASI</t>
  </si>
  <si>
    <t>yigirma to'rt</t>
  </si>
  <si>
    <t>8600  0609  7428  3120</t>
  </si>
  <si>
    <t>XUDAYKULOV MAVLUDDIN SAIDOVICH</t>
  </si>
  <si>
    <t>XUDAYKULOV .M.S</t>
  </si>
  <si>
    <t>11.03.1977 y</t>
  </si>
  <si>
    <t>AB1374755</t>
  </si>
  <si>
    <t>NAVOIY VILOYATI XATIRCHI TUMANI IIB TOMONIDAN 07.10.2015 YILDA BERILGAN</t>
  </si>
  <si>
    <t>NAVOIY VILOYATI XATIRCHI TUMANI YANGIRABOD MAHALLASI 105-UY</t>
  </si>
  <si>
    <t>NAVOIY VILOYATI RO' VA IOB</t>
  </si>
  <si>
    <t>AAG 0638366    21.12.2022</t>
  </si>
  <si>
    <t>CHEVROLET DAMAS</t>
  </si>
  <si>
    <t>85O912KA</t>
  </si>
  <si>
    <t>YENGIL SEDAN</t>
  </si>
  <si>
    <t>XWB7T12YDKP150990</t>
  </si>
  <si>
    <t>F8CB191310207</t>
  </si>
  <si>
    <t>OQ BELAYA</t>
  </si>
  <si>
    <t>2019</t>
  </si>
  <si>
    <t>2312  0000  4000  1177  7300</t>
  </si>
  <si>
    <t>№656-XT</t>
  </si>
  <si>
    <t>Mijoz quyidagi majburiyatlarga ega : "VODIY TARAQQIYOT KREDIT MIKROKREDIT TASHKILOTI" 13 203 742.00 so`m. Ayni paytda muddati o'tgan qarzdorligi mavjud emas. O‘rtacha oylik to‘lov 1 439 602.96 so‘mni tashkil qiladi.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</si>
</sst>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6">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
      <sz val="8"/>
      <name val="Calibri"/>
      <family val="2"/>
      <scheme val="minor"/>
    </font>
    <font>
      <b/>
      <u/>
      <sz val="12"/>
      <name val="Times New Roman"/>
      <family val="1"/>
      <charset val="204"/>
    </font>
    <font>
      <b/>
      <sz val="12"/>
      <name val="Times New Roman"/>
      <family val="1"/>
      <charset val="204"/>
    </font>
    <font>
      <b/>
      <sz val="11"/>
      <color theme="1"/>
      <name val="Arial"/>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bottom/>
      <diagonal/>
    </border>
  </borders>
  <cellStyleXfs count="1789">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cellStyleXfs>
  <cellXfs count="378">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vertical="top" wrapText="1"/>
    </xf>
    <xf numFmtId="0" fontId="10" fillId="0" borderId="0" xfId="0" applyFont="1" applyAlignment="1">
      <alignment horizontal="center" wrapText="1"/>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6" fillId="0" borderId="0" xfId="0" applyFont="1" applyAlignment="1">
      <alignment horizontal="left" vertical="top" wrapText="1"/>
    </xf>
    <xf numFmtId="0" fontId="16" fillId="0" borderId="0" xfId="0" applyFont="1" applyAlignment="1">
      <alignment wrapText="1"/>
    </xf>
    <xf numFmtId="0" fontId="8" fillId="2" borderId="1" xfId="0" applyFont="1" applyFill="1" applyBorder="1" applyAlignment="1">
      <alignment vertical="center"/>
    </xf>
    <xf numFmtId="0" fontId="15" fillId="0" borderId="0" xfId="0" applyFont="1" applyAlignment="1">
      <alignment vertical="center"/>
    </xf>
    <xf numFmtId="0" fontId="16" fillId="0" borderId="0" xfId="0" applyFont="1" applyAlignment="1">
      <alignment vertical="top"/>
    </xf>
    <xf numFmtId="0" fontId="9" fillId="0" borderId="25" xfId="0" applyFont="1" applyBorder="1"/>
    <xf numFmtId="0" fontId="19" fillId="0" borderId="25" xfId="0" applyFont="1" applyBorder="1" applyAlignment="1">
      <alignment horizontal="center"/>
    </xf>
    <xf numFmtId="0" fontId="10" fillId="0" borderId="25" xfId="0" applyFont="1" applyBorder="1" applyAlignment="1">
      <alignment horizontal="center" vertical="center"/>
    </xf>
    <xf numFmtId="0" fontId="9" fillId="0" borderId="25" xfId="0" applyFont="1" applyBorder="1" applyAlignment="1">
      <alignment horizontal="left" vertical="center" wrapText="1"/>
    </xf>
    <xf numFmtId="0" fontId="9" fillId="0" borderId="25" xfId="0" applyFont="1" applyBorder="1" applyAlignment="1">
      <alignment horizontal="left"/>
    </xf>
    <xf numFmtId="0" fontId="9" fillId="0" borderId="25" xfId="0" applyFont="1" applyBorder="1" applyAlignment="1">
      <alignment horizontal="left" vertical="center"/>
    </xf>
    <xf numFmtId="0" fontId="10" fillId="0" borderId="25" xfId="0" applyFont="1" applyBorder="1" applyAlignment="1">
      <alignment horizontal="center"/>
    </xf>
    <xf numFmtId="0" fontId="9" fillId="0" borderId="25" xfId="0" applyFont="1" applyBorder="1" applyAlignment="1">
      <alignment horizontal="center"/>
    </xf>
    <xf numFmtId="0" fontId="9" fillId="0" borderId="23" xfId="0" applyFont="1" applyBorder="1"/>
    <xf numFmtId="0" fontId="10" fillId="0" borderId="14" xfId="0" applyFont="1" applyBorder="1" applyAlignment="1">
      <alignment horizontal="right"/>
    </xf>
    <xf numFmtId="0" fontId="9" fillId="0" borderId="14" xfId="0" applyFont="1" applyBorder="1"/>
    <xf numFmtId="0" fontId="9" fillId="0" borderId="15" xfId="0" applyFont="1" applyBorder="1"/>
    <xf numFmtId="0" fontId="19" fillId="0" borderId="14" xfId="0" applyFont="1" applyBorder="1" applyAlignment="1">
      <alignment horizontal="center"/>
    </xf>
    <xf numFmtId="0" fontId="10" fillId="0" borderId="14" xfId="0" applyFont="1" applyBorder="1" applyAlignment="1">
      <alignment horizontal="center" wrapText="1"/>
    </xf>
    <xf numFmtId="0" fontId="9" fillId="0" borderId="14" xfId="0" applyFont="1" applyBorder="1" applyAlignment="1">
      <alignment horizontal="left" vertical="center" wrapText="1"/>
    </xf>
    <xf numFmtId="0" fontId="9" fillId="0" borderId="14" xfId="0" applyFont="1" applyBorder="1" applyAlignment="1">
      <alignment horizontal="left" wrapText="1"/>
    </xf>
    <xf numFmtId="0" fontId="9" fillId="5" borderId="14" xfId="0" applyFont="1" applyFill="1" applyBorder="1" applyAlignment="1">
      <alignment horizontal="left" wrapText="1"/>
    </xf>
    <xf numFmtId="0" fontId="9" fillId="0" borderId="14" xfId="0" applyFont="1" applyBorder="1" applyAlignment="1">
      <alignment horizontal="left"/>
    </xf>
    <xf numFmtId="0" fontId="8" fillId="2"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49" fontId="8" fillId="4" borderId="1" xfId="0" applyNumberFormat="1" applyFont="1" applyFill="1" applyBorder="1" applyAlignment="1">
      <alignment vertical="center" wrapText="1"/>
    </xf>
    <xf numFmtId="49" fontId="8" fillId="4" borderId="1" xfId="0" applyNumberFormat="1" applyFont="1" applyFill="1" applyBorder="1" applyAlignment="1">
      <alignment horizontal="left" vertical="center" wrapText="1"/>
    </xf>
    <xf numFmtId="0" fontId="9" fillId="0" borderId="0" xfId="0" applyFont="1" applyAlignment="1">
      <alignment horizontal="left" vertical="center" wrapText="1"/>
    </xf>
    <xf numFmtId="0" fontId="9" fillId="0" borderId="0" xfId="0" applyFont="1" applyAlignment="1">
      <alignment vertical="center" wrapText="1"/>
    </xf>
    <xf numFmtId="0" fontId="63" fillId="0" borderId="0" xfId="0" applyFont="1" applyAlignment="1" applyProtection="1">
      <alignment horizontal="center" vertical="center"/>
      <protection hidden="1"/>
    </xf>
    <xf numFmtId="0" fontId="64" fillId="0" borderId="0" xfId="0" applyFont="1" applyAlignment="1" applyProtection="1">
      <alignment horizontal="center" vertical="top"/>
      <protection hidden="1"/>
    </xf>
    <xf numFmtId="0" fontId="64" fillId="0" borderId="0" xfId="0" applyFont="1" applyAlignment="1" applyProtection="1">
      <alignment horizontal="center" vertical="center"/>
      <protection hidden="1"/>
    </xf>
    <xf numFmtId="0" fontId="16" fillId="0" borderId="0" xfId="0" applyFont="1" applyAlignment="1">
      <alignment vertical="center"/>
    </xf>
    <xf numFmtId="0" fontId="46" fillId="0" borderId="0" xfId="0" applyFont="1" applyAlignment="1">
      <alignment horizontal="center" wrapText="1"/>
    </xf>
    <xf numFmtId="0" fontId="31" fillId="0" borderId="0" xfId="0" applyFont="1" applyAlignment="1">
      <alignment horizontal="center" wrapText="1"/>
    </xf>
    <xf numFmtId="0" fontId="16" fillId="0" borderId="0" xfId="0" applyFont="1" applyAlignment="1">
      <alignment horizontal="left" vertical="center"/>
    </xf>
    <xf numFmtId="0" fontId="35" fillId="0" borderId="0" xfId="0" applyFont="1" applyAlignment="1">
      <alignment horizontal="left" vertical="center" wrapText="1"/>
    </xf>
    <xf numFmtId="0" fontId="16" fillId="0" borderId="0" xfId="0" applyFont="1" applyAlignment="1">
      <alignment vertical="top" wrapText="1"/>
    </xf>
    <xf numFmtId="0" fontId="65" fillId="2" borderId="1" xfId="593" applyFont="1" applyFill="1" applyBorder="1" applyAlignment="1">
      <alignment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0"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left" vertical="top" wrapText="1"/>
    </xf>
    <xf numFmtId="49" fontId="9" fillId="0" borderId="0" xfId="0" applyNumberFormat="1"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wrapText="1"/>
    </xf>
    <xf numFmtId="0" fontId="9" fillId="0" borderId="0" xfId="0" applyFont="1" applyAlignment="1">
      <alignment vertical="top" wrapText="1"/>
    </xf>
    <xf numFmtId="0" fontId="29" fillId="5" borderId="0" xfId="0" applyFont="1" applyFill="1" applyAlignment="1">
      <alignment horizontal="left" vertical="top" wrapText="1"/>
    </xf>
    <xf numFmtId="0" fontId="33" fillId="0" borderId="0" xfId="0" applyFont="1" applyAlignment="1">
      <alignment horizontal="center" vertical="top" wrapText="1"/>
    </xf>
    <xf numFmtId="0" fontId="10" fillId="0" borderId="0" xfId="0" applyFont="1" applyAlignment="1">
      <alignment horizontal="center" vertical="top" wrapText="1"/>
    </xf>
    <xf numFmtId="0" fontId="33" fillId="0" borderId="0" xfId="0" applyFont="1" applyAlignment="1">
      <alignment horizontal="left"/>
    </xf>
    <xf numFmtId="0" fontId="10" fillId="0" borderId="0" xfId="0" applyFont="1" applyAlignment="1">
      <alignment horizontal="center"/>
    </xf>
    <xf numFmtId="0" fontId="10" fillId="0" borderId="0" xfId="0" applyFont="1" applyAlignment="1">
      <alignment horizontal="center" wrapText="1"/>
    </xf>
    <xf numFmtId="0" fontId="9" fillId="0" borderId="14" xfId="0" applyFont="1" applyBorder="1" applyAlignment="1">
      <alignment horizontal="right"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16" fillId="0" borderId="0" xfId="0" applyFont="1" applyAlignment="1">
      <alignment horizontal="center" vertical="top" wrapText="1"/>
    </xf>
    <xf numFmtId="0" fontId="28" fillId="0" borderId="0" xfId="0" applyFont="1" applyAlignment="1">
      <alignment horizontal="left" vertical="top" wrapText="1"/>
    </xf>
    <xf numFmtId="0" fontId="28" fillId="0" borderId="0" xfId="0" applyFont="1" applyAlignment="1">
      <alignment horizontal="left" vertical="center" wrapText="1"/>
    </xf>
    <xf numFmtId="0" fontId="15" fillId="0" borderId="0" xfId="0" applyFont="1" applyAlignment="1">
      <alignment horizontal="left" vertical="center" wrapText="1"/>
    </xf>
    <xf numFmtId="0" fontId="46" fillId="0" borderId="0" xfId="0" applyFont="1" applyAlignment="1">
      <alignment horizontal="justify" vertical="top" wrapText="1"/>
    </xf>
    <xf numFmtId="0" fontId="16" fillId="0" borderId="0" xfId="0" applyFont="1" applyAlignment="1">
      <alignment horizontal="center" vertical="center" wrapText="1"/>
    </xf>
    <xf numFmtId="0" fontId="35" fillId="0" borderId="0" xfId="0" applyFont="1" applyAlignment="1">
      <alignment horizontal="center" vertical="center" wrapText="1"/>
    </xf>
    <xf numFmtId="0" fontId="28" fillId="0" borderId="0" xfId="0" applyFont="1" applyAlignment="1">
      <alignment horizontal="center"/>
    </xf>
    <xf numFmtId="0" fontId="28" fillId="0" borderId="0" xfId="0" applyFont="1" applyAlignment="1">
      <alignment horizontal="center" vertical="top" wrapText="1"/>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15" fillId="0" borderId="0" xfId="0" applyFont="1" applyAlignment="1">
      <alignment horizontal="center"/>
    </xf>
    <xf numFmtId="0" fontId="15" fillId="0" borderId="0" xfId="0" applyFont="1" applyAlignment="1">
      <alignment horizontal="center" vertical="top" wrapText="1"/>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6" fillId="0" borderId="0" xfId="0" applyFont="1" applyAlignment="1">
      <alignment horizontal="left" vertical="top"/>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26" fillId="0" borderId="0" xfId="0" applyFont="1" applyAlignment="1">
      <alignment horizontal="right" vertical="top" wrapText="1"/>
    </xf>
    <xf numFmtId="0" fontId="16" fillId="0" borderId="0" xfId="0" applyFont="1" applyAlignment="1">
      <alignment horizontal="left" vertical="top"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0" fillId="0" borderId="0" xfId="0" applyFont="1" applyAlignment="1">
      <alignment horizontal="right" vertical="center" wrapText="1"/>
    </xf>
    <xf numFmtId="0" fontId="54" fillId="0" borderId="0" xfId="0" applyFont="1" applyAlignment="1">
      <alignment horizontal="center" wrapText="1"/>
    </xf>
    <xf numFmtId="0" fontId="16" fillId="0" borderId="0" xfId="0" applyFont="1" applyAlignment="1">
      <alignment horizontal="right" vertical="center" wrapText="1"/>
    </xf>
    <xf numFmtId="0" fontId="9" fillId="0" borderId="0" xfId="0" applyFont="1" applyAlignment="1">
      <alignment horizontal="justify" wrapText="1"/>
    </xf>
    <xf numFmtId="0" fontId="10" fillId="0" borderId="0" xfId="0" applyFont="1" applyAlignment="1">
      <alignment horizontal="left" vertical="top" wrapText="1"/>
    </xf>
    <xf numFmtId="0" fontId="10" fillId="0" borderId="0" xfId="0" applyFont="1" applyAlignment="1">
      <alignment horizontal="left" vertical="center" wrapText="1"/>
    </xf>
    <xf numFmtId="0" fontId="10" fillId="0" borderId="0" xfId="0" applyFont="1" applyAlignment="1">
      <alignment horizontal="right" vertical="center"/>
    </xf>
    <xf numFmtId="0" fontId="9" fillId="0" borderId="0" xfId="0" applyFont="1" applyAlignment="1">
      <alignment horizontal="left" vertical="center"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8" xfId="0" applyFont="1" applyBorder="1" applyAlignment="1">
      <alignment horizontal="left" wrapText="1"/>
    </xf>
    <xf numFmtId="0" fontId="16" fillId="0" borderId="0" xfId="0" applyFont="1" applyAlignment="1">
      <alignment horizontal="left" wrapText="1"/>
    </xf>
    <xf numFmtId="0" fontId="16" fillId="0" borderId="9" xfId="0" applyFont="1" applyBorder="1" applyAlignment="1">
      <alignment horizontal="left"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18" fillId="0" borderId="0" xfId="0" applyFont="1" applyAlignment="1">
      <alignment horizontal="justify" vertical="top"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29" fillId="0" borderId="0" xfId="0" applyFont="1" applyAlignment="1">
      <alignment horizontal="justify" vertical="center" wrapText="1"/>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10" fillId="0" borderId="0" xfId="0" applyFont="1" applyAlignment="1">
      <alignment horizontal="right" vertical="top" wrapText="1"/>
    </xf>
    <xf numFmtId="0" fontId="9" fillId="0" borderId="0" xfId="0" applyFont="1" applyAlignment="1">
      <alignment horizontal="justify" vertical="top" wrapText="1"/>
    </xf>
    <xf numFmtId="0" fontId="40" fillId="0" borderId="0" xfId="0" applyFont="1" applyAlignment="1">
      <alignment vertical="center" wrapText="1"/>
    </xf>
    <xf numFmtId="0" fontId="39" fillId="0" borderId="0" xfId="0" applyFont="1" applyAlignment="1">
      <alignment horizontal="justify"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39" fillId="0" borderId="0" xfId="0" applyFont="1" applyAlignment="1">
      <alignment horizontal="justify" vertical="top" wrapText="1"/>
    </xf>
    <xf numFmtId="0" fontId="15" fillId="0" borderId="0" xfId="0" applyFont="1" applyAlignment="1">
      <alignment horizontal="left"/>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cellXfs>
  <cellStyles count="1789">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31" xfId="1786" xr:uid="{00000000-0005-0000-0000-000026050000}"/>
    <cellStyle name="Финансовый 32" xfId="1787" xr:uid="{00000000-0005-0000-0000-000027050000}"/>
    <cellStyle name="Финансовый 33" xfId="1788" xr:uid="{00000000-0005-0000-0000-000028050000}"/>
    <cellStyle name="Финансовый 4" xfId="5" xr:uid="{00000000-0005-0000-0000-000029050000}"/>
    <cellStyle name="Финансовый 4 10" xfId="29" xr:uid="{00000000-0005-0000-0000-00002A050000}"/>
    <cellStyle name="Финансовый 4 10 2" xfId="167" xr:uid="{00000000-0005-0000-0000-00002B050000}"/>
    <cellStyle name="Финансовый 4 10 2 2" xfId="439" xr:uid="{00000000-0005-0000-0000-00002C050000}"/>
    <cellStyle name="Финансовый 4 10 2 2 2" xfId="1406" xr:uid="{00000000-0005-0000-0000-00002D050000}"/>
    <cellStyle name="Финансовый 4 10 2 3" xfId="1150" xr:uid="{00000000-0005-0000-0000-00002E050000}"/>
    <cellStyle name="Финансовый 4 10 2 4" xfId="1671" xr:uid="{00000000-0005-0000-0000-00002F050000}"/>
    <cellStyle name="Финансовый 4 10 3" xfId="303" xr:uid="{00000000-0005-0000-0000-000030050000}"/>
    <cellStyle name="Финансовый 4 10 3 2" xfId="1278" xr:uid="{00000000-0005-0000-0000-000031050000}"/>
    <cellStyle name="Финансовый 4 10 4" xfId="707" xr:uid="{00000000-0005-0000-0000-000032050000}"/>
    <cellStyle name="Финансовый 4 10 4 2" xfId="1014" xr:uid="{00000000-0005-0000-0000-000033050000}"/>
    <cellStyle name="Финансовый 4 10 5" xfId="898" xr:uid="{00000000-0005-0000-0000-000034050000}"/>
    <cellStyle name="Финансовый 4 10 6" xfId="1534" xr:uid="{00000000-0005-0000-0000-000035050000}"/>
    <cellStyle name="Финансовый 4 10 7" xfId="761" xr:uid="{00000000-0005-0000-0000-000036050000}"/>
    <cellStyle name="Финансовый 4 11" xfId="17" xr:uid="{00000000-0005-0000-0000-000037050000}"/>
    <cellStyle name="Финансовый 4 11 2" xfId="155" xr:uid="{00000000-0005-0000-0000-000038050000}"/>
    <cellStyle name="Финансовый 4 11 2 2" xfId="427" xr:uid="{00000000-0005-0000-0000-000039050000}"/>
    <cellStyle name="Финансовый 4 11 2 2 2" xfId="1394" xr:uid="{00000000-0005-0000-0000-00003A050000}"/>
    <cellStyle name="Финансовый 4 11 2 3" xfId="1138" xr:uid="{00000000-0005-0000-0000-00003B050000}"/>
    <cellStyle name="Финансовый 4 11 2 4" xfId="1659" xr:uid="{00000000-0005-0000-0000-00003C050000}"/>
    <cellStyle name="Финансовый 4 11 3" xfId="291" xr:uid="{00000000-0005-0000-0000-00003D050000}"/>
    <cellStyle name="Финансовый 4 11 3 2" xfId="1266" xr:uid="{00000000-0005-0000-0000-00003E050000}"/>
    <cellStyle name="Финансовый 4 11 4" xfId="708" xr:uid="{00000000-0005-0000-0000-00003F050000}"/>
    <cellStyle name="Финансовый 4 11 4 2" xfId="1002" xr:uid="{00000000-0005-0000-0000-000040050000}"/>
    <cellStyle name="Финансовый 4 11 5" xfId="886" xr:uid="{00000000-0005-0000-0000-000041050000}"/>
    <cellStyle name="Финансовый 4 11 6" xfId="1522" xr:uid="{00000000-0005-0000-0000-000042050000}"/>
    <cellStyle name="Финансовый 4 11 7" xfId="749" xr:uid="{00000000-0005-0000-0000-000043050000}"/>
    <cellStyle name="Финансовый 4 12" xfId="143" xr:uid="{00000000-0005-0000-0000-000044050000}"/>
    <cellStyle name="Финансовый 4 12 2" xfId="415" xr:uid="{00000000-0005-0000-0000-000045050000}"/>
    <cellStyle name="Финансовый 4 12 2 2" xfId="1382" xr:uid="{00000000-0005-0000-0000-000046050000}"/>
    <cellStyle name="Финансовый 4 12 3" xfId="1126" xr:uid="{00000000-0005-0000-0000-000047050000}"/>
    <cellStyle name="Финансовый 4 12 4" xfId="1647" xr:uid="{00000000-0005-0000-0000-000048050000}"/>
    <cellStyle name="Финансовый 4 13" xfId="551" xr:uid="{00000000-0005-0000-0000-000049050000}"/>
    <cellStyle name="Финансовый 4 13 2" xfId="1254" xr:uid="{00000000-0005-0000-0000-00004A050000}"/>
    <cellStyle name="Финансовый 4 14" xfId="279" xr:uid="{00000000-0005-0000-0000-00004B050000}"/>
    <cellStyle name="Финансовый 4 15" xfId="706" xr:uid="{00000000-0005-0000-0000-00004C050000}"/>
    <cellStyle name="Финансовый 4 15 2" xfId="874" xr:uid="{00000000-0005-0000-0000-00004D050000}"/>
    <cellStyle name="Финансовый 4 16" xfId="1510" xr:uid="{00000000-0005-0000-0000-00004E050000}"/>
    <cellStyle name="Финансовый 4 17" xfId="737" xr:uid="{00000000-0005-0000-0000-00004F050000}"/>
    <cellStyle name="Финансовый 4 2" xfId="11" xr:uid="{00000000-0005-0000-0000-000050050000}"/>
    <cellStyle name="Финансовый 4 2 10" xfId="557" xr:uid="{00000000-0005-0000-0000-000051050000}"/>
    <cellStyle name="Финансовый 4 2 10 2" xfId="1260" xr:uid="{00000000-0005-0000-0000-000052050000}"/>
    <cellStyle name="Финансовый 4 2 11" xfId="285" xr:uid="{00000000-0005-0000-0000-000053050000}"/>
    <cellStyle name="Финансовый 4 2 12" xfId="709" xr:uid="{00000000-0005-0000-0000-000054050000}"/>
    <cellStyle name="Финансовый 4 2 12 2" xfId="880" xr:uid="{00000000-0005-0000-0000-000055050000}"/>
    <cellStyle name="Финансовый 4 2 13" xfId="1516" xr:uid="{00000000-0005-0000-0000-000056050000}"/>
    <cellStyle name="Финансовый 4 2 14" xfId="743" xr:uid="{00000000-0005-0000-0000-000057050000}"/>
    <cellStyle name="Финансовый 4 2 2" xfId="47" xr:uid="{00000000-0005-0000-0000-000058050000}"/>
    <cellStyle name="Финансовый 4 2 2 2" xfId="105" xr:uid="{00000000-0005-0000-0000-000059050000}"/>
    <cellStyle name="Финансовый 4 2 2 2 2" xfId="241" xr:uid="{00000000-0005-0000-0000-00005A050000}"/>
    <cellStyle name="Финансовый 4 2 2 2 2 2" xfId="513" xr:uid="{00000000-0005-0000-0000-00005B050000}"/>
    <cellStyle name="Финансовый 4 2 2 2 2 2 2" xfId="1472" xr:uid="{00000000-0005-0000-0000-00005C050000}"/>
    <cellStyle name="Финансовый 4 2 2 2 2 3" xfId="1216" xr:uid="{00000000-0005-0000-0000-00005D050000}"/>
    <cellStyle name="Финансовый 4 2 2 2 2 4" xfId="1745" xr:uid="{00000000-0005-0000-0000-00005E050000}"/>
    <cellStyle name="Финансовый 4 2 2 2 3" xfId="377" xr:uid="{00000000-0005-0000-0000-00005F050000}"/>
    <cellStyle name="Финансовый 4 2 2 2 3 2" xfId="1344" xr:uid="{00000000-0005-0000-0000-000060050000}"/>
    <cellStyle name="Финансовый 4 2 2 2 4" xfId="602" xr:uid="{00000000-0005-0000-0000-000061050000}"/>
    <cellStyle name="Финансовый 4 2 2 2 4 2" xfId="1088" xr:uid="{00000000-0005-0000-0000-000062050000}"/>
    <cellStyle name="Финансовый 4 2 2 2 5" xfId="964" xr:uid="{00000000-0005-0000-0000-000063050000}"/>
    <cellStyle name="Финансовый 4 2 2 2 6" xfId="1609" xr:uid="{00000000-0005-0000-0000-000064050000}"/>
    <cellStyle name="Финансовый 4 2 2 2 7" xfId="836" xr:uid="{00000000-0005-0000-0000-000065050000}"/>
    <cellStyle name="Финансовый 4 2 2 3" xfId="185" xr:uid="{00000000-0005-0000-0000-000066050000}"/>
    <cellStyle name="Финансовый 4 2 2 3 2" xfId="457" xr:uid="{00000000-0005-0000-0000-000067050000}"/>
    <cellStyle name="Финансовый 4 2 2 3 2 2" xfId="1424" xr:uid="{00000000-0005-0000-0000-000068050000}"/>
    <cellStyle name="Финансовый 4 2 2 3 3" xfId="1168" xr:uid="{00000000-0005-0000-0000-000069050000}"/>
    <cellStyle name="Финансовый 4 2 2 3 4" xfId="1689" xr:uid="{00000000-0005-0000-0000-00006A050000}"/>
    <cellStyle name="Финансовый 4 2 2 4" xfId="321" xr:uid="{00000000-0005-0000-0000-00006B050000}"/>
    <cellStyle name="Финансовый 4 2 2 4 2" xfId="1296" xr:uid="{00000000-0005-0000-0000-00006C050000}"/>
    <cellStyle name="Финансовый 4 2 2 5" xfId="710" xr:uid="{00000000-0005-0000-0000-00006D050000}"/>
    <cellStyle name="Финансовый 4 2 2 5 2" xfId="1032" xr:uid="{00000000-0005-0000-0000-00006E050000}"/>
    <cellStyle name="Финансовый 4 2 2 6" xfId="916" xr:uid="{00000000-0005-0000-0000-00006F050000}"/>
    <cellStyle name="Финансовый 4 2 2 7" xfId="1552" xr:uid="{00000000-0005-0000-0000-000070050000}"/>
    <cellStyle name="Финансовый 4 2 2 8" xfId="779" xr:uid="{00000000-0005-0000-0000-000071050000}"/>
    <cellStyle name="Финансовый 4 2 3" xfId="117" xr:uid="{00000000-0005-0000-0000-000072050000}"/>
    <cellStyle name="Финансовый 4 2 3 2" xfId="253" xr:uid="{00000000-0005-0000-0000-000073050000}"/>
    <cellStyle name="Финансовый 4 2 3 2 2" xfId="525" xr:uid="{00000000-0005-0000-0000-000074050000}"/>
    <cellStyle name="Финансовый 4 2 3 2 2 2" xfId="1484" xr:uid="{00000000-0005-0000-0000-000075050000}"/>
    <cellStyle name="Финансовый 4 2 3 2 3" xfId="1228" xr:uid="{00000000-0005-0000-0000-000076050000}"/>
    <cellStyle name="Финансовый 4 2 3 2 4" xfId="1757" xr:uid="{00000000-0005-0000-0000-000077050000}"/>
    <cellStyle name="Финансовый 4 2 3 3" xfId="389" xr:uid="{00000000-0005-0000-0000-000078050000}"/>
    <cellStyle name="Финансовый 4 2 3 3 2" xfId="1356" xr:uid="{00000000-0005-0000-0000-000079050000}"/>
    <cellStyle name="Финансовый 4 2 3 4" xfId="711" xr:uid="{00000000-0005-0000-0000-00007A050000}"/>
    <cellStyle name="Финансовый 4 2 3 4 2" xfId="1100" xr:uid="{00000000-0005-0000-0000-00007B050000}"/>
    <cellStyle name="Финансовый 4 2 3 5" xfId="976" xr:uid="{00000000-0005-0000-0000-00007C050000}"/>
    <cellStyle name="Финансовый 4 2 3 6" xfId="1621" xr:uid="{00000000-0005-0000-0000-00007D050000}"/>
    <cellStyle name="Финансовый 4 2 3 7" xfId="848" xr:uid="{00000000-0005-0000-0000-00007E050000}"/>
    <cellStyle name="Финансовый 4 2 4" xfId="81" xr:uid="{00000000-0005-0000-0000-00007F050000}"/>
    <cellStyle name="Финансовый 4 2 4 2" xfId="217" xr:uid="{00000000-0005-0000-0000-000080050000}"/>
    <cellStyle name="Финансовый 4 2 4 2 2" xfId="489" xr:uid="{00000000-0005-0000-0000-000081050000}"/>
    <cellStyle name="Финансовый 4 2 4 2 2 2" xfId="1448" xr:uid="{00000000-0005-0000-0000-000082050000}"/>
    <cellStyle name="Финансовый 4 2 4 2 3" xfId="1192" xr:uid="{00000000-0005-0000-0000-000083050000}"/>
    <cellStyle name="Финансовый 4 2 4 2 4" xfId="1721" xr:uid="{00000000-0005-0000-0000-000084050000}"/>
    <cellStyle name="Финансовый 4 2 4 3" xfId="353" xr:uid="{00000000-0005-0000-0000-000085050000}"/>
    <cellStyle name="Финансовый 4 2 4 3 2" xfId="1320" xr:uid="{00000000-0005-0000-0000-000086050000}"/>
    <cellStyle name="Финансовый 4 2 4 4" xfId="712" xr:uid="{00000000-0005-0000-0000-000087050000}"/>
    <cellStyle name="Финансовый 4 2 4 4 2" xfId="1064" xr:uid="{00000000-0005-0000-0000-000088050000}"/>
    <cellStyle name="Финансовый 4 2 4 5" xfId="940" xr:uid="{00000000-0005-0000-0000-000089050000}"/>
    <cellStyle name="Финансовый 4 2 4 6" xfId="1585" xr:uid="{00000000-0005-0000-0000-00008A050000}"/>
    <cellStyle name="Финансовый 4 2 4 7" xfId="812" xr:uid="{00000000-0005-0000-0000-00008B050000}"/>
    <cellStyle name="Финансовый 4 2 5" xfId="59" xr:uid="{00000000-0005-0000-0000-00008C050000}"/>
    <cellStyle name="Финансовый 4 2 5 2" xfId="197" xr:uid="{00000000-0005-0000-0000-00008D050000}"/>
    <cellStyle name="Финансовый 4 2 5 2 2" xfId="469" xr:uid="{00000000-0005-0000-0000-00008E050000}"/>
    <cellStyle name="Финансовый 4 2 5 2 2 2" xfId="1436" xr:uid="{00000000-0005-0000-0000-00008F050000}"/>
    <cellStyle name="Финансовый 4 2 5 2 3" xfId="1180" xr:uid="{00000000-0005-0000-0000-000090050000}"/>
    <cellStyle name="Финансовый 4 2 5 2 4" xfId="1701" xr:uid="{00000000-0005-0000-0000-000091050000}"/>
    <cellStyle name="Финансовый 4 2 5 3" xfId="333" xr:uid="{00000000-0005-0000-0000-000092050000}"/>
    <cellStyle name="Финансовый 4 2 5 3 2" xfId="1308" xr:uid="{00000000-0005-0000-0000-000093050000}"/>
    <cellStyle name="Финансовый 4 2 5 4" xfId="713" xr:uid="{00000000-0005-0000-0000-000094050000}"/>
    <cellStyle name="Финансовый 4 2 5 4 2" xfId="1044" xr:uid="{00000000-0005-0000-0000-000095050000}"/>
    <cellStyle name="Финансовый 4 2 5 5" xfId="928" xr:uid="{00000000-0005-0000-0000-000096050000}"/>
    <cellStyle name="Финансовый 4 2 5 6" xfId="1564" xr:uid="{00000000-0005-0000-0000-000097050000}"/>
    <cellStyle name="Финансовый 4 2 5 7" xfId="791" xr:uid="{00000000-0005-0000-0000-000098050000}"/>
    <cellStyle name="Финансовый 4 2 6" xfId="137" xr:uid="{00000000-0005-0000-0000-000099050000}"/>
    <cellStyle name="Финансовый 4 2 6 2" xfId="273" xr:uid="{00000000-0005-0000-0000-00009A050000}"/>
    <cellStyle name="Финансовый 4 2 6 2 2" xfId="545" xr:uid="{00000000-0005-0000-0000-00009B050000}"/>
    <cellStyle name="Финансовый 4 2 6 2 2 2" xfId="1504" xr:uid="{00000000-0005-0000-0000-00009C050000}"/>
    <cellStyle name="Финансовый 4 2 6 2 3" xfId="1248" xr:uid="{00000000-0005-0000-0000-00009D050000}"/>
    <cellStyle name="Финансовый 4 2 6 2 4" xfId="1777" xr:uid="{00000000-0005-0000-0000-00009E050000}"/>
    <cellStyle name="Финансовый 4 2 6 3" xfId="409" xr:uid="{00000000-0005-0000-0000-00009F050000}"/>
    <cellStyle name="Финансовый 4 2 6 3 2" xfId="1376" xr:uid="{00000000-0005-0000-0000-0000A0050000}"/>
    <cellStyle name="Финансовый 4 2 6 4" xfId="628" xr:uid="{00000000-0005-0000-0000-0000A1050000}"/>
    <cellStyle name="Финансовый 4 2 6 4 2" xfId="1120" xr:uid="{00000000-0005-0000-0000-0000A2050000}"/>
    <cellStyle name="Финансовый 4 2 6 5" xfId="996" xr:uid="{00000000-0005-0000-0000-0000A3050000}"/>
    <cellStyle name="Финансовый 4 2 6 6" xfId="1641" xr:uid="{00000000-0005-0000-0000-0000A4050000}"/>
    <cellStyle name="Финансовый 4 2 6 7" xfId="868" xr:uid="{00000000-0005-0000-0000-0000A5050000}"/>
    <cellStyle name="Финансовый 4 2 7" xfId="35" xr:uid="{00000000-0005-0000-0000-0000A6050000}"/>
    <cellStyle name="Финансовый 4 2 7 2" xfId="173" xr:uid="{00000000-0005-0000-0000-0000A7050000}"/>
    <cellStyle name="Финансовый 4 2 7 2 2" xfId="445" xr:uid="{00000000-0005-0000-0000-0000A8050000}"/>
    <cellStyle name="Финансовый 4 2 7 2 2 2" xfId="1412" xr:uid="{00000000-0005-0000-0000-0000A9050000}"/>
    <cellStyle name="Финансовый 4 2 7 2 3" xfId="1156" xr:uid="{00000000-0005-0000-0000-0000AA050000}"/>
    <cellStyle name="Финансовый 4 2 7 2 4" xfId="1677" xr:uid="{00000000-0005-0000-0000-0000AB050000}"/>
    <cellStyle name="Финансовый 4 2 7 3" xfId="309" xr:uid="{00000000-0005-0000-0000-0000AC050000}"/>
    <cellStyle name="Финансовый 4 2 7 3 2" xfId="1284" xr:uid="{00000000-0005-0000-0000-0000AD050000}"/>
    <cellStyle name="Финансовый 4 2 7 4" xfId="651" xr:uid="{00000000-0005-0000-0000-0000AE050000}"/>
    <cellStyle name="Финансовый 4 2 7 4 2" xfId="1020" xr:uid="{00000000-0005-0000-0000-0000AF050000}"/>
    <cellStyle name="Финансовый 4 2 7 5" xfId="904" xr:uid="{00000000-0005-0000-0000-0000B0050000}"/>
    <cellStyle name="Финансовый 4 2 7 6" xfId="1540" xr:uid="{00000000-0005-0000-0000-0000B1050000}"/>
    <cellStyle name="Финансовый 4 2 7 7" xfId="767" xr:uid="{00000000-0005-0000-0000-0000B2050000}"/>
    <cellStyle name="Финансовый 4 2 8" xfId="23" xr:uid="{00000000-0005-0000-0000-0000B3050000}"/>
    <cellStyle name="Финансовый 4 2 8 2" xfId="161" xr:uid="{00000000-0005-0000-0000-0000B4050000}"/>
    <cellStyle name="Финансовый 4 2 8 2 2" xfId="433" xr:uid="{00000000-0005-0000-0000-0000B5050000}"/>
    <cellStyle name="Финансовый 4 2 8 2 2 2" xfId="1400" xr:uid="{00000000-0005-0000-0000-0000B6050000}"/>
    <cellStyle name="Финансовый 4 2 8 2 3" xfId="1144" xr:uid="{00000000-0005-0000-0000-0000B7050000}"/>
    <cellStyle name="Финансовый 4 2 8 2 4" xfId="1665" xr:uid="{00000000-0005-0000-0000-0000B8050000}"/>
    <cellStyle name="Финансовый 4 2 8 3" xfId="297" xr:uid="{00000000-0005-0000-0000-0000B9050000}"/>
    <cellStyle name="Финансовый 4 2 8 3 2" xfId="1272" xr:uid="{00000000-0005-0000-0000-0000BA050000}"/>
    <cellStyle name="Финансовый 4 2 8 4" xfId="671" xr:uid="{00000000-0005-0000-0000-0000BB050000}"/>
    <cellStyle name="Финансовый 4 2 8 4 2" xfId="1008" xr:uid="{00000000-0005-0000-0000-0000BC050000}"/>
    <cellStyle name="Финансовый 4 2 8 5" xfId="892" xr:uid="{00000000-0005-0000-0000-0000BD050000}"/>
    <cellStyle name="Финансовый 4 2 8 6" xfId="1528" xr:uid="{00000000-0005-0000-0000-0000BE050000}"/>
    <cellStyle name="Финансовый 4 2 8 7" xfId="755" xr:uid="{00000000-0005-0000-0000-0000BF050000}"/>
    <cellStyle name="Финансовый 4 2 9" xfId="149" xr:uid="{00000000-0005-0000-0000-0000C0050000}"/>
    <cellStyle name="Финансовый 4 2 9 2" xfId="421" xr:uid="{00000000-0005-0000-0000-0000C1050000}"/>
    <cellStyle name="Финансовый 4 2 9 2 2" xfId="1388" xr:uid="{00000000-0005-0000-0000-0000C2050000}"/>
    <cellStyle name="Финансовый 4 2 9 3" xfId="1132" xr:uid="{00000000-0005-0000-0000-0000C3050000}"/>
    <cellStyle name="Финансовый 4 2 9 4" xfId="1653" xr:uid="{00000000-0005-0000-0000-0000C4050000}"/>
    <cellStyle name="Финансовый 4 3" xfId="41" xr:uid="{00000000-0005-0000-0000-0000C5050000}"/>
    <cellStyle name="Финансовый 4 3 2" xfId="123" xr:uid="{00000000-0005-0000-0000-0000C6050000}"/>
    <cellStyle name="Финансовый 4 3 2 2" xfId="259" xr:uid="{00000000-0005-0000-0000-0000C7050000}"/>
    <cellStyle name="Финансовый 4 3 2 2 2" xfId="531" xr:uid="{00000000-0005-0000-0000-0000C8050000}"/>
    <cellStyle name="Финансовый 4 3 2 2 2 2" xfId="1490" xr:uid="{00000000-0005-0000-0000-0000C9050000}"/>
    <cellStyle name="Финансовый 4 3 2 2 3" xfId="1234" xr:uid="{00000000-0005-0000-0000-0000CA050000}"/>
    <cellStyle name="Финансовый 4 3 2 2 4" xfId="1763" xr:uid="{00000000-0005-0000-0000-0000CB050000}"/>
    <cellStyle name="Финансовый 4 3 2 3" xfId="395" xr:uid="{00000000-0005-0000-0000-0000CC050000}"/>
    <cellStyle name="Финансовый 4 3 2 3 2" xfId="1362" xr:uid="{00000000-0005-0000-0000-0000CD050000}"/>
    <cellStyle name="Финансовый 4 3 2 4" xfId="714" xr:uid="{00000000-0005-0000-0000-0000CE050000}"/>
    <cellStyle name="Финансовый 4 3 2 4 2" xfId="1106" xr:uid="{00000000-0005-0000-0000-0000CF050000}"/>
    <cellStyle name="Финансовый 4 3 2 5" xfId="982" xr:uid="{00000000-0005-0000-0000-0000D0050000}"/>
    <cellStyle name="Финансовый 4 3 2 6" xfId="1627" xr:uid="{00000000-0005-0000-0000-0000D1050000}"/>
    <cellStyle name="Финансовый 4 3 2 7" xfId="854" xr:uid="{00000000-0005-0000-0000-0000D2050000}"/>
    <cellStyle name="Финансовый 4 3 3" xfId="87" xr:uid="{00000000-0005-0000-0000-0000D3050000}"/>
    <cellStyle name="Финансовый 4 3 3 2" xfId="223" xr:uid="{00000000-0005-0000-0000-0000D4050000}"/>
    <cellStyle name="Финансовый 4 3 3 2 2" xfId="495" xr:uid="{00000000-0005-0000-0000-0000D5050000}"/>
    <cellStyle name="Финансовый 4 3 3 2 2 2" xfId="1454" xr:uid="{00000000-0005-0000-0000-0000D6050000}"/>
    <cellStyle name="Финансовый 4 3 3 2 3" xfId="1198" xr:uid="{00000000-0005-0000-0000-0000D7050000}"/>
    <cellStyle name="Финансовый 4 3 3 2 4" xfId="1727" xr:uid="{00000000-0005-0000-0000-0000D8050000}"/>
    <cellStyle name="Финансовый 4 3 3 3" xfId="359" xr:uid="{00000000-0005-0000-0000-0000D9050000}"/>
    <cellStyle name="Финансовый 4 3 3 3 2" xfId="1326" xr:uid="{00000000-0005-0000-0000-0000DA050000}"/>
    <cellStyle name="Финансовый 4 3 3 4" xfId="715" xr:uid="{00000000-0005-0000-0000-0000DB050000}"/>
    <cellStyle name="Финансовый 4 3 3 4 2" xfId="1070" xr:uid="{00000000-0005-0000-0000-0000DC050000}"/>
    <cellStyle name="Финансовый 4 3 3 5" xfId="946" xr:uid="{00000000-0005-0000-0000-0000DD050000}"/>
    <cellStyle name="Финансовый 4 3 3 6" xfId="1591" xr:uid="{00000000-0005-0000-0000-0000DE050000}"/>
    <cellStyle name="Финансовый 4 3 3 7" xfId="818" xr:uid="{00000000-0005-0000-0000-0000DF050000}"/>
    <cellStyle name="Финансовый 4 3 4" xfId="179" xr:uid="{00000000-0005-0000-0000-0000E0050000}"/>
    <cellStyle name="Финансовый 4 3 4 2" xfId="451" xr:uid="{00000000-0005-0000-0000-0000E1050000}"/>
    <cellStyle name="Финансовый 4 3 4 2 2" xfId="1418" xr:uid="{00000000-0005-0000-0000-0000E2050000}"/>
    <cellStyle name="Финансовый 4 3 4 3" xfId="1162" xr:uid="{00000000-0005-0000-0000-0000E3050000}"/>
    <cellStyle name="Финансовый 4 3 4 4" xfId="1683" xr:uid="{00000000-0005-0000-0000-0000E4050000}"/>
    <cellStyle name="Финансовый 4 3 5" xfId="315" xr:uid="{00000000-0005-0000-0000-0000E5050000}"/>
    <cellStyle name="Финансовый 4 3 5 2" xfId="1290" xr:uid="{00000000-0005-0000-0000-0000E6050000}"/>
    <cellStyle name="Финансовый 4 3 6" xfId="607" xr:uid="{00000000-0005-0000-0000-0000E7050000}"/>
    <cellStyle name="Финансовый 4 3 6 2" xfId="1026" xr:uid="{00000000-0005-0000-0000-0000E8050000}"/>
    <cellStyle name="Финансовый 4 3 7" xfId="910" xr:uid="{00000000-0005-0000-0000-0000E9050000}"/>
    <cellStyle name="Финансовый 4 3 8" xfId="1546" xr:uid="{00000000-0005-0000-0000-0000EA050000}"/>
    <cellStyle name="Финансовый 4 3 9" xfId="773" xr:uid="{00000000-0005-0000-0000-0000EB050000}"/>
    <cellStyle name="Финансовый 4 4" xfId="93" xr:uid="{00000000-0005-0000-0000-0000EC050000}"/>
    <cellStyle name="Финансовый 4 4 2" xfId="229" xr:uid="{00000000-0005-0000-0000-0000ED050000}"/>
    <cellStyle name="Финансовый 4 4 2 2" xfId="501" xr:uid="{00000000-0005-0000-0000-0000EE050000}"/>
    <cellStyle name="Финансовый 4 4 2 2 2" xfId="1460" xr:uid="{00000000-0005-0000-0000-0000EF050000}"/>
    <cellStyle name="Финансовый 4 4 2 3" xfId="1204" xr:uid="{00000000-0005-0000-0000-0000F0050000}"/>
    <cellStyle name="Финансовый 4 4 2 4" xfId="1733" xr:uid="{00000000-0005-0000-0000-0000F1050000}"/>
    <cellStyle name="Финансовый 4 4 3" xfId="365" xr:uid="{00000000-0005-0000-0000-0000F2050000}"/>
    <cellStyle name="Финансовый 4 4 3 2" xfId="1332" xr:uid="{00000000-0005-0000-0000-0000F3050000}"/>
    <cellStyle name="Финансовый 4 4 4" xfId="716" xr:uid="{00000000-0005-0000-0000-0000F4050000}"/>
    <cellStyle name="Финансовый 4 4 4 2" xfId="1076" xr:uid="{00000000-0005-0000-0000-0000F5050000}"/>
    <cellStyle name="Финансовый 4 4 5" xfId="952" xr:uid="{00000000-0005-0000-0000-0000F6050000}"/>
    <cellStyle name="Финансовый 4 4 6" xfId="1597" xr:uid="{00000000-0005-0000-0000-0000F7050000}"/>
    <cellStyle name="Финансовый 4 4 7" xfId="824" xr:uid="{00000000-0005-0000-0000-0000F8050000}"/>
    <cellStyle name="Финансовый 4 5" xfId="99" xr:uid="{00000000-0005-0000-0000-0000F9050000}"/>
    <cellStyle name="Финансовый 4 5 2" xfId="235" xr:uid="{00000000-0005-0000-0000-0000FA050000}"/>
    <cellStyle name="Финансовый 4 5 2 2" xfId="507" xr:uid="{00000000-0005-0000-0000-0000FB050000}"/>
    <cellStyle name="Финансовый 4 5 2 2 2" xfId="1466" xr:uid="{00000000-0005-0000-0000-0000FC050000}"/>
    <cellStyle name="Финансовый 4 5 2 3" xfId="1210" xr:uid="{00000000-0005-0000-0000-0000FD050000}"/>
    <cellStyle name="Финансовый 4 5 2 4" xfId="1739" xr:uid="{00000000-0005-0000-0000-0000FE050000}"/>
    <cellStyle name="Финансовый 4 5 3" xfId="371" xr:uid="{00000000-0005-0000-0000-0000FF050000}"/>
    <cellStyle name="Финансовый 4 5 3 2" xfId="1338" xr:uid="{00000000-0005-0000-0000-000000060000}"/>
    <cellStyle name="Финансовый 4 5 4" xfId="717" xr:uid="{00000000-0005-0000-0000-000001060000}"/>
    <cellStyle name="Финансовый 4 5 4 2" xfId="1082" xr:uid="{00000000-0005-0000-0000-000002060000}"/>
    <cellStyle name="Финансовый 4 5 5" xfId="958" xr:uid="{00000000-0005-0000-0000-000003060000}"/>
    <cellStyle name="Финансовый 4 5 6" xfId="1603" xr:uid="{00000000-0005-0000-0000-000004060000}"/>
    <cellStyle name="Финансовый 4 5 7" xfId="830" xr:uid="{00000000-0005-0000-0000-000005060000}"/>
    <cellStyle name="Финансовый 4 6" xfId="111" xr:uid="{00000000-0005-0000-0000-000006060000}"/>
    <cellStyle name="Финансовый 4 6 2" xfId="247" xr:uid="{00000000-0005-0000-0000-000007060000}"/>
    <cellStyle name="Финансовый 4 6 2 2" xfId="519" xr:uid="{00000000-0005-0000-0000-000008060000}"/>
    <cellStyle name="Финансовый 4 6 2 2 2" xfId="1478" xr:uid="{00000000-0005-0000-0000-000009060000}"/>
    <cellStyle name="Финансовый 4 6 2 3" xfId="1222" xr:uid="{00000000-0005-0000-0000-00000A060000}"/>
    <cellStyle name="Финансовый 4 6 2 4" xfId="1751" xr:uid="{00000000-0005-0000-0000-00000B060000}"/>
    <cellStyle name="Финансовый 4 6 3" xfId="383" xr:uid="{00000000-0005-0000-0000-00000C060000}"/>
    <cellStyle name="Финансовый 4 6 3 2" xfId="1350" xr:uid="{00000000-0005-0000-0000-00000D060000}"/>
    <cellStyle name="Финансовый 4 6 4" xfId="653" xr:uid="{00000000-0005-0000-0000-00000E060000}"/>
    <cellStyle name="Финансовый 4 6 4 2" xfId="1094" xr:uid="{00000000-0005-0000-0000-00000F060000}"/>
    <cellStyle name="Финансовый 4 6 5" xfId="970" xr:uid="{00000000-0005-0000-0000-000010060000}"/>
    <cellStyle name="Финансовый 4 6 6" xfId="1615" xr:uid="{00000000-0005-0000-0000-000011060000}"/>
    <cellStyle name="Финансовый 4 6 7" xfId="842" xr:uid="{00000000-0005-0000-0000-000012060000}"/>
    <cellStyle name="Финансовый 4 7" xfId="75" xr:uid="{00000000-0005-0000-0000-000013060000}"/>
    <cellStyle name="Финансовый 4 7 2" xfId="211" xr:uid="{00000000-0005-0000-0000-000014060000}"/>
    <cellStyle name="Финансовый 4 7 2 2" xfId="483" xr:uid="{00000000-0005-0000-0000-000015060000}"/>
    <cellStyle name="Финансовый 4 7 2 2 2" xfId="1442" xr:uid="{00000000-0005-0000-0000-000016060000}"/>
    <cellStyle name="Финансовый 4 7 2 3" xfId="1186" xr:uid="{00000000-0005-0000-0000-000017060000}"/>
    <cellStyle name="Финансовый 4 7 2 4" xfId="1715" xr:uid="{00000000-0005-0000-0000-000018060000}"/>
    <cellStyle name="Финансовый 4 7 3" xfId="347" xr:uid="{00000000-0005-0000-0000-000019060000}"/>
    <cellStyle name="Финансовый 4 7 3 2" xfId="1314" xr:uid="{00000000-0005-0000-0000-00001A060000}"/>
    <cellStyle name="Финансовый 4 7 4" xfId="621" xr:uid="{00000000-0005-0000-0000-00001B060000}"/>
    <cellStyle name="Финансовый 4 7 4 2" xfId="1058" xr:uid="{00000000-0005-0000-0000-00001C060000}"/>
    <cellStyle name="Финансовый 4 7 5" xfId="934" xr:uid="{00000000-0005-0000-0000-00001D060000}"/>
    <cellStyle name="Финансовый 4 7 6" xfId="1579" xr:uid="{00000000-0005-0000-0000-00001E060000}"/>
    <cellStyle name="Финансовый 4 7 7" xfId="806" xr:uid="{00000000-0005-0000-0000-00001F060000}"/>
    <cellStyle name="Финансовый 4 8" xfId="53" xr:uid="{00000000-0005-0000-0000-000020060000}"/>
    <cellStyle name="Финансовый 4 8 2" xfId="191" xr:uid="{00000000-0005-0000-0000-000021060000}"/>
    <cellStyle name="Финансовый 4 8 2 2" xfId="463" xr:uid="{00000000-0005-0000-0000-000022060000}"/>
    <cellStyle name="Финансовый 4 8 2 2 2" xfId="1430" xr:uid="{00000000-0005-0000-0000-000023060000}"/>
    <cellStyle name="Финансовый 4 8 2 3" xfId="1174" xr:uid="{00000000-0005-0000-0000-000024060000}"/>
    <cellStyle name="Финансовый 4 8 2 4" xfId="1695" xr:uid="{00000000-0005-0000-0000-000025060000}"/>
    <cellStyle name="Финансовый 4 8 3" xfId="327" xr:uid="{00000000-0005-0000-0000-000026060000}"/>
    <cellStyle name="Финансовый 4 8 3 2" xfId="1302" xr:uid="{00000000-0005-0000-0000-000027060000}"/>
    <cellStyle name="Финансовый 4 8 4" xfId="608" xr:uid="{00000000-0005-0000-0000-000028060000}"/>
    <cellStyle name="Финансовый 4 8 4 2" xfId="1038" xr:uid="{00000000-0005-0000-0000-000029060000}"/>
    <cellStyle name="Финансовый 4 8 5" xfId="922" xr:uid="{00000000-0005-0000-0000-00002A060000}"/>
    <cellStyle name="Финансовый 4 8 6" xfId="1558" xr:uid="{00000000-0005-0000-0000-00002B060000}"/>
    <cellStyle name="Финансовый 4 8 7" xfId="785" xr:uid="{00000000-0005-0000-0000-00002C060000}"/>
    <cellStyle name="Финансовый 4 9" xfId="131" xr:uid="{00000000-0005-0000-0000-00002D060000}"/>
    <cellStyle name="Финансовый 4 9 2" xfId="267" xr:uid="{00000000-0005-0000-0000-00002E060000}"/>
    <cellStyle name="Финансовый 4 9 2 2" xfId="539" xr:uid="{00000000-0005-0000-0000-00002F060000}"/>
    <cellStyle name="Финансовый 4 9 2 2 2" xfId="1498" xr:uid="{00000000-0005-0000-0000-000030060000}"/>
    <cellStyle name="Финансовый 4 9 2 3" xfId="1242" xr:uid="{00000000-0005-0000-0000-000031060000}"/>
    <cellStyle name="Финансовый 4 9 2 4" xfId="1771" xr:uid="{00000000-0005-0000-0000-000032060000}"/>
    <cellStyle name="Финансовый 4 9 3" xfId="403" xr:uid="{00000000-0005-0000-0000-000033060000}"/>
    <cellStyle name="Финансовый 4 9 3 2" xfId="1370" xr:uid="{00000000-0005-0000-0000-000034060000}"/>
    <cellStyle name="Финансовый 4 9 4" xfId="624" xr:uid="{00000000-0005-0000-0000-000035060000}"/>
    <cellStyle name="Финансовый 4 9 4 2" xfId="1114" xr:uid="{00000000-0005-0000-0000-000036060000}"/>
    <cellStyle name="Финансовый 4 9 5" xfId="990" xr:uid="{00000000-0005-0000-0000-000037060000}"/>
    <cellStyle name="Финансовый 4 9 6" xfId="1635" xr:uid="{00000000-0005-0000-0000-000038060000}"/>
    <cellStyle name="Финансовый 4 9 7" xfId="862" xr:uid="{00000000-0005-0000-0000-000039060000}"/>
    <cellStyle name="Финансовый 5" xfId="7" xr:uid="{00000000-0005-0000-0000-00003A060000}"/>
    <cellStyle name="Финансовый 5 10" xfId="553" xr:uid="{00000000-0005-0000-0000-00003B060000}"/>
    <cellStyle name="Финансовый 5 10 2" xfId="1256" xr:uid="{00000000-0005-0000-0000-00003C060000}"/>
    <cellStyle name="Финансовый 5 11" xfId="281" xr:uid="{00000000-0005-0000-0000-00003D060000}"/>
    <cellStyle name="Финансовый 5 12" xfId="718" xr:uid="{00000000-0005-0000-0000-00003E060000}"/>
    <cellStyle name="Финансовый 5 12 2" xfId="876" xr:uid="{00000000-0005-0000-0000-00003F060000}"/>
    <cellStyle name="Финансовый 5 13" xfId="1512" xr:uid="{00000000-0005-0000-0000-000040060000}"/>
    <cellStyle name="Финансовый 5 14" xfId="739" xr:uid="{00000000-0005-0000-0000-000041060000}"/>
    <cellStyle name="Финансовый 5 2" xfId="43" xr:uid="{00000000-0005-0000-0000-000042060000}"/>
    <cellStyle name="Финансовый 5 2 2" xfId="101" xr:uid="{00000000-0005-0000-0000-000043060000}"/>
    <cellStyle name="Финансовый 5 2 2 2" xfId="237" xr:uid="{00000000-0005-0000-0000-000044060000}"/>
    <cellStyle name="Финансовый 5 2 2 2 2" xfId="509" xr:uid="{00000000-0005-0000-0000-000045060000}"/>
    <cellStyle name="Финансовый 5 2 2 2 2 2" xfId="1468" xr:uid="{00000000-0005-0000-0000-000046060000}"/>
    <cellStyle name="Финансовый 5 2 2 2 3" xfId="1212" xr:uid="{00000000-0005-0000-0000-000047060000}"/>
    <cellStyle name="Финансовый 5 2 2 2 4" xfId="1741" xr:uid="{00000000-0005-0000-0000-000048060000}"/>
    <cellStyle name="Финансовый 5 2 2 3" xfId="373" xr:uid="{00000000-0005-0000-0000-000049060000}"/>
    <cellStyle name="Финансовый 5 2 2 3 2" xfId="1340" xr:uid="{00000000-0005-0000-0000-00004A060000}"/>
    <cellStyle name="Финансовый 5 2 2 4" xfId="720" xr:uid="{00000000-0005-0000-0000-00004B060000}"/>
    <cellStyle name="Финансовый 5 2 2 4 2" xfId="1084" xr:uid="{00000000-0005-0000-0000-00004C060000}"/>
    <cellStyle name="Финансовый 5 2 2 5" xfId="960" xr:uid="{00000000-0005-0000-0000-00004D060000}"/>
    <cellStyle name="Финансовый 5 2 2 6" xfId="1605" xr:uid="{00000000-0005-0000-0000-00004E060000}"/>
    <cellStyle name="Финансовый 5 2 2 7" xfId="832" xr:uid="{00000000-0005-0000-0000-00004F060000}"/>
    <cellStyle name="Финансовый 5 2 3" xfId="181" xr:uid="{00000000-0005-0000-0000-000050060000}"/>
    <cellStyle name="Финансовый 5 2 3 2" xfId="453" xr:uid="{00000000-0005-0000-0000-000051060000}"/>
    <cellStyle name="Финансовый 5 2 3 2 2" xfId="1420" xr:uid="{00000000-0005-0000-0000-000052060000}"/>
    <cellStyle name="Финансовый 5 2 3 3" xfId="1164" xr:uid="{00000000-0005-0000-0000-000053060000}"/>
    <cellStyle name="Финансовый 5 2 3 4" xfId="1685" xr:uid="{00000000-0005-0000-0000-000054060000}"/>
    <cellStyle name="Финансовый 5 2 4" xfId="317" xr:uid="{00000000-0005-0000-0000-000055060000}"/>
    <cellStyle name="Финансовый 5 2 4 2" xfId="1292" xr:uid="{00000000-0005-0000-0000-000056060000}"/>
    <cellStyle name="Финансовый 5 2 5" xfId="719" xr:uid="{00000000-0005-0000-0000-000057060000}"/>
    <cellStyle name="Финансовый 5 2 5 2" xfId="1028" xr:uid="{00000000-0005-0000-0000-000058060000}"/>
    <cellStyle name="Финансовый 5 2 6" xfId="912" xr:uid="{00000000-0005-0000-0000-000059060000}"/>
    <cellStyle name="Финансовый 5 2 7" xfId="1548" xr:uid="{00000000-0005-0000-0000-00005A060000}"/>
    <cellStyle name="Финансовый 5 2 8" xfId="775" xr:uid="{00000000-0005-0000-0000-00005B060000}"/>
    <cellStyle name="Финансовый 5 3" xfId="113" xr:uid="{00000000-0005-0000-0000-00005C060000}"/>
    <cellStyle name="Финансовый 5 3 2" xfId="249" xr:uid="{00000000-0005-0000-0000-00005D060000}"/>
    <cellStyle name="Финансовый 5 3 2 2" xfId="521" xr:uid="{00000000-0005-0000-0000-00005E060000}"/>
    <cellStyle name="Финансовый 5 3 2 2 2" xfId="1480" xr:uid="{00000000-0005-0000-0000-00005F060000}"/>
    <cellStyle name="Финансовый 5 3 2 3" xfId="1224" xr:uid="{00000000-0005-0000-0000-000060060000}"/>
    <cellStyle name="Финансовый 5 3 2 4" xfId="1753" xr:uid="{00000000-0005-0000-0000-000061060000}"/>
    <cellStyle name="Финансовый 5 3 3" xfId="385" xr:uid="{00000000-0005-0000-0000-000062060000}"/>
    <cellStyle name="Финансовый 5 3 3 2" xfId="1352" xr:uid="{00000000-0005-0000-0000-000063060000}"/>
    <cellStyle name="Финансовый 5 3 4" xfId="721" xr:uid="{00000000-0005-0000-0000-000064060000}"/>
    <cellStyle name="Финансовый 5 3 4 2" xfId="1096" xr:uid="{00000000-0005-0000-0000-000065060000}"/>
    <cellStyle name="Финансовый 5 3 5" xfId="972" xr:uid="{00000000-0005-0000-0000-000066060000}"/>
    <cellStyle name="Финансовый 5 3 6" xfId="1617" xr:uid="{00000000-0005-0000-0000-000067060000}"/>
    <cellStyle name="Финансовый 5 3 7" xfId="844" xr:uid="{00000000-0005-0000-0000-000068060000}"/>
    <cellStyle name="Финансовый 5 4" xfId="77" xr:uid="{00000000-0005-0000-0000-000069060000}"/>
    <cellStyle name="Финансовый 5 4 2" xfId="213" xr:uid="{00000000-0005-0000-0000-00006A060000}"/>
    <cellStyle name="Финансовый 5 4 2 2" xfId="485" xr:uid="{00000000-0005-0000-0000-00006B060000}"/>
    <cellStyle name="Финансовый 5 4 2 2 2" xfId="1444" xr:uid="{00000000-0005-0000-0000-00006C060000}"/>
    <cellStyle name="Финансовый 5 4 2 3" xfId="1188" xr:uid="{00000000-0005-0000-0000-00006D060000}"/>
    <cellStyle name="Финансовый 5 4 2 4" xfId="1717" xr:uid="{00000000-0005-0000-0000-00006E060000}"/>
    <cellStyle name="Финансовый 5 4 3" xfId="349" xr:uid="{00000000-0005-0000-0000-00006F060000}"/>
    <cellStyle name="Финансовый 5 4 3 2" xfId="1316" xr:uid="{00000000-0005-0000-0000-000070060000}"/>
    <cellStyle name="Финансовый 5 4 4" xfId="722" xr:uid="{00000000-0005-0000-0000-000071060000}"/>
    <cellStyle name="Финансовый 5 4 4 2" xfId="1060" xr:uid="{00000000-0005-0000-0000-000072060000}"/>
    <cellStyle name="Финансовый 5 4 5" xfId="936" xr:uid="{00000000-0005-0000-0000-000073060000}"/>
    <cellStyle name="Финансовый 5 4 6" xfId="1581" xr:uid="{00000000-0005-0000-0000-000074060000}"/>
    <cellStyle name="Финансовый 5 4 7" xfId="808" xr:uid="{00000000-0005-0000-0000-000075060000}"/>
    <cellStyle name="Финансовый 5 5" xfId="55" xr:uid="{00000000-0005-0000-0000-000076060000}"/>
    <cellStyle name="Финансовый 5 5 2" xfId="193" xr:uid="{00000000-0005-0000-0000-000077060000}"/>
    <cellStyle name="Финансовый 5 5 2 2" xfId="465" xr:uid="{00000000-0005-0000-0000-000078060000}"/>
    <cellStyle name="Финансовый 5 5 2 2 2" xfId="1432" xr:uid="{00000000-0005-0000-0000-000079060000}"/>
    <cellStyle name="Финансовый 5 5 2 3" xfId="1176" xr:uid="{00000000-0005-0000-0000-00007A060000}"/>
    <cellStyle name="Финансовый 5 5 2 4" xfId="1697" xr:uid="{00000000-0005-0000-0000-00007B060000}"/>
    <cellStyle name="Финансовый 5 5 3" xfId="329" xr:uid="{00000000-0005-0000-0000-00007C060000}"/>
    <cellStyle name="Финансовый 5 5 3 2" xfId="1304" xr:uid="{00000000-0005-0000-0000-00007D060000}"/>
    <cellStyle name="Финансовый 5 5 4" xfId="723" xr:uid="{00000000-0005-0000-0000-00007E060000}"/>
    <cellStyle name="Финансовый 5 5 4 2" xfId="1040" xr:uid="{00000000-0005-0000-0000-00007F060000}"/>
    <cellStyle name="Финансовый 5 5 5" xfId="924" xr:uid="{00000000-0005-0000-0000-000080060000}"/>
    <cellStyle name="Финансовый 5 5 6" xfId="1560" xr:uid="{00000000-0005-0000-0000-000081060000}"/>
    <cellStyle name="Финансовый 5 5 7" xfId="787" xr:uid="{00000000-0005-0000-0000-000082060000}"/>
    <cellStyle name="Финансовый 5 6" xfId="133" xr:uid="{00000000-0005-0000-0000-000083060000}"/>
    <cellStyle name="Финансовый 5 6 2" xfId="269" xr:uid="{00000000-0005-0000-0000-000084060000}"/>
    <cellStyle name="Финансовый 5 6 2 2" xfId="541" xr:uid="{00000000-0005-0000-0000-000085060000}"/>
    <cellStyle name="Финансовый 5 6 2 2 2" xfId="1500" xr:uid="{00000000-0005-0000-0000-000086060000}"/>
    <cellStyle name="Финансовый 5 6 2 3" xfId="1244" xr:uid="{00000000-0005-0000-0000-000087060000}"/>
    <cellStyle name="Финансовый 5 6 2 4" xfId="1773" xr:uid="{00000000-0005-0000-0000-000088060000}"/>
    <cellStyle name="Финансовый 5 6 3" xfId="405" xr:uid="{00000000-0005-0000-0000-000089060000}"/>
    <cellStyle name="Финансовый 5 6 3 2" xfId="1372" xr:uid="{00000000-0005-0000-0000-00008A060000}"/>
    <cellStyle name="Финансовый 5 6 4" xfId="724" xr:uid="{00000000-0005-0000-0000-00008B060000}"/>
    <cellStyle name="Финансовый 5 6 4 2" xfId="1116" xr:uid="{00000000-0005-0000-0000-00008C060000}"/>
    <cellStyle name="Финансовый 5 6 5" xfId="992" xr:uid="{00000000-0005-0000-0000-00008D060000}"/>
    <cellStyle name="Финансовый 5 6 6" xfId="1637" xr:uid="{00000000-0005-0000-0000-00008E060000}"/>
    <cellStyle name="Финансовый 5 6 7" xfId="864" xr:uid="{00000000-0005-0000-0000-00008F060000}"/>
    <cellStyle name="Финансовый 5 7" xfId="31" xr:uid="{00000000-0005-0000-0000-000090060000}"/>
    <cellStyle name="Финансовый 5 7 2" xfId="169" xr:uid="{00000000-0005-0000-0000-000091060000}"/>
    <cellStyle name="Финансовый 5 7 2 2" xfId="441" xr:uid="{00000000-0005-0000-0000-000092060000}"/>
    <cellStyle name="Финансовый 5 7 2 2 2" xfId="1408" xr:uid="{00000000-0005-0000-0000-000093060000}"/>
    <cellStyle name="Финансовый 5 7 2 3" xfId="1152" xr:uid="{00000000-0005-0000-0000-000094060000}"/>
    <cellStyle name="Финансовый 5 7 2 4" xfId="1673" xr:uid="{00000000-0005-0000-0000-000095060000}"/>
    <cellStyle name="Финансовый 5 7 3" xfId="305" xr:uid="{00000000-0005-0000-0000-000096060000}"/>
    <cellStyle name="Финансовый 5 7 3 2" xfId="1280" xr:uid="{00000000-0005-0000-0000-000097060000}"/>
    <cellStyle name="Финансовый 5 7 4" xfId="725" xr:uid="{00000000-0005-0000-0000-000098060000}"/>
    <cellStyle name="Финансовый 5 7 4 2" xfId="1016" xr:uid="{00000000-0005-0000-0000-000099060000}"/>
    <cellStyle name="Финансовый 5 7 5" xfId="900" xr:uid="{00000000-0005-0000-0000-00009A060000}"/>
    <cellStyle name="Финансовый 5 7 6" xfId="1536" xr:uid="{00000000-0005-0000-0000-00009B060000}"/>
    <cellStyle name="Финансовый 5 7 7" xfId="763" xr:uid="{00000000-0005-0000-0000-00009C060000}"/>
    <cellStyle name="Финансовый 5 8" xfId="19" xr:uid="{00000000-0005-0000-0000-00009D060000}"/>
    <cellStyle name="Финансовый 5 8 2" xfId="157" xr:uid="{00000000-0005-0000-0000-00009E060000}"/>
    <cellStyle name="Финансовый 5 8 2 2" xfId="429" xr:uid="{00000000-0005-0000-0000-00009F060000}"/>
    <cellStyle name="Финансовый 5 8 2 2 2" xfId="1396" xr:uid="{00000000-0005-0000-0000-0000A0060000}"/>
    <cellStyle name="Финансовый 5 8 2 3" xfId="1140" xr:uid="{00000000-0005-0000-0000-0000A1060000}"/>
    <cellStyle name="Финансовый 5 8 2 4" xfId="1661" xr:uid="{00000000-0005-0000-0000-0000A2060000}"/>
    <cellStyle name="Финансовый 5 8 3" xfId="293" xr:uid="{00000000-0005-0000-0000-0000A3060000}"/>
    <cellStyle name="Финансовый 5 8 3 2" xfId="1268" xr:uid="{00000000-0005-0000-0000-0000A4060000}"/>
    <cellStyle name="Финансовый 5 8 4" xfId="726" xr:uid="{00000000-0005-0000-0000-0000A5060000}"/>
    <cellStyle name="Финансовый 5 8 4 2" xfId="1004" xr:uid="{00000000-0005-0000-0000-0000A6060000}"/>
    <cellStyle name="Финансовый 5 8 5" xfId="888" xr:uid="{00000000-0005-0000-0000-0000A7060000}"/>
    <cellStyle name="Финансовый 5 8 6" xfId="1524" xr:uid="{00000000-0005-0000-0000-0000A8060000}"/>
    <cellStyle name="Финансовый 5 8 7" xfId="751" xr:uid="{00000000-0005-0000-0000-0000A9060000}"/>
    <cellStyle name="Финансовый 5 9" xfId="145" xr:uid="{00000000-0005-0000-0000-0000AA060000}"/>
    <cellStyle name="Финансовый 5 9 2" xfId="417" xr:uid="{00000000-0005-0000-0000-0000AB060000}"/>
    <cellStyle name="Финансовый 5 9 2 2" xfId="1384" xr:uid="{00000000-0005-0000-0000-0000AC060000}"/>
    <cellStyle name="Финансовый 5 9 3" xfId="1128" xr:uid="{00000000-0005-0000-0000-0000AD060000}"/>
    <cellStyle name="Финансовый 5 9 4" xfId="1649" xr:uid="{00000000-0005-0000-0000-0000AE060000}"/>
    <cellStyle name="Финансовый 6" xfId="37" xr:uid="{00000000-0005-0000-0000-0000AF060000}"/>
    <cellStyle name="Финансовый 6 2" xfId="119" xr:uid="{00000000-0005-0000-0000-0000B0060000}"/>
    <cellStyle name="Финансовый 6 2 2" xfId="255" xr:uid="{00000000-0005-0000-0000-0000B1060000}"/>
    <cellStyle name="Финансовый 6 2 2 2" xfId="527" xr:uid="{00000000-0005-0000-0000-0000B2060000}"/>
    <cellStyle name="Финансовый 6 2 2 2 2" xfId="1486" xr:uid="{00000000-0005-0000-0000-0000B3060000}"/>
    <cellStyle name="Финансовый 6 2 2 3" xfId="1230" xr:uid="{00000000-0005-0000-0000-0000B4060000}"/>
    <cellStyle name="Финансовый 6 2 2 4" xfId="1759" xr:uid="{00000000-0005-0000-0000-0000B5060000}"/>
    <cellStyle name="Финансовый 6 2 3" xfId="391" xr:uid="{00000000-0005-0000-0000-0000B6060000}"/>
    <cellStyle name="Финансовый 6 2 3 2" xfId="1358" xr:uid="{00000000-0005-0000-0000-0000B7060000}"/>
    <cellStyle name="Финансовый 6 2 4" xfId="728" xr:uid="{00000000-0005-0000-0000-0000B8060000}"/>
    <cellStyle name="Финансовый 6 2 4 2" xfId="1102" xr:uid="{00000000-0005-0000-0000-0000B9060000}"/>
    <cellStyle name="Финансовый 6 2 5" xfId="978" xr:uid="{00000000-0005-0000-0000-0000BA060000}"/>
    <cellStyle name="Финансовый 6 2 6" xfId="1623" xr:uid="{00000000-0005-0000-0000-0000BB060000}"/>
    <cellStyle name="Финансовый 6 2 7" xfId="850" xr:uid="{00000000-0005-0000-0000-0000BC060000}"/>
    <cellStyle name="Финансовый 6 3" xfId="83" xr:uid="{00000000-0005-0000-0000-0000BD060000}"/>
    <cellStyle name="Финансовый 6 3 2" xfId="219" xr:uid="{00000000-0005-0000-0000-0000BE060000}"/>
    <cellStyle name="Финансовый 6 3 2 2" xfId="491" xr:uid="{00000000-0005-0000-0000-0000BF060000}"/>
    <cellStyle name="Финансовый 6 3 2 2 2" xfId="1450" xr:uid="{00000000-0005-0000-0000-0000C0060000}"/>
    <cellStyle name="Финансовый 6 3 2 3" xfId="1194" xr:uid="{00000000-0005-0000-0000-0000C1060000}"/>
    <cellStyle name="Финансовый 6 3 2 4" xfId="1723" xr:uid="{00000000-0005-0000-0000-0000C2060000}"/>
    <cellStyle name="Финансовый 6 3 3" xfId="355" xr:uid="{00000000-0005-0000-0000-0000C3060000}"/>
    <cellStyle name="Финансовый 6 3 3 2" xfId="1322" xr:uid="{00000000-0005-0000-0000-0000C4060000}"/>
    <cellStyle name="Финансовый 6 3 4" xfId="618" xr:uid="{00000000-0005-0000-0000-0000C5060000}"/>
    <cellStyle name="Финансовый 6 3 4 2" xfId="1066" xr:uid="{00000000-0005-0000-0000-0000C6060000}"/>
    <cellStyle name="Финансовый 6 3 5" xfId="942" xr:uid="{00000000-0005-0000-0000-0000C7060000}"/>
    <cellStyle name="Финансовый 6 3 6" xfId="1587" xr:uid="{00000000-0005-0000-0000-0000C8060000}"/>
    <cellStyle name="Финансовый 6 3 7" xfId="814" xr:uid="{00000000-0005-0000-0000-0000C9060000}"/>
    <cellStyle name="Финансовый 6 4" xfId="175" xr:uid="{00000000-0005-0000-0000-0000CA060000}"/>
    <cellStyle name="Финансовый 6 4 2" xfId="447" xr:uid="{00000000-0005-0000-0000-0000CB060000}"/>
    <cellStyle name="Финансовый 6 4 2 2" xfId="1414" xr:uid="{00000000-0005-0000-0000-0000CC060000}"/>
    <cellStyle name="Финансовый 6 4 3" xfId="1158" xr:uid="{00000000-0005-0000-0000-0000CD060000}"/>
    <cellStyle name="Финансовый 6 4 4" xfId="1679" xr:uid="{00000000-0005-0000-0000-0000CE060000}"/>
    <cellStyle name="Финансовый 6 5" xfId="311" xr:uid="{00000000-0005-0000-0000-0000CF060000}"/>
    <cellStyle name="Финансовый 6 5 2" xfId="1286" xr:uid="{00000000-0005-0000-0000-0000D0060000}"/>
    <cellStyle name="Финансовый 6 6" xfId="727" xr:uid="{00000000-0005-0000-0000-0000D1060000}"/>
    <cellStyle name="Финансовый 6 6 2" xfId="1022" xr:uid="{00000000-0005-0000-0000-0000D2060000}"/>
    <cellStyle name="Финансовый 6 7" xfId="906" xr:uid="{00000000-0005-0000-0000-0000D3060000}"/>
    <cellStyle name="Финансовый 6 8" xfId="1542" xr:uid="{00000000-0005-0000-0000-0000D4060000}"/>
    <cellStyle name="Финансовый 6 9" xfId="769" xr:uid="{00000000-0005-0000-0000-0000D5060000}"/>
    <cellStyle name="Финансовый 7" xfId="89" xr:uid="{00000000-0005-0000-0000-0000D6060000}"/>
    <cellStyle name="Финансовый 7 2" xfId="225" xr:uid="{00000000-0005-0000-0000-0000D7060000}"/>
    <cellStyle name="Финансовый 7 2 2" xfId="497" xr:uid="{00000000-0005-0000-0000-0000D8060000}"/>
    <cellStyle name="Финансовый 7 2 2 2" xfId="1456" xr:uid="{00000000-0005-0000-0000-0000D9060000}"/>
    <cellStyle name="Финансовый 7 2 3" xfId="1200" xr:uid="{00000000-0005-0000-0000-0000DA060000}"/>
    <cellStyle name="Финансовый 7 2 4" xfId="1729" xr:uid="{00000000-0005-0000-0000-0000DB060000}"/>
    <cellStyle name="Финансовый 7 3" xfId="361" xr:uid="{00000000-0005-0000-0000-0000DC060000}"/>
    <cellStyle name="Финансовый 7 3 2" xfId="1328" xr:uid="{00000000-0005-0000-0000-0000DD060000}"/>
    <cellStyle name="Финансовый 7 4" xfId="729" xr:uid="{00000000-0005-0000-0000-0000DE060000}"/>
    <cellStyle name="Финансовый 7 4 2" xfId="1072" xr:uid="{00000000-0005-0000-0000-0000DF060000}"/>
    <cellStyle name="Финансовый 7 5" xfId="948" xr:uid="{00000000-0005-0000-0000-0000E0060000}"/>
    <cellStyle name="Финансовый 7 6" xfId="1593" xr:uid="{00000000-0005-0000-0000-0000E1060000}"/>
    <cellStyle name="Финансовый 7 7" xfId="820" xr:uid="{00000000-0005-0000-0000-0000E2060000}"/>
    <cellStyle name="Финансовый 8" xfId="95" xr:uid="{00000000-0005-0000-0000-0000E3060000}"/>
    <cellStyle name="Финансовый 8 2" xfId="231" xr:uid="{00000000-0005-0000-0000-0000E4060000}"/>
    <cellStyle name="Финансовый 8 2 2" xfId="503" xr:uid="{00000000-0005-0000-0000-0000E5060000}"/>
    <cellStyle name="Финансовый 8 2 2 2" xfId="1462" xr:uid="{00000000-0005-0000-0000-0000E6060000}"/>
    <cellStyle name="Финансовый 8 2 3" xfId="1206" xr:uid="{00000000-0005-0000-0000-0000E7060000}"/>
    <cellStyle name="Финансовый 8 2 4" xfId="1735" xr:uid="{00000000-0005-0000-0000-0000E8060000}"/>
    <cellStyle name="Финансовый 8 3" xfId="367" xr:uid="{00000000-0005-0000-0000-0000E9060000}"/>
    <cellStyle name="Финансовый 8 3 2" xfId="1334" xr:uid="{00000000-0005-0000-0000-0000EA060000}"/>
    <cellStyle name="Финансовый 8 4" xfId="730" xr:uid="{00000000-0005-0000-0000-0000EB060000}"/>
    <cellStyle name="Финансовый 8 4 2" xfId="1078" xr:uid="{00000000-0005-0000-0000-0000EC060000}"/>
    <cellStyle name="Финансовый 8 5" xfId="954" xr:uid="{00000000-0005-0000-0000-0000ED060000}"/>
    <cellStyle name="Финансовый 8 6" xfId="1599" xr:uid="{00000000-0005-0000-0000-0000EE060000}"/>
    <cellStyle name="Финансовый 8 7" xfId="826" xr:uid="{00000000-0005-0000-0000-0000EF060000}"/>
    <cellStyle name="Финансовый 9" xfId="107" xr:uid="{00000000-0005-0000-0000-0000F0060000}"/>
    <cellStyle name="Финансовый 9 2" xfId="243" xr:uid="{00000000-0005-0000-0000-0000F1060000}"/>
    <cellStyle name="Финансовый 9 2 2" xfId="515" xr:uid="{00000000-0005-0000-0000-0000F2060000}"/>
    <cellStyle name="Финансовый 9 2 2 2" xfId="1474" xr:uid="{00000000-0005-0000-0000-0000F3060000}"/>
    <cellStyle name="Финансовый 9 2 3" xfId="1218" xr:uid="{00000000-0005-0000-0000-0000F4060000}"/>
    <cellStyle name="Финансовый 9 2 4" xfId="1747" xr:uid="{00000000-0005-0000-0000-0000F5060000}"/>
    <cellStyle name="Финансовый 9 3" xfId="379" xr:uid="{00000000-0005-0000-0000-0000F6060000}"/>
    <cellStyle name="Финансовый 9 3 2" xfId="1346" xr:uid="{00000000-0005-0000-0000-0000F7060000}"/>
    <cellStyle name="Финансовый 9 4" xfId="731" xr:uid="{00000000-0005-0000-0000-0000F8060000}"/>
    <cellStyle name="Финансовый 9 4 2" xfId="1090" xr:uid="{00000000-0005-0000-0000-0000F9060000}"/>
    <cellStyle name="Финансовый 9 5" xfId="966" xr:uid="{00000000-0005-0000-0000-0000FA060000}"/>
    <cellStyle name="Финансовый 9 6" xfId="1611" xr:uid="{00000000-0005-0000-0000-0000FB060000}"/>
    <cellStyle name="Финансовый 9 7" xfId="838" xr:uid="{00000000-0005-0000-0000-0000FC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2">
    <tabColor rgb="FF00B050"/>
  </sheetPr>
  <dimension ref="A1:BK171"/>
  <sheetViews>
    <sheetView tabSelected="1" topLeftCell="A86" zoomScaleNormal="100" workbookViewId="0">
      <selection activeCell="B98" sqref="B98"/>
    </sheetView>
  </sheetViews>
  <sheetFormatPr defaultColWidth="0" defaultRowHeight="15" zeroHeight="1"/>
  <cols>
    <col min="1" max="1" width="50" style="181" customWidth="1"/>
    <col min="2" max="2" width="61.85546875" style="183" customWidth="1"/>
    <col min="3" max="3" width="63.85546875" style="173" customWidth="1"/>
    <col min="4" max="4" width="29.7109375" style="173" customWidth="1"/>
    <col min="5" max="7" width="9.140625" style="173" hidden="1" customWidth="1"/>
    <col min="8" max="8" width="62.5703125" style="173" hidden="1" customWidth="1"/>
    <col min="9" max="13" width="9.140625" style="173" hidden="1" customWidth="1"/>
    <col min="14" max="14" width="70.7109375" style="173" hidden="1" customWidth="1"/>
    <col min="15" max="16" width="9.140625" style="173" hidden="1" customWidth="1"/>
    <col min="17" max="17" width="59.7109375" style="173" hidden="1" customWidth="1"/>
    <col min="18" max="18" width="49.85546875" style="173" hidden="1" customWidth="1"/>
    <col min="19" max="16384" width="9.140625" style="173" hidden="1"/>
  </cols>
  <sheetData>
    <row r="1" spans="1:4">
      <c r="A1" s="3" t="str">
        <f>CONCATENATE(B65," olish uchun ariza")</f>
        <v>mikroqarz olish uchun ariza</v>
      </c>
      <c r="B1" s="49" t="s">
        <v>448</v>
      </c>
    </row>
    <row r="2" spans="1:4" ht="15" customHeight="1">
      <c r="A2" s="3" t="str">
        <f>CONCATENATE(B65," olish uchun ariza sanasi QO’L BILAN KIRITILADI")</f>
        <v>mikroqarz olish uchun ariza sanasi QO’L BILAN KIRITILADI</v>
      </c>
      <c r="B2" s="57" t="s">
        <v>417</v>
      </c>
      <c r="D2" s="173">
        <f>180+B2</f>
        <v>45920</v>
      </c>
    </row>
    <row r="3" spans="1:4">
      <c r="A3" s="3"/>
      <c r="B3" s="1"/>
    </row>
    <row r="4" spans="1:4">
      <c r="A4" s="250" t="s">
        <v>53</v>
      </c>
      <c r="B4" s="250"/>
    </row>
    <row r="5" spans="1:4" ht="30">
      <c r="A5" s="3" t="s">
        <v>54</v>
      </c>
      <c r="B5" s="49" t="s">
        <v>418</v>
      </c>
      <c r="C5" s="173" t="s">
        <v>387</v>
      </c>
    </row>
    <row r="6" spans="1:4" ht="30">
      <c r="A6" s="3" t="s">
        <v>55</v>
      </c>
      <c r="B6" s="49" t="s">
        <v>134</v>
      </c>
      <c r="C6" s="173" t="s">
        <v>256</v>
      </c>
      <c r="D6" s="173" t="s">
        <v>134</v>
      </c>
    </row>
    <row r="7" spans="1:4" ht="30">
      <c r="A7" s="3" t="s">
        <v>56</v>
      </c>
      <c r="B7" s="49" t="s">
        <v>419</v>
      </c>
    </row>
    <row r="8" spans="1:4" ht="30" hidden="1">
      <c r="A8" s="3" t="s">
        <v>57</v>
      </c>
      <c r="B8" s="72" t="str">
        <f>B5</f>
        <v>XUDAYQULOV FAZLIDDIN SAIDOVICH</v>
      </c>
    </row>
    <row r="9" spans="1:4" hidden="1">
      <c r="A9" s="3" t="s">
        <v>58</v>
      </c>
      <c r="B9" s="72" t="str">
        <f>B7</f>
        <v>XUDAYQULOV .F.S</v>
      </c>
    </row>
    <row r="10" spans="1:4" ht="30" hidden="1">
      <c r="A10" s="3" t="s">
        <v>59</v>
      </c>
      <c r="B10" s="72" t="str">
        <f>B8</f>
        <v>XUDAYQULOV FAZLIDDIN SAIDOVICH</v>
      </c>
    </row>
    <row r="11" spans="1:4" hidden="1">
      <c r="A11" s="3" t="s">
        <v>60</v>
      </c>
      <c r="B11" s="72" t="str">
        <f>B9</f>
        <v>XUDAYQULOV .F.S</v>
      </c>
    </row>
    <row r="12" spans="1:4" ht="30" hidden="1">
      <c r="A12" s="3" t="s">
        <v>61</v>
      </c>
      <c r="B12" s="72" t="str">
        <f>B10</f>
        <v>XUDAYQULOV FAZLIDDIN SAIDOVICH</v>
      </c>
    </row>
    <row r="13" spans="1:4" hidden="1">
      <c r="A13" s="3" t="s">
        <v>62</v>
      </c>
      <c r="B13" s="72" t="str">
        <f>B11</f>
        <v>XUDAYQULOV .F.S</v>
      </c>
    </row>
    <row r="14" spans="1:4" hidden="1">
      <c r="A14" s="3" t="s">
        <v>63</v>
      </c>
      <c r="B14" s="72" t="s">
        <v>66</v>
      </c>
    </row>
    <row r="15" spans="1:4">
      <c r="A15" s="3" t="s">
        <v>64</v>
      </c>
      <c r="B15" s="209" t="s">
        <v>420</v>
      </c>
    </row>
    <row r="16" spans="1:4">
      <c r="A16" s="3" t="s">
        <v>65</v>
      </c>
      <c r="B16" s="49" t="s">
        <v>421</v>
      </c>
    </row>
    <row r="17" spans="1:7">
      <c r="A17" s="3"/>
      <c r="B17" s="49" t="s">
        <v>422</v>
      </c>
      <c r="D17" s="173" t="str">
        <f>TEXT(C17,"ДД.ММ.ГГГГ")</f>
        <v>00.01.1900</v>
      </c>
    </row>
    <row r="18" spans="1:7">
      <c r="A18" s="3"/>
      <c r="B18" s="185">
        <v>44540</v>
      </c>
      <c r="C18" s="192" t="str">
        <f>TEXT(B18,"ДД.ММ.ГГГГ")</f>
        <v>10.12.2021</v>
      </c>
    </row>
    <row r="19" spans="1:7">
      <c r="A19" s="3"/>
      <c r="B19" s="185">
        <v>48191</v>
      </c>
      <c r="C19" s="192" t="str">
        <f>TEXT(B19,"ДД.ММ.ГГГГ")</f>
        <v>09.12.2031</v>
      </c>
    </row>
    <row r="20" spans="1:7" ht="60">
      <c r="A20" s="3" t="s">
        <v>68</v>
      </c>
      <c r="B20" s="60" t="str">
        <f>""&amp;B17&amp;" tomonidan "&amp;C18&amp;" yilda berilgan"</f>
        <v>IIV 18215 tomonidan 10.12.2021 yilda berilgan</v>
      </c>
      <c r="C20" s="193" t="str">
        <f>""&amp;B17&amp;" tomonidan "&amp;C18&amp;" yilda berilgan"</f>
        <v>IIV 18215 tomonidan 10.12.2021 yilda berilgan</v>
      </c>
    </row>
    <row r="21" spans="1:7" ht="45">
      <c r="A21" s="3" t="s">
        <v>69</v>
      </c>
      <c r="B21" s="60" t="str">
        <f>""&amp;C19&amp;" y."</f>
        <v>09.12.2031 y.</v>
      </c>
      <c r="C21" s="192" t="str">
        <f>""&amp;C19&amp;" yilgacha"</f>
        <v>09.12.2031 yilgacha</v>
      </c>
    </row>
    <row r="22" spans="1:7" ht="57.75" customHeight="1">
      <c r="A22" s="3" t="s">
        <v>70</v>
      </c>
      <c r="B22" s="49" t="s">
        <v>423</v>
      </c>
      <c r="C22" s="192" t="str">
        <f>TEXT(B19,"ДД.ММ.ГГГГ")</f>
        <v>09.12.2031</v>
      </c>
    </row>
    <row r="23" spans="1:7" ht="30">
      <c r="A23" s="3" t="s">
        <v>71</v>
      </c>
      <c r="B23" s="49" t="s">
        <v>95</v>
      </c>
      <c r="C23" s="173" t="s">
        <v>95</v>
      </c>
      <c r="D23" s="173" t="s">
        <v>96</v>
      </c>
    </row>
    <row r="24" spans="1:7" ht="30" hidden="1">
      <c r="A24" s="3" t="s">
        <v>72</v>
      </c>
      <c r="B24" s="72" t="s">
        <v>93</v>
      </c>
      <c r="C24" s="173" t="s">
        <v>93</v>
      </c>
      <c r="D24" s="173" t="s">
        <v>94</v>
      </c>
      <c r="E24" s="173" t="s">
        <v>0</v>
      </c>
      <c r="F24" s="173" t="s">
        <v>1</v>
      </c>
      <c r="G24" s="173" t="s">
        <v>3</v>
      </c>
    </row>
    <row r="25" spans="1:7">
      <c r="A25" s="3" t="s">
        <v>73</v>
      </c>
      <c r="B25" s="49" t="s">
        <v>424</v>
      </c>
    </row>
    <row r="26" spans="1:7" ht="44.25" customHeight="1">
      <c r="A26" s="3" t="s">
        <v>74</v>
      </c>
      <c r="B26" s="49" t="s">
        <v>425</v>
      </c>
      <c r="C26" s="173" t="s">
        <v>27</v>
      </c>
    </row>
    <row r="27" spans="1:7" ht="44.25" hidden="1" customHeight="1">
      <c r="A27" s="3"/>
      <c r="B27" s="49" t="str">
        <f>IF(B23="mos keladi",B22,B28)</f>
        <v>SAMARQAND VILOYATI KATTAQO'RG'ON TUMANI BURGANSOY MAHALLASI</v>
      </c>
    </row>
    <row r="28" spans="1:7" ht="45">
      <c r="A28" s="3" t="s">
        <v>75</v>
      </c>
      <c r="B28" s="49" t="s">
        <v>423</v>
      </c>
    </row>
    <row r="29" spans="1:7">
      <c r="A29" s="3" t="s">
        <v>76</v>
      </c>
      <c r="B29" s="49" t="s">
        <v>93</v>
      </c>
      <c r="C29" s="173" t="s">
        <v>93</v>
      </c>
      <c r="D29" s="173" t="s">
        <v>94</v>
      </c>
      <c r="E29" s="173" t="s">
        <v>327</v>
      </c>
      <c r="F29" s="173" t="s">
        <v>328</v>
      </c>
      <c r="G29" s="173" t="s">
        <v>3</v>
      </c>
    </row>
    <row r="30" spans="1:7" ht="27">
      <c r="A30" s="3" t="s">
        <v>77</v>
      </c>
      <c r="B30" s="165" t="s">
        <v>148</v>
      </c>
      <c r="C30" s="173" t="s">
        <v>148</v>
      </c>
      <c r="D30" s="173" t="s">
        <v>331</v>
      </c>
    </row>
    <row r="31" spans="1:7">
      <c r="A31" s="3" t="s">
        <v>78</v>
      </c>
      <c r="B31" s="49" t="s">
        <v>426</v>
      </c>
      <c r="C31" s="173" t="s">
        <v>386</v>
      </c>
    </row>
    <row r="32" spans="1:7">
      <c r="A32" s="3" t="s">
        <v>63</v>
      </c>
      <c r="B32" s="49" t="s">
        <v>66</v>
      </c>
    </row>
    <row r="33" spans="1:4">
      <c r="A33" s="3" t="s">
        <v>73</v>
      </c>
      <c r="B33" s="49" t="s">
        <v>427</v>
      </c>
    </row>
    <row r="34" spans="1:4" hidden="1">
      <c r="A34" s="3"/>
      <c r="B34" s="49" t="str">
        <f>IF(B23="mos keladi",B26,B35)</f>
        <v>105-MAKTABGA YETMASI</v>
      </c>
    </row>
    <row r="35" spans="1:4">
      <c r="A35" s="3" t="s">
        <v>74</v>
      </c>
      <c r="B35" s="49"/>
    </row>
    <row r="36" spans="1:4">
      <c r="A36" s="3" t="s">
        <v>79</v>
      </c>
      <c r="B36" s="49"/>
    </row>
    <row r="37" spans="1:4">
      <c r="A37" s="3" t="s">
        <v>80</v>
      </c>
      <c r="B37" s="49"/>
    </row>
    <row r="38" spans="1:4">
      <c r="A38" s="3" t="s">
        <v>81</v>
      </c>
      <c r="B38" s="49"/>
    </row>
    <row r="39" spans="1:4">
      <c r="A39" s="3" t="s">
        <v>82</v>
      </c>
      <c r="B39" s="49" t="str" cm="1">
        <f t="array" ref="B39">+A39:B102</f>
        <v>Mutaxassisligi</v>
      </c>
    </row>
    <row r="40" spans="1:4" ht="24.75" customHeight="1">
      <c r="A40" s="3" t="s">
        <v>83</v>
      </c>
      <c r="B40" s="49" t="s">
        <v>427</v>
      </c>
    </row>
    <row r="41" spans="1:4" ht="24.75" customHeight="1">
      <c r="A41" s="3" t="s">
        <v>84</v>
      </c>
      <c r="B41" s="49" t="s">
        <v>428</v>
      </c>
    </row>
    <row r="42" spans="1:4" ht="24.75" customHeight="1">
      <c r="A42" s="3" t="s">
        <v>83</v>
      </c>
      <c r="B42" s="49" t="s">
        <v>429</v>
      </c>
    </row>
    <row r="43" spans="1:4" ht="30">
      <c r="A43" s="3" t="s">
        <v>84</v>
      </c>
      <c r="B43" s="49"/>
    </row>
    <row r="44" spans="1:4" ht="23.25">
      <c r="A44" s="167" t="s">
        <v>85</v>
      </c>
      <c r="B44" s="166" t="s">
        <v>344</v>
      </c>
      <c r="C44" s="173" t="s">
        <v>344</v>
      </c>
      <c r="D44" s="173" t="s">
        <v>351</v>
      </c>
    </row>
    <row r="45" spans="1:4" hidden="1">
      <c r="A45" s="3"/>
      <c r="B45" s="164" t="str">
        <f>IF(B44=D44,CONCATENATE("MA'LUMOTNOMA ",B47,B46),C44)</f>
        <v>Yakka tartibdagi tadbirkor</v>
      </c>
    </row>
    <row r="46" spans="1:4" ht="69.75">
      <c r="A46" s="167" t="s">
        <v>352</v>
      </c>
      <c r="B46" s="210"/>
    </row>
    <row r="47" spans="1:4" ht="23.25">
      <c r="A47" s="167"/>
      <c r="B47" s="184"/>
      <c r="C47" s="173" t="s">
        <v>15</v>
      </c>
    </row>
    <row r="48" spans="1:4" ht="69.75">
      <c r="A48" s="167" t="s">
        <v>353</v>
      </c>
      <c r="B48" s="164"/>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1" t="s">
        <v>97</v>
      </c>
      <c r="B57" s="252"/>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67" t="s">
        <v>99</v>
      </c>
      <c r="B60" s="171">
        <v>13000000</v>
      </c>
      <c r="C60" s="188">
        <f>C63/B75</f>
        <v>0.44972602600000006</v>
      </c>
    </row>
    <row r="61" spans="1:4">
      <c r="A61" s="3" t="s">
        <v>100</v>
      </c>
      <c r="B61" s="5">
        <v>0</v>
      </c>
      <c r="C61" s="189" t="s">
        <v>391</v>
      </c>
    </row>
    <row r="62" spans="1:4" hidden="1">
      <c r="A62" s="3" t="s">
        <v>101</v>
      </c>
      <c r="B62" s="49">
        <f>B53</f>
        <v>0</v>
      </c>
      <c r="C62" s="186"/>
    </row>
    <row r="63" spans="1:4">
      <c r="A63" s="3" t="s">
        <v>102</v>
      </c>
      <c r="B63" s="49"/>
      <c r="C63" s="187">
        <f>SUM(grafik!E9:E20)</f>
        <v>15740410.910000002</v>
      </c>
    </row>
    <row r="64" spans="1:4">
      <c r="A64" s="250" t="s">
        <v>103</v>
      </c>
      <c r="B64" s="250"/>
      <c r="C64" s="173" t="str">
        <f>PROPER(B65)</f>
        <v>Mikroqarz</v>
      </c>
      <c r="D64" s="173" t="str">
        <f>UPPER(B65)</f>
        <v>MIKROQARZ</v>
      </c>
    </row>
    <row r="65" spans="1:14" ht="15.75" thickBot="1">
      <c r="A65" s="3" t="s">
        <v>104</v>
      </c>
      <c r="B65" s="1" t="str">
        <f>IF(B75&gt;100000001,"mikrokredit",IF(B75&lt;100000001,"mikroqarz",0))</f>
        <v>mikroqarz</v>
      </c>
      <c r="C65" s="175">
        <f>DATE(YEAR(B67),MONTH(B67)+B81,DAY(B67))</f>
        <v>46470</v>
      </c>
    </row>
    <row r="66" spans="1:14" hidden="1">
      <c r="A66" s="3" t="s">
        <v>105</v>
      </c>
      <c r="B66" s="49" t="str">
        <f>B1</f>
        <v>№656-XT</v>
      </c>
      <c r="C66" s="173">
        <f>MONTH(C65)</f>
        <v>3</v>
      </c>
      <c r="D66" s="173" t="str">
        <f>IF(C66=C68,C70,IF(C66=D68,D70,IF(C66=E68,E70,IF(C66=F68,F70,IF(C66=G68,G70,IF(C66=H68,H70,IF(C66=I68,I70,IF(C66=J68,J70,IF(C66=K68,K70,IF(C66=L68,L70,IF(C66=M68,M70,IF(C66=N68,N70,))))))))))))</f>
        <v>mart</v>
      </c>
      <c r="E66" s="173">
        <f>DAY(C65)</f>
        <v>24</v>
      </c>
      <c r="F66" s="173">
        <f>YEAR(C65)</f>
        <v>2027</v>
      </c>
      <c r="G66" s="173">
        <f>MONTH(C65)</f>
        <v>3</v>
      </c>
      <c r="H66" s="173" t="str">
        <f>IF(C66=C68,C71,IF(C66=D68,D71,IF(C66=E68,E71,IF(C66=F68,F71,IF(C66=G68,G71,IF(C66=H68,H71,IF(C66=I68,I71,IF(C66=J68,J71,IF(C66=K68,K71,IF(C66=L68,L71,IF(C66=M68,M71,IF(C66=N68,N71,))))))))))))</f>
        <v>mart</v>
      </c>
      <c r="I66" s="173">
        <f>YEAR(C65)</f>
        <v>2027</v>
      </c>
    </row>
    <row r="67" spans="1:14" hidden="1">
      <c r="A67" s="3" t="s">
        <v>106</v>
      </c>
      <c r="B67" s="81" t="str">
        <f>B2</f>
        <v>24.03.2025</v>
      </c>
      <c r="C67" s="173">
        <f>MONTH(B67)</f>
        <v>3</v>
      </c>
      <c r="D67" s="173" t="str">
        <f>IF(C67=C68,C70,IF(C67=D68,D70,IF(C67=E68,E70,IF(C67=F68,F70,IF(C67=G68,G70,IF(C67=H68,H70,IF(C67=I68,I70,IF(C67=J68,J70,IF(C67=K68,K70,IF(C67=L68,L70,IF(C67=M68,M70,IF(C67=N68,N70,))))))))))))</f>
        <v>mart</v>
      </c>
      <c r="E67" s="173">
        <f>DAY(B67)</f>
        <v>24</v>
      </c>
      <c r="F67" s="173">
        <f>YEAR(B67)</f>
        <v>2025</v>
      </c>
      <c r="G67" s="173">
        <f>MONTH(B67)</f>
        <v>3</v>
      </c>
      <c r="H67" s="173" t="str">
        <f>IF(C67=C68,C71,IF(C67=D68,D71,IF(C67=E68,E71,IF(C67=F68,F71,IF(C67=G68,G71,IF(C67=H68,H71,IF(C67=I68,I71,IF(C67=J68,J71,IF(C67=K68,K71,IF(C67=L68,L71,IF(C67=M68,M71,IF(C67=N68,N71,))))))))))))</f>
        <v>mart</v>
      </c>
      <c r="I67" s="173">
        <f>YEAR(B67)</f>
        <v>2025</v>
      </c>
    </row>
    <row r="68" spans="1:14" hidden="1">
      <c r="A68" s="3" t="s">
        <v>107</v>
      </c>
      <c r="B68" s="73" t="str">
        <f>""&amp;E67&amp;" "&amp;D67&amp;" "&amp;F67&amp;" y."</f>
        <v>24 mart 2025 y.</v>
      </c>
      <c r="C68" s="173">
        <v>1</v>
      </c>
      <c r="D68" s="173">
        <v>2</v>
      </c>
      <c r="E68" s="173">
        <v>3</v>
      </c>
      <c r="F68" s="173">
        <v>4</v>
      </c>
      <c r="G68" s="173">
        <v>5</v>
      </c>
      <c r="H68" s="173">
        <v>6</v>
      </c>
      <c r="I68" s="173">
        <v>7</v>
      </c>
      <c r="J68" s="173">
        <v>8</v>
      </c>
      <c r="K68" s="173">
        <v>9</v>
      </c>
      <c r="L68" s="173">
        <v>10</v>
      </c>
      <c r="M68" s="173">
        <v>11</v>
      </c>
      <c r="N68" s="173">
        <v>12</v>
      </c>
    </row>
    <row r="69" spans="1:14" hidden="1">
      <c r="A69" s="3"/>
      <c r="B69" s="73" t="str">
        <f>""&amp;E67&amp;" "&amp;H67&amp;" "&amp;F67&amp;" y."</f>
        <v>24 mart 2025 y.</v>
      </c>
    </row>
    <row r="70" spans="1:14" hidden="1">
      <c r="A70" s="3"/>
      <c r="B70" s="59" t="str">
        <f>B68</f>
        <v>24 mart 2025 y.</v>
      </c>
      <c r="C70" s="173" t="s">
        <v>119</v>
      </c>
      <c r="D70" s="173" t="s">
        <v>120</v>
      </c>
      <c r="E70" s="173" t="s">
        <v>109</v>
      </c>
      <c r="F70" s="173" t="s">
        <v>110</v>
      </c>
      <c r="G70" s="173" t="s">
        <v>111</v>
      </c>
      <c r="H70" s="173" t="s">
        <v>112</v>
      </c>
      <c r="I70" s="173" t="s">
        <v>113</v>
      </c>
      <c r="J70" s="173" t="s">
        <v>114</v>
      </c>
      <c r="K70" s="173" t="s">
        <v>115</v>
      </c>
      <c r="L70" s="173" t="s">
        <v>116</v>
      </c>
      <c r="M70" s="173" t="s">
        <v>117</v>
      </c>
      <c r="N70" s="173" t="s">
        <v>118</v>
      </c>
    </row>
    <row r="71" spans="1:14" hidden="1">
      <c r="A71" s="3"/>
      <c r="B71" s="59" t="str">
        <f>B69</f>
        <v>24 mart 2025 y.</v>
      </c>
      <c r="C71" s="173" t="s">
        <v>119</v>
      </c>
      <c r="D71" s="173" t="s">
        <v>120</v>
      </c>
      <c r="E71" s="173" t="s">
        <v>109</v>
      </c>
      <c r="F71" s="173" t="s">
        <v>110</v>
      </c>
      <c r="G71" s="173" t="s">
        <v>111</v>
      </c>
      <c r="H71" s="173" t="s">
        <v>112</v>
      </c>
      <c r="I71" s="173" t="s">
        <v>113</v>
      </c>
      <c r="J71" s="173" t="s">
        <v>114</v>
      </c>
      <c r="K71" s="173" t="s">
        <v>115</v>
      </c>
      <c r="L71" s="173" t="s">
        <v>116</v>
      </c>
      <c r="M71" s="173" t="s">
        <v>117</v>
      </c>
      <c r="N71" s="173" t="s">
        <v>118</v>
      </c>
    </row>
    <row r="72" spans="1:14" hidden="1">
      <c r="A72" s="3" t="s">
        <v>108</v>
      </c>
      <c r="B72" s="58" t="str">
        <f>""&amp;E66&amp;" "&amp;D66&amp;" "&amp;F66&amp;" y."</f>
        <v>24 mart 2027 y.</v>
      </c>
    </row>
    <row r="73" spans="1:14" hidden="1">
      <c r="A73" s="3"/>
      <c r="B73" s="58" t="str">
        <f>""&amp;E66&amp;" "&amp;H66&amp;" "&amp;F66&amp;" y."</f>
        <v>24 mart 2027 y.</v>
      </c>
    </row>
    <row r="74" spans="1:14" ht="15.75" hidden="1" thickBot="1">
      <c r="A74" s="3" t="s">
        <v>121</v>
      </c>
      <c r="B74" s="1" t="str">
        <f>""&amp;B68&amp;"dan "&amp;B66&amp;""</f>
        <v>24 mart 2025 y.dan №656-XT</v>
      </c>
    </row>
    <row r="75" spans="1:14">
      <c r="A75" s="3" t="str">
        <f>CONCATENATE(B65," miqdori (summasi)")</f>
        <v>mikroqarz miqdori (summasi)</v>
      </c>
      <c r="B75" s="67">
        <v>35000000</v>
      </c>
      <c r="C75" s="176" t="s">
        <v>127</v>
      </c>
    </row>
    <row r="76" spans="1:14">
      <c r="A76" s="144"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o'ttiz besh million so'm</v>
      </c>
      <c r="C76" s="17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O'ttiz besh million so'm</v>
      </c>
    </row>
    <row r="77" spans="1:14">
      <c r="A77" s="3" t="s">
        <v>123</v>
      </c>
      <c r="B77" s="49" t="s">
        <v>129</v>
      </c>
      <c r="C77" s="173" t="s">
        <v>129</v>
      </c>
      <c r="D77" s="173" t="s">
        <v>128</v>
      </c>
    </row>
    <row r="78" spans="1:14">
      <c r="A78" s="3" t="str">
        <f>CONCATENATE(B65,"ni to'lash sanasi (14.10.2011)")</f>
        <v>mikroqarzni to'lash sanasi (14.10.2011)</v>
      </c>
      <c r="B78" s="49">
        <v>15</v>
      </c>
      <c r="C78" s="175">
        <f>DATE(YEAR(B67),MONTH(B67)+1,DAY(B78))</f>
        <v>45762</v>
      </c>
      <c r="D78" s="173" t="s">
        <v>29</v>
      </c>
      <c r="E78" s="173" t="s">
        <v>30</v>
      </c>
      <c r="F78" s="173" t="s">
        <v>31</v>
      </c>
      <c r="G78" s="173" t="s">
        <v>32</v>
      </c>
      <c r="H78" s="173" t="s">
        <v>33</v>
      </c>
      <c r="I78" s="173" t="s">
        <v>34</v>
      </c>
      <c r="J78" s="173" t="s">
        <v>35</v>
      </c>
    </row>
    <row r="79" spans="1:14" ht="30" hidden="1">
      <c r="A79" s="3" t="str">
        <f>CONCATENATE(B65,"ni to'lash sanasi (14.10.2011 y.) QO’L BILAN KIRITILADI")</f>
        <v>mikroqarzni to'lash sanasi (14.10.2011 y.) QO’L BILAN KIRITILADI</v>
      </c>
      <c r="B79" s="74">
        <f>DATE(YEAR(B67),MONTH(B67)+1,DAY(B78+C80))</f>
        <v>45762</v>
      </c>
      <c r="C79" s="177" t="str">
        <f>TEXT(C78,"ддд")</f>
        <v>Вт</v>
      </c>
      <c r="D79" s="173" t="s">
        <v>29</v>
      </c>
      <c r="E79" s="173" t="s">
        <v>30</v>
      </c>
      <c r="F79" s="173" t="s">
        <v>31</v>
      </c>
      <c r="G79" s="173" t="s">
        <v>32</v>
      </c>
      <c r="H79" s="173" t="s">
        <v>33</v>
      </c>
      <c r="I79" s="173" t="s">
        <v>34</v>
      </c>
      <c r="J79" s="173" t="s">
        <v>35</v>
      </c>
    </row>
    <row r="80" spans="1:14" ht="30" hidden="1">
      <c r="A80" s="3" t="s">
        <v>124</v>
      </c>
      <c r="B80" s="75">
        <f>B79</f>
        <v>45762</v>
      </c>
      <c r="C80" s="173">
        <f>IF(C79=I79,2,IF(C79=J79,1,0))</f>
        <v>0</v>
      </c>
    </row>
    <row r="81" spans="1:63">
      <c r="A81" s="3" t="str">
        <f>CONCATENATE(B65," muddati")</f>
        <v>mikroqarz muddati</v>
      </c>
      <c r="B81" s="49">
        <v>24</v>
      </c>
      <c r="C81" s="173">
        <v>6</v>
      </c>
      <c r="D81" s="173">
        <v>12</v>
      </c>
      <c r="E81" s="173">
        <v>18</v>
      </c>
      <c r="F81" s="173">
        <v>24</v>
      </c>
      <c r="G81" s="173">
        <v>36</v>
      </c>
    </row>
    <row r="82" spans="1:63">
      <c r="A82" s="3" t="str">
        <f>CONCATENATE(B65," muddati QO’L BILAN KIRITILADI")</f>
        <v>mikroqarz muddati QO’L BILAN KIRITILADI</v>
      </c>
      <c r="B82" s="140" t="s">
        <v>430</v>
      </c>
    </row>
    <row r="83" spans="1:63" ht="30">
      <c r="A83" s="162" t="s">
        <v>348</v>
      </c>
      <c r="B83" s="140">
        <v>0</v>
      </c>
      <c r="BJ83" s="173">
        <v>1</v>
      </c>
      <c r="BK83" s="173">
        <v>0</v>
      </c>
    </row>
    <row r="84" spans="1:63">
      <c r="A84" s="3" t="str">
        <f>CONCATENATE(B65," stavkasi")</f>
        <v>mikroqarz stavkasi</v>
      </c>
      <c r="B84" s="77">
        <v>0.6</v>
      </c>
    </row>
    <row r="85" spans="1:63">
      <c r="A85" s="3" t="str">
        <f>CONCATENATE(B65," stavkasi")</f>
        <v>mikroqarz stavkasi</v>
      </c>
      <c r="B85" s="78" t="s">
        <v>389</v>
      </c>
    </row>
    <row r="86" spans="1:63">
      <c r="A86" s="3" t="str">
        <f>CONCATENATE(B65," stavkasi (so’z bilan)")</f>
        <v>mikroqarz stavkasi (so’z bilan)</v>
      </c>
      <c r="B86" s="76" t="s">
        <v>390</v>
      </c>
      <c r="C86" s="173" t="s">
        <v>390</v>
      </c>
    </row>
    <row r="87" spans="1:63">
      <c r="A87" s="3" t="str">
        <f>CONCATENATE("Muddati o'tgan ",B65," bo’yicha stavka")</f>
        <v>Muddati o'tgan mikroqarz bo’yicha stavka</v>
      </c>
      <c r="B87" s="77">
        <v>1</v>
      </c>
    </row>
    <row r="88" spans="1:63">
      <c r="A88" s="144" t="s">
        <v>122</v>
      </c>
      <c r="B88" s="78" t="s">
        <v>392</v>
      </c>
    </row>
    <row r="89" spans="1:63">
      <c r="A89" s="3" t="str">
        <f>CONCATENATE("Muddati o'tgan ",B65," bo’yicha stavka")</f>
        <v>Muddati o'tgan mikroqarz bo’yicha stavka</v>
      </c>
      <c r="B89" s="76" t="s">
        <v>393</v>
      </c>
      <c r="C89" s="173" t="s">
        <v>393</v>
      </c>
    </row>
    <row r="90" spans="1:63">
      <c r="A90" s="3" t="s">
        <v>125</v>
      </c>
      <c r="B90" s="79">
        <f>IF(B77=C77,LARGE(grafik!F9:F26,1),ROUND(PMT(B84/12,B81,-B75,0),-3))</f>
        <v>3146004.6900000004</v>
      </c>
    </row>
    <row r="91" spans="1:63">
      <c r="A91" s="250" t="s">
        <v>403</v>
      </c>
      <c r="B91" s="250"/>
    </row>
    <row r="92" spans="1:63">
      <c r="A92" s="234" t="s">
        <v>405</v>
      </c>
      <c r="B92" s="235" t="s">
        <v>413</v>
      </c>
    </row>
    <row r="93" spans="1:63">
      <c r="A93" s="234" t="s">
        <v>406</v>
      </c>
      <c r="B93" s="236" t="s">
        <v>447</v>
      </c>
    </row>
    <row r="94" spans="1:63">
      <c r="A94" s="234" t="s">
        <v>407</v>
      </c>
      <c r="B94" s="237" t="s">
        <v>414</v>
      </c>
    </row>
    <row r="95" spans="1:63">
      <c r="A95" s="234" t="s">
        <v>408</v>
      </c>
      <c r="B95" s="237" t="s">
        <v>415</v>
      </c>
    </row>
    <row r="96" spans="1:63">
      <c r="A96" s="234" t="s">
        <v>404</v>
      </c>
      <c r="B96" s="237" t="s">
        <v>431</v>
      </c>
    </row>
    <row r="97" spans="1:4">
      <c r="A97" s="250" t="s">
        <v>126</v>
      </c>
      <c r="B97" s="250"/>
    </row>
    <row r="98" spans="1:4" ht="18">
      <c r="A98" s="80"/>
      <c r="B98" s="134" t="s">
        <v>131</v>
      </c>
      <c r="C98" s="178" t="s">
        <v>131</v>
      </c>
      <c r="D98" s="173" t="s">
        <v>132</v>
      </c>
    </row>
    <row r="99" spans="1:4" ht="18">
      <c r="A99" s="8" t="s">
        <v>137</v>
      </c>
      <c r="B99" s="134" t="s">
        <v>134</v>
      </c>
      <c r="C99" s="179" t="s">
        <v>133</v>
      </c>
      <c r="D99" s="173" t="s">
        <v>134</v>
      </c>
    </row>
    <row r="100" spans="1:4" ht="54">
      <c r="A100" s="8" t="s">
        <v>138</v>
      </c>
      <c r="B100" s="134" t="s">
        <v>135</v>
      </c>
      <c r="C100" s="173" t="s">
        <v>135</v>
      </c>
      <c r="D100" s="173" t="s">
        <v>136</v>
      </c>
    </row>
    <row r="101" spans="1:4" ht="36">
      <c r="A101" s="8" t="s">
        <v>139</v>
      </c>
      <c r="B101" s="134"/>
    </row>
    <row r="102" spans="1:4" ht="36">
      <c r="A102" s="8" t="s">
        <v>140</v>
      </c>
      <c r="B102" s="134"/>
    </row>
    <row r="103" spans="1:4">
      <c r="A103" s="250"/>
      <c r="B103" s="250"/>
    </row>
    <row r="104" spans="1:4" ht="36">
      <c r="A104" s="8" t="s">
        <v>141</v>
      </c>
      <c r="B104" s="134"/>
    </row>
    <row r="105" spans="1:4" ht="54">
      <c r="A105" s="8" t="s">
        <v>142</v>
      </c>
      <c r="B105" s="134"/>
    </row>
    <row r="106" spans="1:4" ht="18">
      <c r="A106" s="8" t="s">
        <v>143</v>
      </c>
      <c r="B106" s="141"/>
    </row>
    <row r="107" spans="1:4" ht="18">
      <c r="A107" s="8" t="s">
        <v>144</v>
      </c>
      <c r="B107" s="141"/>
    </row>
    <row r="108" spans="1:4" ht="18" hidden="1">
      <c r="A108" s="8"/>
      <c r="B108" s="134" t="str">
        <f>TEXT(B107,"ДД.ММ.ГГГГ")</f>
        <v>00.01.1900</v>
      </c>
    </row>
    <row r="109" spans="1:4" ht="18">
      <c r="A109" s="8"/>
      <c r="B109" s="9" t="s">
        <v>145</v>
      </c>
      <c r="C109" s="173" t="s">
        <v>145</v>
      </c>
      <c r="D109" s="173" t="s">
        <v>146</v>
      </c>
    </row>
    <row r="110" spans="1:4" ht="60">
      <c r="A110" s="170" t="s">
        <v>350</v>
      </c>
      <c r="B110" s="169" t="s">
        <v>349</v>
      </c>
      <c r="C110" s="194" t="s">
        <v>146</v>
      </c>
    </row>
    <row r="111" spans="1:4" ht="30">
      <c r="A111" s="161" t="s">
        <v>371</v>
      </c>
      <c r="B111" s="9" t="s">
        <v>432</v>
      </c>
      <c r="C111" s="194"/>
    </row>
    <row r="112" spans="1:4" ht="30">
      <c r="A112" s="161" t="s">
        <v>372</v>
      </c>
      <c r="B112" s="9" t="s">
        <v>433</v>
      </c>
      <c r="C112" s="194"/>
    </row>
    <row r="113" spans="1:4" ht="60">
      <c r="A113" s="161" t="str">
        <f>A119</f>
        <v>Tug’ilgan sanasi (01.10.2011 y.)</v>
      </c>
      <c r="B113" s="190" t="s">
        <v>434</v>
      </c>
      <c r="C113" s="194"/>
    </row>
    <row r="114" spans="1:4" ht="60">
      <c r="A114" s="161" t="str">
        <f>A120</f>
        <v>Pasport seriyasi (СА №1234567)</v>
      </c>
      <c r="B114" s="9" t="s">
        <v>435</v>
      </c>
      <c r="C114" s="194"/>
    </row>
    <row r="115" spans="1:4" ht="210">
      <c r="A115" s="161" t="str">
        <f>A121</f>
        <v xml:space="preserve">Kim va qachon berilgan
(Toshkent shahri Chilonzor IIB tomonidan 2011 yil __.____)
</v>
      </c>
      <c r="B115" s="9" t="s">
        <v>436</v>
      </c>
      <c r="C115" s="194"/>
    </row>
    <row r="116" spans="1:4" ht="210">
      <c r="A116" s="161" t="str">
        <f>A122</f>
        <v xml:space="preserve">doimiy ro’yhatdan o’tgan joyi
(Toshkent sh., Mirobod tumani, Nukus ko’chasi, 1 uy, 1 honadon)
</v>
      </c>
      <c r="B116" s="9" t="s">
        <v>437</v>
      </c>
      <c r="C116" s="194"/>
    </row>
    <row r="117" spans="1:4" hidden="1">
      <c r="A117" s="132" t="s">
        <v>158</v>
      </c>
      <c r="B117" s="125" t="str">
        <f>IF(B99="HA",B5,B111)</f>
        <v>XUDAYKULOV MAVLUDDIN SAIDOVICH</v>
      </c>
      <c r="C117" s="195">
        <f>IF(B99="HA",B5,C111)</f>
        <v>0</v>
      </c>
    </row>
    <row r="118" spans="1:4" hidden="1">
      <c r="A118" s="132"/>
      <c r="B118" s="125" t="str">
        <f>IF(B99="HA",B7,B112)</f>
        <v>XUDAYKULOV .M.S</v>
      </c>
      <c r="C118" s="195">
        <f>IF(B99="HA",B7,C112)</f>
        <v>0</v>
      </c>
    </row>
    <row r="119" spans="1:4" hidden="1">
      <c r="A119" s="133" t="s">
        <v>159</v>
      </c>
      <c r="B119" s="160" t="str">
        <f>IF(B99="HA",B15,B113)</f>
        <v>11.03.1977 y</v>
      </c>
      <c r="C119" s="195">
        <f>IF(B99="HA",B15,C113)</f>
        <v>0</v>
      </c>
    </row>
    <row r="120" spans="1:4" hidden="1">
      <c r="A120" s="133" t="s">
        <v>65</v>
      </c>
      <c r="B120" s="160" t="str">
        <f>IF(B99="HA",B16,B114)</f>
        <v>AB1374755</v>
      </c>
      <c r="C120" s="195">
        <f>IF(B99="HA",B16,C114)</f>
        <v>0</v>
      </c>
    </row>
    <row r="121" spans="1:4" ht="30" hidden="1" customHeight="1">
      <c r="A121" s="133" t="s">
        <v>68</v>
      </c>
      <c r="B121" s="125" t="str">
        <f>IF(B99="HA",B20,B115)</f>
        <v>NAVOIY VILOYATI XATIRCHI TUMANI IIB TOMONIDAN 07.10.2015 YILDA BERILGAN</v>
      </c>
      <c r="C121" s="195">
        <f>IF(B99="HA",B20,C115)</f>
        <v>0</v>
      </c>
      <c r="D121" s="173">
        <v>493193762</v>
      </c>
    </row>
    <row r="122" spans="1:4" ht="53.25" hidden="1" customHeight="1">
      <c r="A122" s="133" t="s">
        <v>70</v>
      </c>
      <c r="B122" s="125" t="str">
        <f>IF(B99="HA",B22,B116)</f>
        <v>NAVOIY VILOYATI XATIRCHI TUMANI YANGIRABOD MAHALLASI 105-UY</v>
      </c>
      <c r="C122" s="196">
        <f>IF(B99="HA",B22,C116)</f>
        <v>0</v>
      </c>
    </row>
    <row r="123" spans="1:4" hidden="1">
      <c r="A123" s="133" t="s">
        <v>160</v>
      </c>
      <c r="B123" s="1" t="str">
        <f>IF(B99="ha",B5,B117)</f>
        <v>XUDAYKULOV MAVLUDDIN SAIDOVICH</v>
      </c>
      <c r="C123" s="197">
        <f>IF(B99="ha",B5,C117)</f>
        <v>0</v>
      </c>
    </row>
    <row r="124" spans="1:4" hidden="1">
      <c r="A124" s="133"/>
      <c r="B124" s="1" t="str">
        <f>IF(B99="ha",B7,B118)</f>
        <v>XUDAYKULOV .M.S</v>
      </c>
      <c r="C124" s="197">
        <f>IF(B99="ha",B7,C118)</f>
        <v>0</v>
      </c>
    </row>
    <row r="125" spans="1:4" hidden="1">
      <c r="A125" s="3" t="s">
        <v>159</v>
      </c>
      <c r="B125" s="1" t="str">
        <f>IF(B99="ha",B15,B119)</f>
        <v>11.03.1977 y</v>
      </c>
      <c r="C125" s="197">
        <f>IF(B99="ha",B15,C119)</f>
        <v>0</v>
      </c>
    </row>
    <row r="126" spans="1:4" hidden="1">
      <c r="A126" s="3" t="s">
        <v>65</v>
      </c>
      <c r="B126" s="1" t="str">
        <f>IF(B99="ha",B16,B120)</f>
        <v>AB1374755</v>
      </c>
      <c r="C126" s="197">
        <f>IF(B99="ha",B16,C120)</f>
        <v>0</v>
      </c>
    </row>
    <row r="127" spans="1:4" ht="60" hidden="1">
      <c r="A127" s="3" t="s">
        <v>68</v>
      </c>
      <c r="B127" s="1" t="str">
        <f>IF(B99="ha",B20,B121)</f>
        <v>NAVOIY VILOYATI XATIRCHI TUMANI IIB TOMONIDAN 07.10.2015 YILDA BERILGAN</v>
      </c>
      <c r="C127" s="197">
        <f>IF(B99="ha",B20,C121)</f>
        <v>0</v>
      </c>
    </row>
    <row r="128" spans="1:4" ht="60" hidden="1">
      <c r="A128" s="3" t="s">
        <v>70</v>
      </c>
      <c r="B128" s="157" t="str">
        <f>IF(B99="ha",B22,B122)</f>
        <v>NAVOIY VILOYATI XATIRCHI TUMANI YANGIRABOD MAHALLASI 105-UY</v>
      </c>
      <c r="C128" s="198">
        <f>IF(B99="ha",B22,C122)</f>
        <v>0</v>
      </c>
    </row>
    <row r="129" spans="1:18" ht="42.75">
      <c r="A129" s="3" t="s">
        <v>161</v>
      </c>
      <c r="B129" s="49" t="s">
        <v>438</v>
      </c>
      <c r="C129" s="199" t="s">
        <v>48</v>
      </c>
      <c r="N129" s="173" t="str">
        <f>IF(B109=C109,B123,IF(B109=D109,C123,0))</f>
        <v>XUDAYKULOV MAVLUDDIN SAIDOVICH</v>
      </c>
    </row>
    <row r="130" spans="1:18" ht="45">
      <c r="A130" s="3" t="s">
        <v>162</v>
      </c>
      <c r="B130" s="49" t="s">
        <v>439</v>
      </c>
      <c r="C130" s="197" t="s">
        <v>381</v>
      </c>
      <c r="D130" s="200" t="s">
        <v>151</v>
      </c>
      <c r="Q130" s="173" t="str">
        <f>""&amp;B101&amp;" (по генеральному доверенестью №"&amp;B106&amp;" от "&amp;B108&amp;")"</f>
        <v xml:space="preserve"> (по генеральному доверенестью № от 00.01.1900)</v>
      </c>
      <c r="R130" s="173" t="str">
        <f>""&amp;B101&amp;" ("&amp;B108&amp;"y. sanasidagi reestr raqami №"&amp;B106&amp;" bo'lgan Ishonchnomaga asosan)"</f>
        <v xml:space="preserve"> (00.01.1900y. sanasidagi reestr raqami № bo'lgan Ishonchnomaga asosan)</v>
      </c>
    </row>
    <row r="131" spans="1:18" ht="45">
      <c r="A131" s="3" t="s">
        <v>163</v>
      </c>
      <c r="B131" s="49" t="s">
        <v>440</v>
      </c>
      <c r="C131" s="198" t="str">
        <f>""&amp;D132&amp;" "&amp;IF(C135=D135,"- xonali yakka tartibdagi uy-joy", IF(C135=E135,"-  xonali ko'p qavatli uydagi xonadon",0))&amp;""</f>
        <v>3 - xonali yakka tartibdagi uy-joy</v>
      </c>
      <c r="D131" s="201" t="s">
        <v>149</v>
      </c>
      <c r="E131" s="173" t="str">
        <f>IF($C$135=$D$135,I131,IF($C$135=$E$135,H131,0))</f>
        <v>3 - xonali yakka tartibdagi uy-joy</v>
      </c>
      <c r="F131" s="173" t="str">
        <f>IF($C$135=$D$135,I131,IF($C$135=$E$135,H131,0))</f>
        <v>3 - xonali yakka tartibdagi uy-joy</v>
      </c>
      <c r="H131" s="173" t="str">
        <f>"Ko'p qavatli uydagi "&amp;D132&amp;" - xonali xonadon"</f>
        <v>Ko'p qavatli uydagi 3 - xonali xonadon</v>
      </c>
      <c r="I131" s="173" t="str">
        <f>""&amp;D132&amp;" - xonali yakka tartibdagi uy-joy"</f>
        <v>3 - xonali yakka tartibdagi uy-joy</v>
      </c>
      <c r="N131" s="173" t="str">
        <f>IF(B99=C99,Q132,IF(B99=D99,Q131,0))</f>
        <v>Микрофинансовой организацией, Заемщиком и XUDAYKULOV MAVLUDDIN SAIDOVICH</v>
      </c>
      <c r="Q131" s="173" t="str">
        <f>"Микрофинансовой организацией, Заемщиком и "&amp;IF(B100=D100,Q130,IF(B100=C100,B117,0))&amp;""</f>
        <v>Микрофинансовой организацией, Заемщиком и XUDAYKULOV MAVLUDDIN SAIDOVICH</v>
      </c>
      <c r="R131" s="173" t="str">
        <f>"Mikromoliya tashkiloti, Qarz oluvchi va "&amp;IF(B100=D100,R130,IF(B100=C100,B117))&amp;""</f>
        <v>Mikromoliya tashkiloti, Qarz oluvchi va XUDAYKULOV MAVLUDDIN SAIDOVICH</v>
      </c>
    </row>
    <row r="132" spans="1:18" ht="30">
      <c r="A132" s="3" t="s">
        <v>164</v>
      </c>
      <c r="B132" s="191" t="s">
        <v>441</v>
      </c>
      <c r="C132" s="198" t="str">
        <f>C131</f>
        <v>3 - xonali yakka tartibdagi uy-joy</v>
      </c>
      <c r="D132" s="202">
        <v>3</v>
      </c>
      <c r="E132" s="173" t="str">
        <f>IF($C$135=$D$135,I132,IF($C$135=$E$135,H132,0))</f>
        <v>yer uchastkasi maydoni - , umumiy maydoni - 72,13, yashash maydoni - 37,39</v>
      </c>
      <c r="F132" s="173" t="str">
        <f>IF($C$135=$D$135,I132,IF($C$135=$E$135,H132,0))</f>
        <v>yer uchastkasi maydoni - , umumiy maydoni - 72,13, yashash maydoni - 37,39</v>
      </c>
      <c r="H132" s="173" t="str">
        <f>"umumiy maydoni - "&amp;C136&amp;", yashash maydoni - "&amp;C139&amp;""</f>
        <v>umumiy maydoni - 72,13, yashash maydoni - 37,39</v>
      </c>
      <c r="I132" s="173" t="str">
        <f>"yer uchastkasi maydoni - "&amp;C137&amp;", umumiy maydoni - "&amp;C136&amp;", yashash maydoni - "&amp;C139&amp;""</f>
        <v>yer uchastkasi maydoni - , umumiy maydoni - 72,13, yashash maydoni - 37,39</v>
      </c>
      <c r="N132" s="173" t="str">
        <f>IF(B99=C99,R132,IF(B99=D99,R131,0))</f>
        <v>Mikromoliya tashkiloti, Qarz oluvchi va XUDAYKULOV MAVLUDDIN SAIDOVICH</v>
      </c>
      <c r="Q132" s="173" t="s">
        <v>52</v>
      </c>
      <c r="R132" s="173" t="s">
        <v>150</v>
      </c>
    </row>
    <row r="133" spans="1:18" ht="27" customHeight="1">
      <c r="A133" s="3" t="s">
        <v>165</v>
      </c>
      <c r="B133" s="72" t="str">
        <f>"kuzov turi - "&amp;B134&amp;", kuzov raqami "&amp;B135&amp;""</f>
        <v>kuzov turi - YENGIL SEDAN, kuzov raqami XWB7T12YDKP150990</v>
      </c>
      <c r="C133" s="197" t="s">
        <v>380</v>
      </c>
      <c r="D133" s="200" t="s">
        <v>382</v>
      </c>
    </row>
    <row r="134" spans="1:18">
      <c r="A134" s="68" t="s">
        <v>166</v>
      </c>
      <c r="B134" s="49" t="s">
        <v>442</v>
      </c>
      <c r="C134" s="203"/>
    </row>
    <row r="135" spans="1:18">
      <c r="A135" s="68" t="s">
        <v>167</v>
      </c>
      <c r="B135" s="49" t="s">
        <v>443</v>
      </c>
      <c r="C135" s="192" t="s">
        <v>152</v>
      </c>
      <c r="D135" s="173" t="s">
        <v>152</v>
      </c>
      <c r="E135" s="173" t="s">
        <v>153</v>
      </c>
    </row>
    <row r="136" spans="1:18" ht="27" customHeight="1">
      <c r="A136" s="3" t="s">
        <v>168</v>
      </c>
      <c r="B136" s="72" t="str">
        <f>"dvigatel raqami "&amp;B137&amp;", shassi raqami - "&amp;B138&amp;""</f>
        <v>dvigatel raqami F8CB191310207, shassi raqami - RAKAMSIZ</v>
      </c>
      <c r="C136" s="192">
        <v>72.13</v>
      </c>
      <c r="D136" s="204" t="s">
        <v>154</v>
      </c>
      <c r="E136" s="173" t="str">
        <f>CONCATENATE(C136," ","kv.m")</f>
        <v>72,13 kv.m</v>
      </c>
      <c r="F136" s="182">
        <f>C136-C139</f>
        <v>34.739999999999995</v>
      </c>
    </row>
    <row r="137" spans="1:18">
      <c r="A137" s="68" t="s">
        <v>169</v>
      </c>
      <c r="B137" s="57" t="s">
        <v>444</v>
      </c>
      <c r="C137" s="192"/>
      <c r="D137" s="204" t="s">
        <v>155</v>
      </c>
    </row>
    <row r="138" spans="1:18">
      <c r="A138" s="68" t="s">
        <v>170</v>
      </c>
      <c r="B138" s="49" t="s">
        <v>412</v>
      </c>
      <c r="C138" s="192"/>
    </row>
    <row r="139" spans="1:18" ht="25.5" customHeight="1">
      <c r="A139" s="3" t="s">
        <v>171</v>
      </c>
      <c r="B139" s="72" t="str">
        <f>"rangi -  "&amp;B140&amp;", ishlab chiqarilgan yili - "&amp;B141&amp;""</f>
        <v>rangi -  OQ BELAYA, ishlab chiqarilgan yili - 2019</v>
      </c>
      <c r="C139" s="205" t="s">
        <v>379</v>
      </c>
      <c r="D139" s="204" t="s">
        <v>252</v>
      </c>
      <c r="E139" s="173" t="str">
        <f>CONCATENATE(C139," ","kv.m")</f>
        <v>37,39 kv.m</v>
      </c>
    </row>
    <row r="140" spans="1:18">
      <c r="A140" s="68" t="s">
        <v>172</v>
      </c>
      <c r="B140" s="49" t="s">
        <v>445</v>
      </c>
      <c r="C140" s="192"/>
    </row>
    <row r="141" spans="1:18" ht="30">
      <c r="A141" s="68" t="s">
        <v>173</v>
      </c>
      <c r="B141" s="57" t="s">
        <v>446</v>
      </c>
      <c r="C141" s="203">
        <v>44181</v>
      </c>
      <c r="D141" s="206" t="s">
        <v>383</v>
      </c>
    </row>
    <row r="142" spans="1:18" hidden="1">
      <c r="A142" s="3" t="s">
        <v>174</v>
      </c>
      <c r="B142" s="21">
        <f>B75*1.5</f>
        <v>52500000</v>
      </c>
      <c r="C142" s="207">
        <f>B142</f>
        <v>52500000</v>
      </c>
      <c r="D142" s="204" t="s">
        <v>174</v>
      </c>
    </row>
    <row r="143" spans="1:18" ht="27.75" hidden="1" customHeight="1">
      <c r="A143" s="167"/>
      <c r="B143"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142))&gt;6,ROMAN(MID(INT(B142),1,LEN(INT(B142))-6)+0)&amp;" million "&amp;ROMAN(MID(INT(B142),LEN(INT(B142))-5,3)+0)&amp;" ming "&amp;ROMAN(MID(INT(B142),LEN(INT(B142))-2,3)+0),IF(LEN(INT(B142))&gt;3,ROMAN(MID(INT(B142),1,LEN(INT(B142))-3)+0)&amp;" ming "&amp;ROMAN(MID(INT(B142),LEN(INT(B142))-2,3)+0),ROMAN(INT(B142)))),"DCCC","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ellik ikki million besh yuz ming so'm</v>
      </c>
      <c r="C143" s="207" t="str">
        <f>B143</f>
        <v>ellik ikki million besh yuz ming so'm</v>
      </c>
    </row>
    <row r="144" spans="1:18" ht="27.75" hidden="1" customHeight="1">
      <c r="A144" s="3"/>
      <c r="B144" s="142" t="str">
        <f>B143</f>
        <v>ellik ikki million besh yuz ming so'm</v>
      </c>
      <c r="C144" s="208"/>
    </row>
    <row r="145" spans="1:3" ht="20.25">
      <c r="A145" s="3" t="s">
        <v>345</v>
      </c>
      <c r="B145" s="52">
        <v>818647</v>
      </c>
      <c r="C145" s="173" t="s">
        <v>385</v>
      </c>
    </row>
    <row r="146" spans="1:3">
      <c r="A146" s="3" t="s">
        <v>373</v>
      </c>
      <c r="B146" s="49"/>
    </row>
    <row r="147" spans="1:3">
      <c r="A147" s="3" t="s">
        <v>156</v>
      </c>
      <c r="B147" s="2" t="s">
        <v>147</v>
      </c>
      <c r="C147" s="173">
        <v>1</v>
      </c>
    </row>
    <row r="148" spans="1:3" hidden="1">
      <c r="A148" s="3" t="s">
        <v>157</v>
      </c>
      <c r="B148" s="4" t="str">
        <f>B70</f>
        <v>24 mart 2025 y.</v>
      </c>
      <c r="C148" s="173" t="str">
        <f>B70</f>
        <v>24 mart 2025 y.</v>
      </c>
    </row>
    <row r="149" spans="1:3" hidden="1">
      <c r="A149" s="3"/>
      <c r="B149" s="1">
        <f>YEAR(B67)</f>
        <v>2025</v>
      </c>
    </row>
    <row r="150" spans="1:3" hidden="1">
      <c r="A150" s="3"/>
      <c r="B150" s="145" t="str">
        <f>D67</f>
        <v>mart</v>
      </c>
    </row>
    <row r="151" spans="1:3" hidden="1">
      <c r="A151" s="3"/>
      <c r="B151" s="1">
        <f>DAY(B67)</f>
        <v>24</v>
      </c>
    </row>
    <row r="152" spans="1:3">
      <c r="A152" s="250" t="s">
        <v>354</v>
      </c>
      <c r="B152" s="250"/>
    </row>
    <row r="153" spans="1:3">
      <c r="A153" s="3" t="s">
        <v>175</v>
      </c>
      <c r="B153" s="1" t="s">
        <v>378</v>
      </c>
    </row>
    <row r="154" spans="1:3">
      <c r="A154" s="3"/>
      <c r="B154" s="1" t="s">
        <v>378</v>
      </c>
    </row>
    <row r="155" spans="1:3">
      <c r="A155" s="3"/>
      <c r="B155" s="1" t="s">
        <v>378</v>
      </c>
    </row>
    <row r="156" spans="1:3">
      <c r="A156" s="249" t="s">
        <v>411</v>
      </c>
      <c r="B156" s="1" t="s">
        <v>409</v>
      </c>
    </row>
    <row r="157" spans="1:3">
      <c r="A157" s="3"/>
      <c r="B157" s="1" t="s">
        <v>410</v>
      </c>
    </row>
    <row r="158" spans="1:3" hidden="1">
      <c r="A158" s="3" t="s">
        <v>179</v>
      </c>
      <c r="B158" s="1" t="s">
        <v>176</v>
      </c>
    </row>
    <row r="159" spans="1:3" ht="28.5" hidden="1">
      <c r="A159" s="3" t="s">
        <v>180</v>
      </c>
      <c r="B159" s="1" t="s">
        <v>177</v>
      </c>
    </row>
    <row r="160" spans="1:3" hidden="1">
      <c r="A160" s="3" t="s">
        <v>181</v>
      </c>
      <c r="B160" s="1" t="s">
        <v>25</v>
      </c>
    </row>
    <row r="161" spans="1:2" hidden="1">
      <c r="A161" s="3" t="s">
        <v>182</v>
      </c>
      <c r="B161" s="1" t="s">
        <v>23</v>
      </c>
    </row>
    <row r="162" spans="1:2" hidden="1">
      <c r="A162" s="3" t="s">
        <v>183</v>
      </c>
      <c r="B162" s="1" t="s">
        <v>178</v>
      </c>
    </row>
    <row r="163" spans="1:2" hidden="1">
      <c r="A163" s="3" t="s">
        <v>184</v>
      </c>
      <c r="B163" s="2" t="s">
        <v>26</v>
      </c>
    </row>
    <row r="164" spans="1:2" hidden="1">
      <c r="A164" s="3" t="s">
        <v>185</v>
      </c>
      <c r="B164" s="1" t="s">
        <v>333</v>
      </c>
    </row>
    <row r="165" spans="1:2">
      <c r="A165" s="3" t="s">
        <v>394</v>
      </c>
      <c r="B165" s="1" t="s">
        <v>395</v>
      </c>
    </row>
    <row r="166" spans="1:2">
      <c r="A166" s="213" t="s">
        <v>376</v>
      </c>
      <c r="B166" s="1" t="s">
        <v>397</v>
      </c>
    </row>
    <row r="167" spans="1:2">
      <c r="A167" s="249" t="s">
        <v>411</v>
      </c>
      <c r="B167" s="1" t="s">
        <v>409</v>
      </c>
    </row>
    <row r="168" spans="1:2">
      <c r="A168" s="3" t="s">
        <v>186</v>
      </c>
      <c r="B168" s="2" t="s">
        <v>346</v>
      </c>
    </row>
    <row r="169" spans="1:2">
      <c r="A169" s="3" t="s">
        <v>187</v>
      </c>
      <c r="B169" s="2" t="s">
        <v>347</v>
      </c>
    </row>
    <row r="170" spans="1:2">
      <c r="A170" s="3" t="s">
        <v>188</v>
      </c>
      <c r="B170" s="1" t="str">
        <f>B1</f>
        <v>№656-XT</v>
      </c>
    </row>
    <row r="171" spans="1:2">
      <c r="A171" s="3" t="s">
        <v>189</v>
      </c>
      <c r="B171" s="4" t="str">
        <f>B70</f>
        <v>24 mart 2025 y.</v>
      </c>
    </row>
  </sheetData>
  <mergeCells count="7">
    <mergeCell ref="A152:B152"/>
    <mergeCell ref="A103:B103"/>
    <mergeCell ref="A4:B4"/>
    <mergeCell ref="A57:B57"/>
    <mergeCell ref="A64:B64"/>
    <mergeCell ref="A97:B97"/>
    <mergeCell ref="A91:B91"/>
  </mergeCells>
  <phoneticPr fontId="62" type="noConversion"/>
  <dataValidations count="13">
    <dataValidation type="list" allowBlank="1" showInputMessage="1" showErrorMessage="1" sqref="B30" xr:uid="{00000000-0002-0000-0000-000000000000}">
      <formula1>$C$30:$D$30</formula1>
    </dataValidation>
    <dataValidation type="list" allowBlank="1" showInputMessage="1" showErrorMessage="1" sqref="B99" xr:uid="{00000000-0002-0000-0000-000001000000}">
      <formula1>$C$99:$D$99</formula1>
    </dataValidation>
    <dataValidation type="list" allowBlank="1" showInputMessage="1" showErrorMessage="1" sqref="B109" xr:uid="{00000000-0002-0000-0000-000002000000}">
      <formula1>$C$109:$D$109</formula1>
    </dataValidation>
    <dataValidation type="list" allowBlank="1" showInputMessage="1" showErrorMessage="1" sqref="B77" xr:uid="{00000000-0002-0000-0000-000003000000}">
      <formula1>$C$77:$D$77</formula1>
    </dataValidation>
    <dataValidation type="list" allowBlank="1" showInputMessage="1" showErrorMessage="1" sqref="C135" xr:uid="{00000000-0002-0000-0000-000004000000}">
      <formula1>$D$135:$E$135</formula1>
    </dataValidation>
    <dataValidation type="list" allowBlank="1" showInputMessage="1" showErrorMessage="1" sqref="B98" xr:uid="{00000000-0002-0000-0000-000005000000}">
      <formula1>$C$98:$D$98</formula1>
    </dataValidation>
    <dataValidation type="list" allowBlank="1" showInputMessage="1" showErrorMessage="1" sqref="B100" xr:uid="{00000000-0002-0000-0000-000006000000}">
      <formula1>$C$100:$D$100</formula1>
    </dataValidation>
    <dataValidation type="list" allowBlank="1" showInputMessage="1" showErrorMessage="1" sqref="B23" xr:uid="{00000000-0002-0000-0000-000007000000}">
      <formula1>$C$23:$D$23</formula1>
    </dataValidation>
    <dataValidation type="list" allowBlank="1" showInputMessage="1" showErrorMessage="1" sqref="B29" xr:uid="{00000000-0002-0000-0000-000008000000}">
      <formula1>$C$29:$F$29</formula1>
    </dataValidation>
    <dataValidation type="list" allowBlank="1" showInputMessage="1" showErrorMessage="1" sqref="B24" xr:uid="{00000000-0002-0000-0000-000009000000}">
      <formula1>$C$24:$D$24</formula1>
    </dataValidation>
    <dataValidation type="list" allowBlank="1" showInputMessage="1" showErrorMessage="1" sqref="B83" xr:uid="{00000000-0002-0000-0000-00000A000000}">
      <formula1>$BJ$83:$BK$83</formula1>
    </dataValidation>
    <dataValidation type="list" allowBlank="1" showInputMessage="1" showErrorMessage="1" sqref="B6" xr:uid="{00000000-0002-0000-0000-00000B000000}">
      <formula1>$C$6:$D$6</formula1>
    </dataValidation>
    <dataValidation type="list" allowBlank="1" showInputMessage="1" showErrorMessage="1" sqref="B44" xr:uid="{00000000-0002-0000-0000-00000C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3">
    <tabColor rgb="FF00B050"/>
  </sheetPr>
  <dimension ref="A1:K132"/>
  <sheetViews>
    <sheetView view="pageBreakPreview" topLeftCell="A116" zoomScale="130" zoomScaleNormal="55" zoomScaleSheetLayoutView="130" workbookViewId="0">
      <selection activeCell="A126" sqref="A126:A127"/>
    </sheetView>
  </sheetViews>
  <sheetFormatPr defaultColWidth="9.140625" defaultRowHeight="15.75"/>
  <cols>
    <col min="1" max="1" width="50.140625" style="6" customWidth="1"/>
    <col min="2" max="2" width="58.8554687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253" t="str">
        <f>""&amp;malumot!C64&amp;" shartnoma "&amp;malumot!B66&amp;""</f>
        <v>Mikroqarz shartnoma №656-XT</v>
      </c>
      <c r="B1" s="253"/>
    </row>
    <row r="3" spans="1:3">
      <c r="A3" s="253" t="str">
        <f>"Toshkent shahri                                                                               "&amp;malumot!B70&amp;""</f>
        <v>Toshkent shahri                                                                               24 mart 2025 y.</v>
      </c>
      <c r="B3" s="253"/>
    </row>
    <row r="4" spans="1:3">
      <c r="A4" s="66"/>
    </row>
    <row r="5" spans="1:3" ht="132.75" customHeight="1">
      <c r="A5" s="254" t="str">
        <f>""&amp;malumot!B153&amp;", bundan buyon «Mikromoliya tashkiloti» deb nomlanuvchi, ishonchnoma asosida xarakat qiluvchi "&amp;malumot!A156&amp;" "&amp;malumot!B156&amp;"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Xatirchi  filial boshlig'i SH. Xayriyev  bir tomondan va o‘z manfaati yo‘lida hamda o‘z nomidan harakat qiluvchi O‘zbekiston Respublikasi fuqarosi XUDAYQULOV FAZLIDDIN SAIDOVICH  (pasport raqami AD0901293, IIV 18215 tomonidan 10.12.2021 yilda berilgan ), bundan buyon «Qarz oluvchi» deb nomlanuvchi, boshqa tomondan, birgalikda “Tomonlar” yoki alohida “Tomon” deb nomlanuvchilar, Qarz oluvchi tomonidan 24.03.2025 yil,mikroqarz olish uchun ariza berilganligini hisobga olib, ushbu Mikroqarz shartnomasini (bundan keyin – «Shartnoma») quyidagilar haqida tuzdilar:</v>
      </c>
      <c r="B5" s="254"/>
    </row>
    <row r="7" spans="1:3">
      <c r="A7" s="253" t="s">
        <v>262</v>
      </c>
      <c r="B7" s="253"/>
    </row>
    <row r="8" spans="1:3" ht="51.75" customHeight="1">
      <c r="A8" s="254" t="str">
        <f>"1.1. Mikromoliya tashkiloti Qarz oluvchiga umumiy miqdori "&amp;FIXED(malumot!B75,2)&amp;" ("&amp;malumot!C76&amp;") bo‘lgan "&amp;malumot!B65&amp;"ni "&amp;malumot!B71&amp;" dan "&amp;malumot!B73&amp;" gacha bo'lgan muddatga naqd pul va/yoki o'tkazmasi shaklida ajratadi."</f>
        <v>1.1. Mikromoliya tashkiloti Qarz oluvchiga umumiy miqdori 35 000 000,00 (O'ttiz besh million so'm) bo‘lgan mikroqarzni 24 mart 2025 y. dan 24 mart 2027 y. gacha bo'lgan muddatga naqd pul va/yoki o'tkazmasi shaklida ajratadi.</v>
      </c>
      <c r="B8" s="254"/>
    </row>
    <row r="9" spans="1:3" ht="36" customHeight="1">
      <c r="A9" s="254"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54"/>
    </row>
    <row r="10" spans="1:3">
      <c r="A10" s="32"/>
    </row>
    <row r="11" spans="1:3">
      <c r="A11" s="257" t="str">
        <f>"2. "&amp;malumot!D64&amp;" BERISH VA QAYTARISH TARTIBI"</f>
        <v>2. MIKROQARZ BERISH VA QAYTARISH TARTIBI</v>
      </c>
      <c r="B11" s="257"/>
      <c r="C11" s="64"/>
    </row>
    <row r="12" spans="1:3" ht="36" customHeight="1">
      <c r="A12" s="254"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54"/>
    </row>
    <row r="13" spans="1:3" ht="35.25" customHeight="1">
      <c r="A13" s="254"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54"/>
    </row>
    <row r="14" spans="1:3" ht="35.25" customHeight="1">
      <c r="A14" s="254"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54"/>
    </row>
    <row r="15" spans="1:3" ht="69.75" customHeight="1">
      <c r="A15" s="254" t="str">
        <f>"2.4. Mikromoliya tashkiloti, "&amp;malumot!B65&amp;" berilgan vaqtdan boshlab, "&amp;malumot!B65&amp;" miqdorining qoldiq summasiga "&amp;malumot!B85&amp;"% ("&amp;malumot!C86&amp;") foiz yillik va yiliga 365/366 kunlik hisobidan foizlar hisoblaydi. To'lov jadvaliga muvofiq asosiy qarz bo'yicha navbatdagi to'lov buzilgan hollarda, "&amp;"foiz stavkasi oshiriladi va  Mikromoliya tashkiloti "&amp;malumot!B65&amp;"ning muddati o'tgan asosiy qarz summasiga yillik "&amp;malumot!B88&amp;" ("&amp;malumot!B89&amp;")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54"/>
    </row>
    <row r="16" spans="1:3" ht="177.75" customHeight="1">
      <c r="A16" s="254" t="s">
        <v>329</v>
      </c>
      <c r="B16" s="254"/>
    </row>
    <row r="17" spans="1:11" ht="161.25" customHeight="1">
      <c r="A17" s="254"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54"/>
      <c r="C17" s="149" t="s">
        <v>334</v>
      </c>
      <c r="H17" s="6" t="str">
        <f>malumot!B65</f>
        <v>mikroqarz</v>
      </c>
      <c r="I17" s="6" t="s">
        <v>335</v>
      </c>
    </row>
    <row r="18" spans="1:11" ht="100.5" customHeight="1">
      <c r="A18" s="256" t="s">
        <v>374</v>
      </c>
      <c r="B18" s="256"/>
    </row>
    <row r="19" spans="1:11" ht="36" customHeight="1">
      <c r="A19" s="254"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54"/>
    </row>
    <row r="20" spans="1:11" ht="48.75" customHeight="1">
      <c r="A20" s="254"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54"/>
    </row>
    <row r="21" spans="1:11" ht="113.25" customHeight="1">
      <c r="A21" s="258"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58"/>
      <c r="C21" s="6"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257" t="str">
        <f>"3. "&amp;malumot!D64&amp;" TA'MINOTI BO‘YICHA "</f>
        <v xml:space="preserve">3. MIKROQARZ TA'MINOTI BO‘YICHA </v>
      </c>
      <c r="B22" s="257"/>
    </row>
    <row r="23" spans="1:11" ht="19.5" customHeight="1">
      <c r="A23" s="254" t="str">
        <f>"3.1. Ushbu Shartnoma bo‘yicha taqdim etilgan "&amp;malumot!C64&amp;" quyidagi garov bilan ta'minlanadi:"</f>
        <v>3.1. Ushbu Shartnoma bo‘yicha taqdim etilgan Mikroqarz quyidagi garov bilan ta'minlanadi:</v>
      </c>
      <c r="B23" s="254"/>
    </row>
    <row r="24" spans="1:11" ht="151.5" customHeight="1">
      <c r="A24" s="255" t="str">
        <f>IF(malumot!B109=malumot!C109,shartnoma!A28,IF(malumot!B109=malumot!D109,shartnoma!A25,0))</f>
        <v>3.1.1. Mikromoliya tashkiloti, Qarz oluvchi va XUDAYKULOV MAVLUDDIN SAIDOVICH tomonidan 2025 yil 24 martda imzolangan 1-sonli garov predmeti qiymatini tasdiqlash dalolatnomasiga muvofiq OQ BELAYA rangli, ishlab chiqarilgan yili – 2019 yil,  dvigatel raqami F8CB191310207, shassi - RAKAMSIZ,  kuzov turi - YENGIL SEDAN, kuzov raqami №XWB7T12YDKP150990, davlat raqam belgisi 85O912KA bo'lgan CHEVROLET DAMAS rusumli avtomashinasi (bundan keyin “Garov predmeti”), egalik huquqiga ega  XUDAYKULOV MAVLUDDIN SAIDOVICHga tegishli va kelishilgan garov qiymati 2025 yil 24 martda imzolangan 1-sonli Garov predmeti qiymatini tasdiqlash dalolatnomasiga muvifiq 52 500 000,00 (ellik ikki million besh yuz ming so'm) so'mni tashkil qiladi. Garov garovining aniq shartlari tegishli notarial rasmiylashtirilgan garov shartnomasi bilan belgilanadi.</v>
      </c>
      <c r="B24" s="255"/>
    </row>
    <row r="25" spans="1:11" ht="129" hidden="1" customHeight="1">
      <c r="A25" s="254" t="str">
        <f>IF(malumot!B98=malumot!C98,shartnoma!A27,IF(malumot!B98=malumot!D98,shartnoma!A26,0))</f>
        <v>3.1.1. Mikromoliya tashkiloti, Qarz oluvchi va XUDAYKULOV MAVLUDDIN SAIDOVICH tomonidan 2025 yil 24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24 martda imzolangan 1-sonli Garov predmeti qiymatini tasdiqlash dalolatnomasiga muvofiq 52 500 000,00 (ellik ikki million besh yuz ming so'm) so'mni tashkil qiladi. Garovning aniq shartlari tegishli tarzda notarial tasdiqlangan garov shartnomasi bilan belgilangan.</v>
      </c>
      <c r="B25" s="254"/>
    </row>
    <row r="26" spans="1:11" ht="129.75" hidden="1" customHeight="1">
      <c r="A26" s="255" t="str">
        <f>"3.1.1. "&amp;malumot!N132&amp;" tomonidan "&amp;malumot!B149&amp;" yil "&amp;malumot!B151&amp;" "&amp;malumot!B150&amp;"da imzolangan 1-sonli navbatdagi garov predmeti qiymatini tasdiqlash dalolatnomasiga muvofiq "&amp;malumot!C129&amp;" manzilida joylashgan, "&amp;malumot!E132&amp;" bo'lgan, "&amp;malumot!E131&amp;" ko'rinishidagi ko'chmas mulk (bundan keyin “navbatdagi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Qarz oluvchi va XUDAYKULOV MAVLUDDIN SAIDOVICH tomonidan 2025 yil 24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0ga tegishli va kelishilgan garov qiymati 2025 yil 24 martda imzolangan 1-sonli Garov predmeti qiymatini tasdiqlash dalolatnomasiga muvofiq 52 500 000,00 (ellik ikki million besh yuz ming so'm) so'mni tashkil qiladi. Garovning aniq shartlari tegishli tarzda notarial tasdiqlangan garov shartnomasi bilan belgilangan.</v>
      </c>
      <c r="B26" s="255"/>
    </row>
    <row r="27" spans="1:11" ht="131.25" hidden="1" customHeight="1">
      <c r="A27" s="254" t="str">
        <f>"3.1.1. "&amp;malumot!N132&amp;" tomonidan "&amp;malumot!B149&amp;" yil "&amp;malumot!B151&amp;" "&amp;malumot!B150&amp;"da imzolangan 1-sonli Garov predmeti qiymatini tasdiqlash dalolatnomasiga muvofiq "&amp;malumot!C129&amp;" manzilida joylashgan, "&amp;malumot!E132&amp;" bo'lgan, "&amp;malumot!E131&amp;" ko'rinishidagi ko'chmas mulk (bundan keyin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Qarz oluvchi va XUDAYKULOV MAVLUDDIN SAIDOVICH tomonidan 2025 yil 24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24 martda imzolangan 1-sonli Garov predmeti qiymatini tasdiqlash dalolatnomasiga muvofiq 52 500 000,00 (ellik ikki million besh yuz ming so'm) so'mni tashkil qiladi. Garovning aniq shartlari tegishli tarzda notarial tasdiqlangan garov shartnomasi bilan belgilangan.</v>
      </c>
      <c r="B27" s="254"/>
    </row>
    <row r="28" spans="1:11" ht="114" hidden="1" customHeight="1">
      <c r="A28" s="255" t="str">
        <f>IF(malumot!B98=malumot!C98,A29,IF(malumot!B98=malumot!D98,A30,0))</f>
        <v>3.1.1. Mikromoliya tashkiloti, Qarz oluvchi va XUDAYKULOV MAVLUDDIN SAIDOVICH tomonidan 2025 yil 24 martda imzolangan 1-sonli garov predmeti qiymatini tasdiqlash dalolatnomasiga muvofiq OQ BELAYA rangli, ishlab chiqarilgan yili – 2019 yil,  dvigatel raqami F8CB191310207, shassi - RAKAMSIZ,  kuzov turi - YENGIL SEDAN, kuzov raqami №XWB7T12YDKP150990, davlat raqam belgisi 85O912KA bo'lgan CHEVROLET DAMAS rusumli avtomashinasi (bundan keyin “Garov predmeti”), egalik huquqiga ega  XUDAYKULOV MAVLUDDIN SAIDOVICHga tegishli va kelishilgan garov qiymati 2025 yil 24 martda imzolangan 1-sonli Garov predmeti qiymatini tasdiqlash dalolatnomasiga muvifiq 52 500 000,00 (ellik ikki million besh yuz ming so'm) so'mni tashkil qiladi. Garov garovining aniq shartlari tegishli notarial rasmiylashtirilgan garov shartnomasi bilan belgilanadi.</v>
      </c>
      <c r="B28" s="255"/>
      <c r="K28" s="6" t="s">
        <v>326</v>
      </c>
    </row>
    <row r="29" spans="1:11" ht="114.75" hidden="1" customHeight="1">
      <c r="A29" s="255" t="str">
        <f>"3.1.1. "&amp;malumot!N132&amp;" tomonidan "&amp;malumot!B149&amp;" yil "&amp;malumot!B151&amp;" "&amp;malumot!B150&amp;"da imzolangan 1-sonli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Qarz oluvchi va XUDAYKULOV MAVLUDDIN SAIDOVICH tomonidan 2025 yil 24 martda imzolangan 1-sonli garov predmeti qiymatini tasdiqlash dalolatnomasiga muvofiq OQ BELAYA rangli, ishlab chiqarilgan yili – 2019 yil,  dvigatel raqami F8CB191310207, shassi - RAKAMSIZ,  kuzov turi - YENGIL SEDAN, kuzov raqami №XWB7T12YDKP150990, davlat raqam belgisi 85O912KA bo'lgan CHEVROLET DAMAS rusumli avtomashinasi (bundan keyin “Garov predmeti”), egalik huquqiga ega  XUDAYKULOV MAVLUDDIN SAIDOVICHga tegishli va kelishilgan garov qiymati 2025 yil 24 martda imzolangan 1-sonli Garov predmeti qiymatini tasdiqlash dalolatnomasiga muvifiq 52 500 000,00 (ellik ikki million besh yuz ming so'm) so'mni tashkil qiladi. Garov garovining aniq shartlari tegishli notarial rasmiylashtirilgan garov shartnomasi bilan belgilanadi.</v>
      </c>
      <c r="B29" s="255"/>
    </row>
    <row r="30" spans="1:11" ht="115.5" hidden="1" customHeight="1">
      <c r="A30" s="260" t="str">
        <f>"3.1.1. "&amp;malumot!N132&amp;" tomonidan "&amp;malumot!B149&amp;" yil "&amp;malumot!B151&amp;" "&amp;malumot!B150&amp;"da imzolangan 1-sonli navbatdagi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“navbatdagi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Qarz oluvchi va XUDAYKULOV MAVLUDDIN SAIDOVICH tomonidan 2025 yil 24 martda imzolangan 1-sonli navbatdagi garov predmeti qiymatini tasdiqlash dalolatnomasiga muvofiq OQ BELAYA rangli, ishlab chiqarilgan yili – 2019 yil,  dvigatel raqami F8CB191310207, shassi - RAKAMSIZ,  kuzov turi - YENGIL SEDAN, kuzov raqami №XWB7T12YDKP150990, davlat raqam belgisi 85O912KA bo'lgan CHEVROLET DAMAS rusumli avtomashinasi (bundan keyin “navbatdagi garov predmeti”), egalik huquqiga ega  XUDAYKULOV MAVLUDDIN SAIDOVICHga tegishli va kelishilgan garov qiymati 2025 yil 24 martda imzolangan 1-sonli Garov predmeti qiymatini tasdiqlash dalolatnomasiga muvifiq 52 500 000,00 (ellik ikki million besh yuz ming so'm) so'mni tashkil qiladi. Garov garovining aniq shartlari tegishli notarial rasmiylashtirilgan garov shartnomasi bilan belgilanadi.</v>
      </c>
      <c r="B30" s="260"/>
    </row>
    <row r="31" spans="1:11" ht="117" customHeight="1">
      <c r="A31" s="259"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59"/>
    </row>
    <row r="32" spans="1:11" ht="94.5" hidden="1">
      <c r="A32" s="153" t="s">
        <v>356</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63" hidden="1">
      <c r="A33" s="153"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3" s="32" t="s">
        <v>337</v>
      </c>
    </row>
    <row r="34" spans="1:8" ht="85.5" customHeight="1">
      <c r="A34" s="259" t="s">
        <v>263</v>
      </c>
      <c r="B34" s="259"/>
    </row>
    <row r="35" spans="1:8" ht="84" customHeight="1">
      <c r="A35" s="259" t="s">
        <v>314</v>
      </c>
      <c r="B35" s="259"/>
    </row>
    <row r="37" spans="1:8">
      <c r="A37" s="262" t="s">
        <v>313</v>
      </c>
      <c r="B37" s="262"/>
      <c r="C37" s="71"/>
    </row>
    <row r="38" spans="1:8">
      <c r="A38" s="261" t="s">
        <v>312</v>
      </c>
      <c r="B38" s="261"/>
    </row>
    <row r="39" spans="1:8" ht="114" customHeight="1">
      <c r="A39" s="259"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259"/>
      <c r="C39" s="6" t="str">
        <f>"4.1.1. Ushbu Shartnomada ko‘rsatilgan asoslar bo‘yicha Qarz oluvchiga Shartnomada ko‘zda tutilgan "&amp;malumot!B65&amp;""</f>
        <v>4.1.1. Ushbu Shartnomada ko‘rsatilgan asoslar bo‘yicha Qarz oluvchiga Shartnomada ko‘zda tutilgan mikroqarz</v>
      </c>
      <c r="H39" s="149" t="s">
        <v>388</v>
      </c>
    </row>
    <row r="40" spans="1:8" ht="39" customHeight="1">
      <c r="A40" s="259"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59"/>
    </row>
    <row r="41" spans="1:8">
      <c r="A41" s="259" t="s">
        <v>315</v>
      </c>
      <c r="B41" s="259"/>
    </row>
    <row r="42" spans="1:8" ht="33" customHeight="1">
      <c r="A42" s="259" t="str">
        <f>"b) "&amp;malumot!B65&amp;" summasiga hisoblanadigan asosiy qarz bo‘yicha muddati o‘tgan qarzdorlik va/yoki foizlarning yuzaga kelishi;"</f>
        <v>b) mikroqarz summasiga hisoblanadigan asosiy qarz bo‘yicha muddati o‘tgan qarzdorlik va/yoki foizlarning yuzaga kelishi;</v>
      </c>
      <c r="B42" s="259"/>
    </row>
    <row r="43" spans="1:8" ht="37.5" customHeight="1">
      <c r="A43" s="259" t="s">
        <v>316</v>
      </c>
      <c r="B43" s="259"/>
    </row>
    <row r="44" spans="1:8" ht="52.5" customHeight="1">
      <c r="A44" s="259" t="s">
        <v>317</v>
      </c>
      <c r="B44" s="259"/>
    </row>
    <row r="45" spans="1:8" ht="19.5" customHeight="1">
      <c r="A45" s="259" t="s">
        <v>318</v>
      </c>
      <c r="B45" s="259"/>
    </row>
    <row r="46" spans="1:8" ht="51.75" customHeight="1">
      <c r="A46" s="259"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59"/>
    </row>
    <row r="47" spans="1:8" ht="33.75" customHeight="1">
      <c r="A47" s="259" t="s">
        <v>311</v>
      </c>
      <c r="B47" s="259"/>
    </row>
    <row r="48" spans="1:8" ht="36.75" customHeight="1">
      <c r="A48" s="259" t="s">
        <v>310</v>
      </c>
      <c r="B48" s="259"/>
      <c r="C48" s="153"/>
    </row>
    <row r="49" spans="1:8" ht="100.5" customHeight="1">
      <c r="A49" s="254" t="s">
        <v>309</v>
      </c>
      <c r="B49" s="254"/>
      <c r="C49" s="153"/>
    </row>
    <row r="50" spans="1:8" ht="70.5" customHeight="1">
      <c r="A50" s="254" t="s">
        <v>308</v>
      </c>
      <c r="B50" s="254"/>
      <c r="C50" s="153"/>
    </row>
    <row r="51" spans="1:8" ht="39.75" customHeight="1">
      <c r="A51" s="254"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1" s="254"/>
      <c r="C51" s="153"/>
    </row>
    <row r="52" spans="1:8" ht="33" customHeight="1">
      <c r="A52" s="254" t="s">
        <v>319</v>
      </c>
      <c r="B52" s="254"/>
      <c r="C52" s="153"/>
    </row>
    <row r="53" spans="1:8" ht="39.75" customHeight="1">
      <c r="A53" s="254" t="s">
        <v>307</v>
      </c>
      <c r="B53" s="254"/>
      <c r="C53" s="153"/>
    </row>
    <row r="54" spans="1:8" ht="50.25" customHeight="1">
      <c r="A54" s="254"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54"/>
      <c r="C54" s="153" t="str">
        <f>"4.1.10. Qarz oluvchi taqdim etilgan "&amp;malumot!B65&amp;"dan Shartnoma tuzilgan kundan boshlab 1 (bir) oy davomida foydalanmagan"</f>
        <v>4.1.10. Qarz oluvchi taqdim etilgan mikroqarzdan Shartnoma tuzilgan kundan boshlab 1 (bir) oy davomida foydalanmagan</v>
      </c>
      <c r="H54" s="6" t="s">
        <v>338</v>
      </c>
    </row>
    <row r="55" spans="1:8" ht="19.5" customHeight="1">
      <c r="A55" s="254" t="str">
        <f>"4.1.11. Oldingi "&amp;malumot!B65&amp;" to‘liq to‘lanmagunga qadar yangi "&amp;malumot!B65&amp;" berishni rad etish."</f>
        <v>4.1.11. Oldingi mikroqarz to‘liq to‘lanmagunga qadar yangi mikroqarz berishni rad etish.</v>
      </c>
      <c r="B55" s="254"/>
      <c r="C55" s="153"/>
    </row>
    <row r="57" spans="1:8">
      <c r="A57" s="257" t="s">
        <v>306</v>
      </c>
      <c r="B57" s="257"/>
      <c r="C57" s="152"/>
    </row>
    <row r="58" spans="1:8">
      <c r="A58" s="263" t="s">
        <v>305</v>
      </c>
      <c r="B58" s="263"/>
      <c r="C58" s="154"/>
    </row>
    <row r="59" spans="1:8" ht="36" customHeight="1">
      <c r="A59" s="254"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54"/>
      <c r="C59" s="153"/>
    </row>
    <row r="60" spans="1:8" ht="36.75" customHeight="1">
      <c r="A60" s="254"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0" s="254"/>
      <c r="C60" s="153"/>
    </row>
    <row r="61" spans="1:8" ht="17.25" customHeight="1">
      <c r="A61" s="254" t="str">
        <f>"5.1.3. "&amp;malumot!C64&amp;" xizmatlari ko‘rsatish qoidalari bilan tanishish."</f>
        <v>5.1.3. Mikroqarz xizmatlari ko‘rsatish qoidalari bilan tanishish.</v>
      </c>
      <c r="B61" s="254"/>
      <c r="C61" s="153"/>
    </row>
    <row r="62" spans="1:8" ht="36" customHeight="1">
      <c r="A62" s="254"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2" s="254"/>
      <c r="C62" s="153"/>
    </row>
    <row r="63" spans="1:8" ht="33.75" customHeight="1">
      <c r="A63" s="254" t="s">
        <v>320</v>
      </c>
      <c r="B63" s="254"/>
      <c r="C63" s="153"/>
    </row>
    <row r="64" spans="1:8">
      <c r="A64" s="263" t="s">
        <v>304</v>
      </c>
      <c r="B64" s="263"/>
      <c r="C64" s="154"/>
    </row>
    <row r="65" spans="1:8" ht="37.5" customHeight="1">
      <c r="A65" s="254"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54"/>
      <c r="C65" s="153"/>
    </row>
    <row r="66" spans="1:8" ht="39.75" customHeight="1">
      <c r="A66" s="254" t="s">
        <v>321</v>
      </c>
      <c r="B66" s="254"/>
      <c r="C66" s="153"/>
    </row>
    <row r="67" spans="1:8" ht="27" customHeight="1">
      <c r="A67" s="254" t="str">
        <f>"5.2.3. To‘lov jadvaliga muvofiq "&amp;malumot!B65&amp;", shuningdek hisoblangan foizlar to‘lovlarini amalga oshirish."</f>
        <v>5.2.3. To‘lov jadvaliga muvofiq mikroqarz, shuningdek hisoblangan foizlar to‘lovlarini amalga oshirish.</v>
      </c>
      <c r="B67" s="254"/>
      <c r="C67" s="153"/>
    </row>
    <row r="68" spans="1:8" ht="84" customHeight="1">
      <c r="A68" s="254"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54"/>
      <c r="C68" s="153" t="s">
        <v>339</v>
      </c>
      <c r="H68" s="6"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54" t="s">
        <v>322</v>
      </c>
      <c r="B69" s="254"/>
      <c r="C69" s="153"/>
    </row>
    <row r="70" spans="1:8" ht="36" customHeight="1">
      <c r="A70" s="254"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0" s="254"/>
      <c r="C70" s="153"/>
    </row>
    <row r="71" spans="1:8" ht="51.75" customHeight="1">
      <c r="A71" s="256" t="s">
        <v>340</v>
      </c>
      <c r="B71" s="256"/>
      <c r="C71" s="156"/>
    </row>
    <row r="72" spans="1:8" ht="71.25" customHeight="1">
      <c r="A72" s="254"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54"/>
      <c r="C72" s="153"/>
    </row>
    <row r="73" spans="1:8" ht="33.75" customHeight="1">
      <c r="A73" s="254"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54"/>
      <c r="C73" s="153"/>
      <c r="H73" s="6" t="s">
        <v>336</v>
      </c>
    </row>
    <row r="74" spans="1:8" ht="68.25" customHeight="1">
      <c r="A74" s="254"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54"/>
      <c r="C74" s="153"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4" s="6" t="s">
        <v>341</v>
      </c>
    </row>
    <row r="75" spans="1:8">
      <c r="A75" s="69"/>
    </row>
    <row r="76" spans="1:8">
      <c r="A76" s="262" t="s">
        <v>303</v>
      </c>
      <c r="B76" s="262"/>
      <c r="C76" s="155"/>
    </row>
    <row r="77" spans="1:8" ht="98.25" customHeight="1">
      <c r="A77" s="254"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54"/>
      <c r="C77" s="153" t="s">
        <v>342</v>
      </c>
      <c r="H77" s="6"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54" t="s">
        <v>302</v>
      </c>
      <c r="B78" s="254"/>
      <c r="C78" s="153"/>
    </row>
    <row r="79" spans="1:8" ht="35.25" customHeight="1">
      <c r="A79" s="254" t="s">
        <v>301</v>
      </c>
      <c r="B79" s="254"/>
      <c r="C79" s="153"/>
    </row>
    <row r="80" spans="1:8" ht="33" customHeight="1">
      <c r="A80" s="254" t="s">
        <v>300</v>
      </c>
      <c r="B80" s="254"/>
      <c r="C80" s="153"/>
    </row>
    <row r="82" spans="1:3">
      <c r="A82" s="264" t="s">
        <v>299</v>
      </c>
      <c r="B82" s="264"/>
      <c r="C82" s="65"/>
    </row>
    <row r="83" spans="1:3" ht="162.75" customHeight="1">
      <c r="A83" s="254" t="s">
        <v>298</v>
      </c>
      <c r="B83" s="254"/>
      <c r="C83" s="153"/>
    </row>
    <row r="84" spans="1:3" ht="33.75" customHeight="1">
      <c r="A84" s="254" t="s">
        <v>343</v>
      </c>
      <c r="B84" s="254"/>
      <c r="C84" s="153"/>
    </row>
    <row r="85" spans="1:3" ht="51.75" customHeight="1">
      <c r="A85" s="254" t="s">
        <v>297</v>
      </c>
      <c r="B85" s="254"/>
      <c r="C85" s="153"/>
    </row>
    <row r="86" spans="1:3" ht="36" customHeight="1">
      <c r="A86" s="254" t="s">
        <v>296</v>
      </c>
      <c r="B86" s="254"/>
      <c r="C86" s="153"/>
    </row>
    <row r="88" spans="1:3">
      <c r="A88" s="264" t="s">
        <v>295</v>
      </c>
      <c r="B88" s="264"/>
      <c r="C88" s="65"/>
    </row>
    <row r="89" spans="1:3" ht="114.75" customHeight="1">
      <c r="A89" s="254" t="s">
        <v>357</v>
      </c>
      <c r="B89" s="254"/>
      <c r="C89" s="153"/>
    </row>
    <row r="90" spans="1:3" ht="36" customHeight="1">
      <c r="A90" s="254" t="s">
        <v>323</v>
      </c>
      <c r="B90" s="254"/>
      <c r="C90" s="153"/>
    </row>
    <row r="91" spans="1:3" ht="64.5" customHeight="1">
      <c r="A91" s="254"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54"/>
      <c r="C91" s="153"/>
    </row>
    <row r="93" spans="1:3">
      <c r="A93" s="265" t="s">
        <v>294</v>
      </c>
      <c r="B93" s="265"/>
      <c r="C93" s="70"/>
    </row>
    <row r="94" spans="1:3" ht="20.25" customHeight="1">
      <c r="A94" s="254" t="s">
        <v>293</v>
      </c>
      <c r="B94" s="254"/>
      <c r="C94" s="153"/>
    </row>
    <row r="95" spans="1:3" ht="33.75" customHeight="1">
      <c r="A95" s="254"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54"/>
      <c r="C95" s="153"/>
    </row>
    <row r="96" spans="1:3" ht="51" customHeight="1">
      <c r="A96" s="254" t="s">
        <v>292</v>
      </c>
      <c r="B96" s="254"/>
      <c r="C96" s="153"/>
    </row>
    <row r="98" spans="1:3">
      <c r="A98" s="257" t="s">
        <v>291</v>
      </c>
      <c r="B98" s="257"/>
      <c r="C98" s="64"/>
    </row>
    <row r="99" spans="1:3" ht="82.5" customHeight="1">
      <c r="A99" s="254" t="s">
        <v>290</v>
      </c>
      <c r="B99" s="254"/>
      <c r="C99" s="153"/>
    </row>
    <row r="100" spans="1:3" ht="66" customHeight="1">
      <c r="A100" s="254" t="s">
        <v>289</v>
      </c>
      <c r="B100" s="254"/>
      <c r="C100" s="153"/>
    </row>
    <row r="101" spans="1:3" ht="48" customHeight="1">
      <c r="A101" s="254" t="s">
        <v>288</v>
      </c>
      <c r="B101" s="254"/>
      <c r="C101" s="153"/>
    </row>
    <row r="103" spans="1:3">
      <c r="A103" s="264" t="s">
        <v>287</v>
      </c>
      <c r="B103" s="264"/>
      <c r="C103" s="139"/>
    </row>
    <row r="104" spans="1:3" ht="37.5" customHeight="1">
      <c r="A104" s="254" t="s">
        <v>286</v>
      </c>
      <c r="B104" s="254"/>
      <c r="C104" s="153"/>
    </row>
    <row r="105" spans="1:3" ht="34.5" customHeight="1">
      <c r="A105" s="254" t="s">
        <v>285</v>
      </c>
      <c r="B105" s="254"/>
      <c r="C105" s="153"/>
    </row>
    <row r="106" spans="1:3" ht="66.75" customHeight="1">
      <c r="A106" s="254" t="s">
        <v>284</v>
      </c>
      <c r="B106" s="254"/>
      <c r="C106" s="153"/>
    </row>
    <row r="107" spans="1:3" ht="51" customHeight="1">
      <c r="A107" s="254" t="s">
        <v>283</v>
      </c>
      <c r="B107" s="254"/>
      <c r="C107" s="153"/>
    </row>
    <row r="108" spans="1:3" ht="37.5" customHeight="1">
      <c r="A108" s="254" t="s">
        <v>282</v>
      </c>
      <c r="B108" s="254"/>
      <c r="C108" s="153"/>
    </row>
    <row r="109" spans="1:3" ht="38.25" customHeight="1">
      <c r="A109" s="254" t="s">
        <v>281</v>
      </c>
      <c r="B109" s="254"/>
      <c r="C109" s="153"/>
    </row>
    <row r="110" spans="1:3" ht="21" customHeight="1">
      <c r="A110" s="254" t="s">
        <v>280</v>
      </c>
      <c r="B110" s="254"/>
      <c r="C110" s="153"/>
    </row>
    <row r="111" spans="1:3" ht="32.25" customHeight="1">
      <c r="A111" s="254"/>
      <c r="B111" s="254"/>
      <c r="C111" s="153"/>
    </row>
    <row r="113" spans="1:3">
      <c r="A113" s="265" t="s">
        <v>324</v>
      </c>
      <c r="B113" s="265"/>
      <c r="C113" s="70"/>
    </row>
    <row r="115" spans="1:3">
      <c r="A115" s="228" t="s">
        <v>279</v>
      </c>
      <c r="B115" s="217" t="s">
        <v>278</v>
      </c>
    </row>
    <row r="116" spans="1:3">
      <c r="A116" s="226"/>
      <c r="B116" s="216"/>
    </row>
    <row r="117" spans="1:3" ht="31.5">
      <c r="A117" s="229" t="str">
        <f>malumot!B154</f>
        <v>«CLEVER MIKROMOLIYA TASHKILOTI» MChJ</v>
      </c>
      <c r="B117" s="218" t="str">
        <f>malumot!B5</f>
        <v>XUDAYQULOV FAZLIDDIN SAIDOVICH</v>
      </c>
    </row>
    <row r="118" spans="1:3">
      <c r="A118" s="226"/>
      <c r="B118" s="216"/>
    </row>
    <row r="119" spans="1:3" ht="31.5">
      <c r="A119" s="230" t="str">
        <f>"Manzil: "&amp;malumot!B159&amp;""</f>
        <v>Manzil: Toshkent shahri, Olmazor tumani, Sagbon ko'chasi, 30 boshi berk, 6-uy</v>
      </c>
      <c r="B119" s="219" t="str">
        <f>"Manzil: "&amp;malumot!B27&amp;""</f>
        <v>Manzil: SAMARQAND VILOYATI KATTAQO'RG'ON TUMANI BURGANSOY MAHALLASI</v>
      </c>
    </row>
    <row r="120" spans="1:3">
      <c r="A120" s="231" t="str">
        <f>"h/r: "&amp;malumot!B160&amp;""</f>
        <v>h/r: №20216000705068380001</v>
      </c>
      <c r="B120" s="220"/>
    </row>
    <row r="121" spans="1:3" ht="31.5">
      <c r="A121" s="230" t="str">
        <f>"MFO: "&amp;malumot!B161&amp;" в "&amp;malumot!B162&amp;""</f>
        <v>MFO: №01042 в ATB “Kapitalbank” Sergeli filiali</v>
      </c>
      <c r="B121" s="219" t="str">
        <f>"Pasport: "&amp;malumot!B16&amp;", "&amp;malumot!B20&amp;""</f>
        <v>Pasport: AD0901293, IIV 18215 tomonidan 10.12.2021 yilda berilgan</v>
      </c>
    </row>
    <row r="122" spans="1:3">
      <c r="A122" s="230" t="str">
        <f>"STIR: "&amp;malumot!B163&amp;""</f>
        <v>STIR: 306365847</v>
      </c>
      <c r="B122" s="221" t="str">
        <f>"Tel: "&amp;malumot!B40&amp;""</f>
        <v>Tel: 88 985 17 74  UZI</v>
      </c>
    </row>
    <row r="123" spans="1:3">
      <c r="A123" s="232" t="str">
        <f>"Tel: (78) 113 31 33"</f>
        <v>Tel: (78) 113 31 33</v>
      </c>
      <c r="B123" s="221" t="str">
        <f>malumot!B41</f>
        <v>33 316 17 74  TURMUSH O'RTOG'I</v>
      </c>
    </row>
    <row r="124" spans="1:3">
      <c r="A124" s="232" t="s">
        <v>8</v>
      </c>
      <c r="B124" s="221" t="str">
        <f>malumot!B42</f>
        <v>99 771 77 40  UKASI</v>
      </c>
    </row>
    <row r="125" spans="1:3">
      <c r="A125" s="233"/>
      <c r="B125" s="220"/>
    </row>
    <row r="126" spans="1:3">
      <c r="A126" s="266" t="str">
        <f>malumot!A167</f>
        <v>Xatirchi  filial boshlig'i</v>
      </c>
      <c r="B126" s="216"/>
    </row>
    <row r="127" spans="1:3">
      <c r="A127" s="266"/>
      <c r="B127" s="222" t="str">
        <f>""&amp;malumot!B7&amp;"     __________________"</f>
        <v>XUDAYQULOV .F.S     __________________</v>
      </c>
    </row>
    <row r="128" spans="1:3">
      <c r="A128" s="225" t="str">
        <f>malumot!B156</f>
        <v>SH. Xayriyev</v>
      </c>
      <c r="B128" s="216"/>
    </row>
    <row r="129" spans="1:2">
      <c r="A129" s="225"/>
      <c r="B129" s="223"/>
    </row>
    <row r="130" spans="1:2">
      <c r="A130" s="226"/>
      <c r="B130" s="216"/>
    </row>
    <row r="131" spans="1:2">
      <c r="A131" s="227"/>
      <c r="B131" s="224" t="s">
        <v>402</v>
      </c>
    </row>
    <row r="132" spans="1:2" hidden="1">
      <c r="A132" s="6" t="str">
        <f>"менеджер :   "&amp;malumot!B167&amp;"______________"</f>
        <v>менеджер :   SH. Xayriyev______________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14">
    <tabColor rgb="FF00B050"/>
  </sheetPr>
  <dimension ref="A3:E27"/>
  <sheetViews>
    <sheetView view="pageBreakPreview" topLeftCell="A10" zoomScaleSheetLayoutView="100" workbookViewId="0">
      <selection activeCell="A25" sqref="A25"/>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9" t="str">
        <f>""&amp;malumot!B153&amp;" ijrochi direktorining
"&amp;malumot!B171&amp;"dagi "&amp;malumot!B170&amp;"-sonli buyrug‘i"</f>
        <v>«CLEVER MIKROMOLIYA TASHKILOTI» MChJ ijrochi direktorining
24 mart 2025 y.dagi №656-XT-sonli buyrug‘i</v>
      </c>
      <c r="B4" s="269"/>
      <c r="C4" s="269"/>
      <c r="D4" s="269"/>
      <c r="E4" s="269"/>
    </row>
    <row r="5" spans="1:5">
      <c r="A5" s="269"/>
      <c r="B5" s="269"/>
      <c r="C5" s="269"/>
      <c r="D5" s="269"/>
      <c r="E5" s="269"/>
    </row>
    <row r="6" spans="1:5">
      <c r="A6" s="269"/>
      <c r="B6" s="269"/>
      <c r="C6" s="269"/>
      <c r="D6" s="269"/>
      <c r="E6" s="269"/>
    </row>
    <row r="7" spans="1:5">
      <c r="A7" s="267"/>
      <c r="B7" s="267"/>
      <c r="C7" s="267"/>
      <c r="D7" s="267"/>
      <c r="E7" s="267"/>
    </row>
    <row r="8" spans="1:5" ht="44.25" customHeight="1">
      <c r="A8" s="267" t="str">
        <f>"Men, Abduraximov Nadirbek Kamilevich "&amp;malumot!B153&amp;" ijrochi direktori, jismoniy shaxs "&amp;malumot!B10&amp;"ga quyidagi shartlarda "&amp;malumot!B65&amp;" berishni buyuraman:"</f>
        <v>Men, Abduraximov Nadirbek Kamilevich «CLEVER MIKROMOLIYA TASHKILOTI» MChJ ijrochi direktori, jismoniy shaxs XUDAYQULOV FAZLIDDIN SAIDOVICHga quyidagi shartlarda mikroqarz berishni buyuraman:</v>
      </c>
      <c r="B8" s="267"/>
      <c r="C8" s="267"/>
      <c r="D8" s="267"/>
      <c r="E8" s="267"/>
    </row>
    <row r="9" spans="1:5" ht="26.25" customHeight="1">
      <c r="A9" s="267" t="str">
        <f>'Кредитная заявка'!A13:D13</f>
        <v>Mikroqarz summasi: 35 000 000,00 (o'ttiz besh million so'm) so'm.</v>
      </c>
      <c r="B9" s="267"/>
      <c r="C9" s="267"/>
      <c r="D9" s="267"/>
      <c r="E9" s="267"/>
    </row>
    <row r="10" spans="1:5" ht="21" customHeight="1">
      <c r="A10" s="267" t="str">
        <f>'Кредитная заявка'!A14:D14</f>
        <v>Mikroqarz muddati: 24 (yigirma to'rt) oy.</v>
      </c>
      <c r="B10" s="267"/>
      <c r="C10" s="267"/>
      <c r="D10" s="267"/>
      <c r="E10" s="267"/>
    </row>
    <row r="11" spans="1:5" ht="27" customHeight="1">
      <c r="A11" s="267" t="str">
        <f>'Кредитная заявка'!A15:D15</f>
        <v>Mikroqarzdan foydalanganlik uchun foiz stavkasi: yillik  60% (Oltmish) foiz</v>
      </c>
      <c r="B11" s="267"/>
      <c r="C11" s="267"/>
      <c r="D11" s="267"/>
      <c r="E11" s="267"/>
    </row>
    <row r="12" spans="1:5" ht="26.25" customHeight="1">
      <c r="A12" s="267" t="str">
        <f>'Кредитная заявка'!A16:D16</f>
        <v>Mikroqarz bo'yicha asosiy qarz va foizlarni to'lash:</v>
      </c>
      <c r="B12" s="267"/>
      <c r="C12" s="267"/>
      <c r="D12" s="267"/>
      <c r="E12" s="267"/>
    </row>
    <row r="13" spans="1:5" ht="21.75" hidden="1" customHeight="1">
      <c r="A13" s="267" t="str">
        <f>'Кредитная заявка'!A17:D17</f>
        <v xml:space="preserve"> - mikroqarz shartnomasi bo'yicha har oy differensial to'lovlari amalga oshiriladi</v>
      </c>
      <c r="B13" s="267"/>
      <c r="C13" s="267"/>
      <c r="D13" s="267"/>
      <c r="E13" s="267"/>
    </row>
    <row r="14" spans="1:5" hidden="1">
      <c r="A14" s="267" t="str">
        <f>'Кредитная заявка'!A19:D19</f>
        <v xml:space="preserve"> - mikroqarz shartnomasi bo'yicha har oy differensial to'lovlari amalga oshiriladi</v>
      </c>
      <c r="B14" s="267"/>
      <c r="C14" s="267"/>
      <c r="D14" s="267"/>
      <c r="E14" s="267"/>
    </row>
    <row r="15" spans="1:5" ht="23.25" customHeight="1">
      <c r="A15" s="267" t="str">
        <f>IF(malumot!B109="Avtotransport",buyruq!A14:E14,buyruq!A13:E13)</f>
        <v xml:space="preserve"> - mikroqarz shartnomasi bo'yicha har oy differensial to'lovlari amalga oshiriladi</v>
      </c>
      <c r="B15" s="267"/>
      <c r="C15" s="267"/>
      <c r="D15" s="267"/>
      <c r="E15" s="267"/>
    </row>
    <row r="16" spans="1:5" ht="45.75" customHeight="1">
      <c r="A16" s="268" t="str">
        <f>IF(malumot!B109=malumot!D109,""&amp;malumot!C123&amp;"ga tegishli "&amp;malumot!C132&amp;" ko'rinishidagi ko'chmas mulkni quyidagi ma'lumotlarga muvofiq  garovga qabul qilinsin:",""&amp;malumot!B123&amp;"ga tegishli "&amp;malumot!B131&amp;" ko'rinishidagi transport vositasini quyidagi ma'lumotlarga muvofiq garovga qabul qilinsin:")</f>
        <v>XUDAYKULOV MAVLUDDIN SAIDOVICHga tegishli CHEVROLET DAMAS ko'rinishidagi transport vositasini quyidagi ma'lumotlarga muvofiq garovga qabul qilinsin:</v>
      </c>
      <c r="B16" s="268"/>
      <c r="C16" s="268"/>
      <c r="D16" s="268"/>
      <c r="E16" s="268"/>
    </row>
    <row r="17" spans="1:5" ht="50.25" hidden="1" customHeight="1">
      <c r="A17" s="267" t="str">
        <f>""&amp;malumot!C123&amp;"ga tegishli "&amp;malumot!C132&amp;" ko'rinishidagi ko'chmas mulkni quyidagi ma'lumotlarga muvofiq  garovga qabul qilinsin:"</f>
        <v>0ga tegishli 3 - xonali yakka tartibdagi uy-joy ko'rinishidagi ko'chmas mulkni quyidagi ma'lumotlarga muvofiq  garovga qabul qilinsin:</v>
      </c>
      <c r="B17" s="267"/>
      <c r="C17" s="267"/>
      <c r="D17" s="267"/>
      <c r="E17" s="267"/>
    </row>
    <row r="18" spans="1:5" ht="47.25" hidden="1" customHeight="1">
      <c r="A18" s="267" t="str">
        <f>""&amp;malumot!B123&amp;"ga tegishli "&amp;malumot!B131&amp;" ko'rinishidagi transport vositasini quyidagi ma'lumotlarga muvofiq garovga qabul qilinsin:"</f>
        <v>XUDAYKULOV MAVLUDDIN SAIDOVICHga tegishli CHEVROLET DAMAS ko'rinishidagi transport vositasini quyidagi ma'lumotlarga muvofiq garovga qabul qilinsin:</v>
      </c>
      <c r="B18" s="267"/>
      <c r="C18" s="267"/>
      <c r="D18" s="267"/>
      <c r="E18" s="267"/>
    </row>
    <row r="19" spans="1:5" s="37" customFormat="1" ht="60" customHeight="1" outlineLevel="1">
      <c r="A19" s="39" t="str">
        <f>dalolatnoma!A29</f>
        <v>Nomi</v>
      </c>
      <c r="B19" s="39" t="str">
        <f>dalolatnoma!B29</f>
        <v>Kuzov turi  va kuzov raqami*</v>
      </c>
      <c r="C19" s="39" t="str">
        <f>dalolatnoma!C29</f>
        <v>Dvigatel va shassi raqami*</v>
      </c>
      <c r="D19" s="39" t="str">
        <f>dalolatnoma!D29</f>
        <v>Ishlab chiqarilgan yili va rangi*</v>
      </c>
      <c r="E19" s="39" t="str">
        <f>dalolatnoma!E29</f>
        <v>Kelishilgan garov qiymati, so'm</v>
      </c>
    </row>
    <row r="20" spans="1:5" ht="94.5" customHeight="1" outlineLevel="1">
      <c r="A20" s="17" t="str">
        <f>dalolatnoma!A30</f>
        <v>CHEVROLET DAMAS</v>
      </c>
      <c r="B20" s="17" t="str">
        <f>dalolatnoma!B30</f>
        <v>kuzov turi - YENGIL SEDAN, kuzov raqami XWB7T12YDKP150990</v>
      </c>
      <c r="C20" s="17" t="str">
        <f>dalolatnoma!C30</f>
        <v>dvigatel raqami F8CB191310207, shassi raqami - RAKAMSIZ</v>
      </c>
      <c r="D20" s="17" t="str">
        <f>dalolatnoma!D30</f>
        <v>rangi -  OQ BELAYA, ishlab chiqarilgan yili - 2019</v>
      </c>
      <c r="E20" s="17" t="str">
        <f>dalolatnoma!E30</f>
        <v>52 500 000,00 
(ellik ikki million besh yuz ming so'm)</v>
      </c>
    </row>
    <row r="21" spans="1:5" ht="20.25" customHeight="1" outlineLevel="1">
      <c r="A21" s="267" t="str">
        <f>dalolatnoma!A22:E22</f>
        <v>-* avtotransport egasi: XUDAYKULOV MAVLUDDIN SAIDOVICH</v>
      </c>
      <c r="B21" s="267"/>
      <c r="C21" s="267"/>
      <c r="D21" s="267"/>
      <c r="E21" s="267"/>
    </row>
    <row r="22" spans="1:5" ht="20.25" customHeight="1" outlineLevel="1">
      <c r="A22" s="267" t="str">
        <f>dalolatnoma!A23:E23</f>
        <v>-* texnik pasport: AAG 0638366    21.12.2022</v>
      </c>
      <c r="B22" s="267"/>
      <c r="C22" s="267"/>
      <c r="D22" s="267"/>
      <c r="E22" s="267"/>
    </row>
    <row r="23" spans="1:5" ht="36" customHeight="1" outlineLevel="1">
      <c r="A23" s="267" t="str">
        <f>dalolatnoma!A24:E24</f>
        <v>-* roʻyxatdan oʻtgan manzili/garaj manzili: NAVOIY VILOYATI XATIRCHI TUMANI YANGIRABOD MAHALLASI 105-UY</v>
      </c>
      <c r="B23" s="267"/>
      <c r="C23" s="267"/>
      <c r="D23" s="267"/>
      <c r="E23" s="267"/>
    </row>
    <row r="24" spans="1:5" ht="31.5" customHeight="1" outlineLevel="1">
      <c r="A24" s="267" t="str">
        <f>dalolatnoma!A25:E25</f>
        <v>-* davlat raqami: 85O912KA</v>
      </c>
      <c r="B24" s="267"/>
      <c r="C24" s="267"/>
      <c r="D24" s="267"/>
      <c r="E24" s="267"/>
    </row>
    <row r="25" spans="1:5" ht="23.25" customHeight="1">
      <c r="A25" s="22"/>
      <c r="B25" s="126" t="s">
        <v>378</v>
      </c>
      <c r="D25" s="215"/>
      <c r="E25" s="22"/>
    </row>
    <row r="26" spans="1:5" ht="22.5" customHeight="1">
      <c r="A26" s="22"/>
      <c r="B26" s="126" t="s">
        <v>332</v>
      </c>
      <c r="D26" s="215"/>
      <c r="E26" s="22"/>
    </row>
    <row r="27" spans="1:5">
      <c r="A27" s="22"/>
      <c r="B27" s="215" t="s">
        <v>396</v>
      </c>
      <c r="D27" s="22"/>
      <c r="E27" s="22"/>
    </row>
  </sheetData>
  <mergeCells count="17">
    <mergeCell ref="A4:E6"/>
    <mergeCell ref="A22:E22"/>
    <mergeCell ref="A14:E14"/>
    <mergeCell ref="A18:E18"/>
    <mergeCell ref="A7:E7"/>
    <mergeCell ref="A8:E8"/>
    <mergeCell ref="A13:E13"/>
    <mergeCell ref="A9:E9"/>
    <mergeCell ref="A10:E10"/>
    <mergeCell ref="A11:E11"/>
    <mergeCell ref="A12:E12"/>
    <mergeCell ref="A21:E21"/>
    <mergeCell ref="A15:E15"/>
    <mergeCell ref="A17:E17"/>
    <mergeCell ref="A16:E16"/>
    <mergeCell ref="A23:E23"/>
    <mergeCell ref="A24:E24"/>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
    <tabColor rgb="FF00B050"/>
  </sheetPr>
  <dimension ref="A1:AH39"/>
  <sheetViews>
    <sheetView view="pageBreakPreview" topLeftCell="A22" zoomScaleNormal="100" zoomScaleSheetLayoutView="100" workbookViewId="0">
      <selection activeCell="B45" sqref="B45"/>
    </sheetView>
  </sheetViews>
  <sheetFormatPr defaultRowHeight="15"/>
  <cols>
    <col min="1" max="1" width="24.7109375" style="61" customWidth="1"/>
    <col min="2" max="2" width="24.28515625" style="61" customWidth="1"/>
    <col min="3" max="3" width="20.710937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74" t="str">
        <f>""&amp;malumot!B153&amp;"
mikromoliya tashkiloti
Kredit qo‘mitasining yig‘ilishi"</f>
        <v>«CLEVER MIKROMOLIYA TASHKILOTI» MChJ
mikromoliya tashkiloti
Kredit qo‘mitasining yig‘ilishi</v>
      </c>
      <c r="B1" s="274"/>
      <c r="C1" s="274"/>
      <c r="D1" s="274"/>
      <c r="E1" s="274"/>
    </row>
    <row r="2" spans="1:33" ht="29.25" customHeight="1">
      <c r="A2" s="274" t="str">
        <f>""&amp;H7&amp;" protokolidan ko'chirma"</f>
        <v>№656-XT protokolidan ko'chirma</v>
      </c>
      <c r="B2" s="274"/>
      <c r="C2" s="274"/>
      <c r="D2" s="274"/>
      <c r="E2" s="274"/>
    </row>
    <row r="3" spans="1:33" ht="29.25" customHeight="1">
      <c r="A3" s="127" t="s">
        <v>203</v>
      </c>
      <c r="B3" s="50"/>
      <c r="C3" s="50"/>
      <c r="D3" s="50"/>
      <c r="E3" s="128" t="str">
        <f>malumot!B68</f>
        <v>24 mart 2025 y.</v>
      </c>
    </row>
    <row r="4" spans="1:33" ht="29.25" customHeight="1">
      <c r="A4" s="50"/>
      <c r="B4" s="274" t="s">
        <v>202</v>
      </c>
      <c r="C4" s="274"/>
      <c r="D4" s="274"/>
      <c r="E4" s="50"/>
    </row>
    <row r="5" spans="1:33" ht="36" customHeight="1">
      <c r="A5" s="272" t="str">
        <f>"         "&amp;H8&amp;"."&amp;malumot!B5&amp;" ga "&amp;malumot!B65&amp;" berish masalasini ko‘rib chiqish to‘g‘risida."</f>
        <v xml:space="preserve">         1.XUDAYQULOV FAZLIDDIN SAIDOVICH ga mikroqarz berish masalasini ko‘rib chiqish to‘g‘risida.</v>
      </c>
      <c r="B5" s="272"/>
      <c r="C5" s="272"/>
      <c r="D5" s="272"/>
      <c r="E5" s="272"/>
    </row>
    <row r="7" spans="1:33" ht="21" customHeight="1">
      <c r="A7" s="267" t="str">
        <f>"      "&amp;H9&amp;" masala yuzasidan: «Clever Mikromoliya Tashkiloti» MChJ mikromoliya tashkiloti kredit bo‘yicha menejeri  "&amp;malumot!B5&amp;"ga "&amp;FIXED(malumot!B75)&amp;" ("&amp;malumot!B76&amp;") so‘m miqdorida, muddati "&amp;malumot!B81&amp;" ("&amp;malumot!B82&amp;") oyga va yillik 60 (Oltmish) foiz miqdorida "&amp;malumot!B65&amp;" berich bo‘yicha "&amp;malumot!B5&amp;"ning kredit arizasi va "&amp;malumot!B153&amp;"ning xulosasi bilan ishtirokchilarni tanishtirdi."</f>
        <v xml:space="preserve">      Birinchi masala yuzasidan: «Clever Mikromoliya Tashkiloti» MChJ mikromoliya tashkiloti kredit bo‘yicha menejeri  XUDAYQULOV FAZLIDDIN SAIDOVICHga 35 000 000,00 (o'ttiz besh million so'm) so‘m miqdorida, muddati 24 (yigirma to'rt) oyga va yillik 60 (Oltmish) foiz miqdorida mikroqarz berich bo‘yicha XUDAYQULOV FAZLIDDIN SAIDOVICHning kredit arizasi va «CLEVER MIKROMOLIYA TASHKILOTI» MChJning xulosasi bilan ishtirokchilarni tanishtirdi.</v>
      </c>
      <c r="B7" s="267"/>
      <c r="C7" s="267"/>
      <c r="D7" s="267"/>
      <c r="E7" s="267"/>
      <c r="G7" s="62" t="s">
        <v>257</v>
      </c>
      <c r="H7" s="63" t="str">
        <f>malumot!B1</f>
        <v>№656-XT</v>
      </c>
    </row>
    <row r="8" spans="1:33" ht="23.25">
      <c r="A8" s="267"/>
      <c r="B8" s="267"/>
      <c r="C8" s="267"/>
      <c r="D8" s="267"/>
      <c r="E8" s="267"/>
      <c r="G8" s="62" t="s">
        <v>258</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67"/>
      <c r="B9" s="267"/>
      <c r="C9" s="267"/>
      <c r="D9" s="267"/>
      <c r="E9" s="267"/>
      <c r="G9" s="62" t="s">
        <v>259</v>
      </c>
      <c r="H9" s="63" t="str">
        <f>IF(H8=I8,I9,IF(H8=J8,J9,IF(H8=K8,K9,IF(H8=L8,L9,IF(H8=M8,M9,IF(H8=N8,N9,IF(H8=O8,O9,IF(H8=P8,P9,IF(H8=Q8,Q9,IF(H8=R8,R9,IF(H8=S8,S9,IF(H8=T8,T9,IF(H8=U8,U9,IF(H8=V8,V9,IF(H8=W8,W9,IF(H8=X8,X9,IF(H8=Y8,Y9,IF(H8=Z8,Z9,IF(H8=AA8,AA9,IF(H8=AB8,AB9,IF(H8=AC8,AC9,IF(H8=AD8,AD9,IF(H8=AE8,AE9,IF(H8=AF8,AF9,IF(H8=AG8,AG9)))))))))))))))))))))))))</f>
        <v>Birinchi</v>
      </c>
      <c r="I9" s="146" t="s">
        <v>190</v>
      </c>
      <c r="J9" s="147" t="s">
        <v>191</v>
      </c>
      <c r="K9" s="147" t="s">
        <v>192</v>
      </c>
      <c r="L9" s="147" t="s">
        <v>368</v>
      </c>
      <c r="M9" s="147" t="s">
        <v>193</v>
      </c>
      <c r="N9" s="147" t="s">
        <v>369</v>
      </c>
      <c r="O9" s="147" t="s">
        <v>194</v>
      </c>
      <c r="P9" s="147" t="s">
        <v>195</v>
      </c>
      <c r="Q9" s="147" t="s">
        <v>196</v>
      </c>
      <c r="R9" s="147" t="s">
        <v>358</v>
      </c>
      <c r="S9" s="147" t="s">
        <v>359</v>
      </c>
      <c r="T9" s="147" t="s">
        <v>360</v>
      </c>
      <c r="U9" s="147" t="s">
        <v>361</v>
      </c>
      <c r="V9" s="147" t="s">
        <v>370</v>
      </c>
      <c r="W9" s="147" t="s">
        <v>362</v>
      </c>
      <c r="X9" s="147" t="s">
        <v>363</v>
      </c>
      <c r="Y9" s="147" t="s">
        <v>364</v>
      </c>
      <c r="Z9" s="147" t="s">
        <v>365</v>
      </c>
      <c r="AA9" s="147" t="s">
        <v>366</v>
      </c>
      <c r="AB9" s="147" t="s">
        <v>197</v>
      </c>
      <c r="AC9" s="147" t="s">
        <v>198</v>
      </c>
      <c r="AD9" s="147" t="s">
        <v>199</v>
      </c>
      <c r="AE9" s="147" t="s">
        <v>200</v>
      </c>
      <c r="AF9" s="147" t="s">
        <v>367</v>
      </c>
      <c r="AG9" s="147" t="s">
        <v>201</v>
      </c>
    </row>
    <row r="10" spans="1:33" ht="10.5" hidden="1" customHeight="1">
      <c r="A10" s="267"/>
      <c r="B10" s="267"/>
      <c r="C10" s="267"/>
      <c r="D10" s="267"/>
      <c r="E10" s="267"/>
    </row>
    <row r="11" spans="1:33" ht="9" hidden="1" customHeight="1">
      <c r="A11" s="267"/>
      <c r="B11" s="267"/>
      <c r="C11" s="267"/>
      <c r="D11" s="267"/>
      <c r="E11" s="267"/>
    </row>
    <row r="12" spans="1:33" ht="3" hidden="1" customHeight="1">
      <c r="A12" s="267"/>
      <c r="B12" s="267"/>
      <c r="C12" s="267"/>
      <c r="D12" s="267"/>
      <c r="E12" s="267"/>
    </row>
    <row r="13" spans="1:33" ht="7.5" customHeight="1"/>
    <row r="14" spans="1:33" ht="15.75" customHeight="1">
      <c r="A14" s="268" t="str">
        <f>""&amp;malumot!C64&amp;" ta’minoti:"</f>
        <v>Mikroqarz ta’minoti:</v>
      </c>
      <c r="B14" s="268"/>
      <c r="C14" s="268"/>
      <c r="D14" s="268"/>
      <c r="E14" s="268"/>
    </row>
    <row r="15" spans="1:33" ht="7.5" customHeight="1"/>
    <row r="16" spans="1:33" ht="57" customHeight="1">
      <c r="A16" s="267" t="str">
        <f>xulosa!A18:E18</f>
        <v xml:space="preserve">  Egalik huquqi XUDAYKULOV MAVLUDDIN SAIDOVICHga tegishli bo'lgan garovga olingan avtomobil markasi   CHEVROLET DAMAS, rangi -  OQ BELAYA, ishlab chiqarilgan yili - 2019, davlat raqam belgisi 85O912KA, kuzov turi - YENGIL SEDAN, kuzov raqami XWB7T12YDKP150990, dvigatel raqami F8CB191310207, shassi raqami - RAKAMSIZ</v>
      </c>
      <c r="B16" s="267"/>
      <c r="C16" s="267"/>
      <c r="D16" s="267"/>
      <c r="E16" s="267"/>
    </row>
    <row r="17" spans="1:5" ht="17.25" customHeight="1">
      <c r="C17" s="148" t="s">
        <v>377</v>
      </c>
      <c r="D17" s="148" t="str">
        <f>""&amp;malumot!B153&amp;" kredit qo‘mitasi"</f>
        <v>«CLEVER MIKROMOLIYA TASHKILOTI» MChJ kredit qo‘mitasi</v>
      </c>
      <c r="E17" s="148"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67"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67"/>
      <c r="C18" s="267"/>
      <c r="D18" s="267"/>
      <c r="E18" s="267"/>
    </row>
    <row r="19" spans="1:5" ht="24" customHeight="1">
      <c r="A19" s="275" t="s">
        <v>260</v>
      </c>
      <c r="B19" s="275"/>
      <c r="C19" s="275"/>
      <c r="D19" s="275"/>
      <c r="E19" s="275"/>
    </row>
    <row r="20" spans="1:5" ht="32.25" customHeight="1">
      <c r="A20" s="267" t="str">
        <f>"       "&amp;malumot!B5&amp;"ga quyidagi shartlarda "&amp;malumot!B65&amp;" berish masalasi ma’qullansin:"</f>
        <v xml:space="preserve">       XUDAYQULOV FAZLIDDIN SAIDOVICHga quyidagi shartlarda mikroqarz berish masalasi ma’qullansin:</v>
      </c>
      <c r="B20" s="267"/>
      <c r="C20" s="267"/>
      <c r="D20" s="267"/>
      <c r="E20" s="267"/>
    </row>
    <row r="21" spans="1:5" s="129" customFormat="1" ht="18.75" customHeight="1">
      <c r="A21" s="272" t="str">
        <f>"1. "&amp;malumot!C64&amp;" summasi: "&amp;FIXED(malumot!B75)&amp;" ("&amp;malumot!B76&amp;") so'm."</f>
        <v>1. Mikroqarz summasi: 35 000 000,00 (o'ttiz besh million so'm) so'm.</v>
      </c>
      <c r="B21" s="272"/>
      <c r="C21" s="272"/>
      <c r="D21" s="272"/>
      <c r="E21" s="272"/>
    </row>
    <row r="22" spans="1:5" s="129" customFormat="1" ht="18.75" customHeight="1">
      <c r="A22" s="272" t="str">
        <f>"2. "&amp;malumot!C64&amp;" muddati: "&amp;malumot!B81&amp;" ("&amp;malumot!B82&amp;") oy "</f>
        <v xml:space="preserve">2. Mikroqarz muddati: 24 (yigirma to'rt) oy </v>
      </c>
      <c r="B22" s="272"/>
      <c r="C22" s="272"/>
      <c r="D22" s="272"/>
      <c r="E22" s="272"/>
    </row>
    <row r="23" spans="1:5" s="129" customFormat="1" ht="18.75" customHeight="1">
      <c r="A23" s="272" t="str">
        <f>"3. "&amp;malumot!C64&amp;"dan foydalanganlik uchun foiz stavkasi:yillik "&amp;malumot!B85&amp;"% ("&amp;malumot!B86&amp;") foiz."</f>
        <v>3. Mikroqarzdan foydalanganlik uchun foiz stavkasi:yillik 60% (Oltmish) foiz.</v>
      </c>
      <c r="B23" s="272"/>
      <c r="C23" s="272"/>
      <c r="D23" s="272"/>
      <c r="E23" s="272"/>
    </row>
    <row r="24" spans="1:5" s="129" customFormat="1" ht="18.75" customHeight="1">
      <c r="A24" s="272" t="str">
        <f>"4. "&amp;malumot!C64&amp;" bo‘yicha asosiy qarz va foizlarni to‘lash:"</f>
        <v>4. Mikroqarz bo‘yicha asosiy qarz va foizlarni to‘lash:</v>
      </c>
      <c r="B24" s="272"/>
      <c r="C24" s="272"/>
      <c r="D24" s="272"/>
      <c r="E24" s="272"/>
    </row>
    <row r="25" spans="1:5" s="129" customFormat="1" ht="18.75" customHeight="1">
      <c r="A25" s="272" t="str">
        <f>'Кредитная заявка'!A19:D19</f>
        <v xml:space="preserve"> - mikroqarz shartnomasi bo'yicha har oy differensial to'lovlari amalga oshiriladi</v>
      </c>
      <c r="B25" s="272"/>
      <c r="C25" s="272"/>
      <c r="D25" s="272"/>
      <c r="E25" s="272"/>
    </row>
    <row r="26" spans="1:5" ht="48" customHeight="1">
      <c r="A26" s="267" t="str">
        <f>"5. "&amp;malumot!C64&amp;" bo‘yicha garov  "&amp;xulosa!A29:E29&amp;""</f>
        <v>5. Mikroqarz bo‘yicha garov   - XUDAYKULOV MAVLUDDIN SAIDOVICH ga mulk huquqi asosida tegishli avtotransport vositasi CHEVROLET DAMAS , quyidagi tafsilotlarga muvofiq:</v>
      </c>
      <c r="B26" s="267"/>
      <c r="C26" s="267"/>
      <c r="D26" s="267"/>
      <c r="E26" s="267"/>
    </row>
    <row r="27" spans="1:5" ht="40.5" customHeight="1">
      <c r="A27" s="17" t="str">
        <f>dalolatnoma!A29</f>
        <v>Nomi</v>
      </c>
      <c r="B27" s="17" t="str">
        <f>dalolatnoma!B29</f>
        <v>Kuzov turi  va kuzov raqami*</v>
      </c>
      <c r="C27" s="17" t="str">
        <f>dalolatnoma!C29</f>
        <v>Dvigatel va shassi raqami*</v>
      </c>
      <c r="D27" s="17" t="str">
        <f>dalolatnoma!D29</f>
        <v>Ishlab chiqarilgan yili va rangi*</v>
      </c>
      <c r="E27" s="17" t="str">
        <f>dalolatnoma!E29</f>
        <v>Kelishilgan garov qiymati, so'm</v>
      </c>
    </row>
    <row r="28" spans="1:5" ht="84" customHeight="1">
      <c r="A28" s="17" t="str">
        <f>dalolatnoma!A30</f>
        <v>CHEVROLET DAMAS</v>
      </c>
      <c r="B28" s="17" t="str">
        <f>dalolatnoma!B30</f>
        <v>kuzov turi - YENGIL SEDAN, kuzov raqami XWB7T12YDKP150990</v>
      </c>
      <c r="C28" s="17" t="str">
        <f>dalolatnoma!C30</f>
        <v>dvigatel raqami F8CB191310207, shassi raqami - RAKAMSIZ</v>
      </c>
      <c r="D28" s="17" t="str">
        <f>dalolatnoma!D30</f>
        <v>rangi -  OQ BELAYA, ishlab chiqarilgan yili - 2019</v>
      </c>
      <c r="E28" s="17" t="str">
        <f>dalolatnoma!E30</f>
        <v>52 500 000,00 
(ellik ikki million besh yuz ming so'm)</v>
      </c>
    </row>
    <row r="29" spans="1:5" ht="20.25" customHeight="1">
      <c r="A29" s="267" t="str">
        <f>dalolatnoma!A22:E22</f>
        <v>-* avtotransport egasi: XUDAYKULOV MAVLUDDIN SAIDOVICH</v>
      </c>
      <c r="B29" s="267"/>
      <c r="C29" s="267"/>
      <c r="D29" s="267"/>
      <c r="E29" s="267"/>
    </row>
    <row r="30" spans="1:5" ht="20.25" customHeight="1">
      <c r="A30" s="267" t="str">
        <f>dalolatnoma!A23:E23</f>
        <v>-* texnik pasport: AAG 0638366    21.12.2022</v>
      </c>
      <c r="B30" s="267"/>
      <c r="C30" s="267"/>
      <c r="D30" s="267"/>
      <c r="E30" s="267"/>
    </row>
    <row r="31" spans="1:5" ht="22.5" customHeight="1">
      <c r="A31" s="267" t="str">
        <f>dalolatnoma!A24:E24</f>
        <v>-* roʻyxatdan oʻtgan manzili/garaj manzili: NAVOIY VILOYATI XATIRCHI TUMANI YANGIRABOD MAHALLASI 105-UY</v>
      </c>
      <c r="B31" s="267"/>
      <c r="C31" s="267"/>
      <c r="D31" s="267"/>
      <c r="E31" s="267"/>
    </row>
    <row r="32" spans="1:5" ht="25.5" customHeight="1">
      <c r="A32" s="267" t="str">
        <f>dalolatnoma!A25:E25</f>
        <v>-* davlat raqami: 85O912KA</v>
      </c>
      <c r="B32" s="267"/>
      <c r="C32" s="267"/>
      <c r="D32" s="267"/>
      <c r="E32" s="267"/>
    </row>
    <row r="33" spans="1:5" ht="12" customHeight="1">
      <c r="A33" s="130"/>
      <c r="B33" s="130"/>
      <c r="C33" s="130"/>
      <c r="D33" s="130"/>
      <c r="E33" s="130"/>
    </row>
    <row r="34" spans="1:5" ht="20.25" customHeight="1">
      <c r="A34" s="267" t="str">
        <f>"6. Boshqa shartlar – "&amp;IF(malumot!B109=malumot!B110,"avtotransport vositasi",IF(malumot!B109=malumot!C110,"ko'chmas mulk",0))&amp;" shaklida garov ta'minlangandan keyin "&amp;malumot!B65&amp;" berish."</f>
        <v>6. Boshqa shartlar – 0 shaklida garov ta'minlangandan keyin mikroqarz berish.</v>
      </c>
      <c r="B34" s="267"/>
      <c r="C34" s="267"/>
      <c r="D34" s="267"/>
      <c r="E34" s="267"/>
    </row>
    <row r="36" spans="1:5" ht="29.25" customHeight="1">
      <c r="A36" s="273" t="s">
        <v>261</v>
      </c>
      <c r="B36" s="273"/>
      <c r="C36" s="273"/>
      <c r="D36" s="273"/>
      <c r="E36" s="273"/>
    </row>
    <row r="37" spans="1:5" ht="33" customHeight="1">
      <c r="A37" s="37"/>
      <c r="B37" s="270" t="str">
        <f>malumot!B153&amp;" ijrochi direktori"</f>
        <v>«CLEVER MIKROMOLIYA TASHKILOTI» MChJ ijrochi direktori</v>
      </c>
      <c r="C37" s="270"/>
      <c r="D37" s="246" t="s">
        <v>396</v>
      </c>
      <c r="E37" s="243"/>
    </row>
    <row r="38" spans="1:5" ht="18.75" customHeight="1">
      <c r="A38" s="212"/>
      <c r="B38" s="271" t="str">
        <f>malumot!A165</f>
        <v>Kreditlash bo’limi boshlig’i</v>
      </c>
      <c r="C38" s="271"/>
      <c r="D38" s="247" t="str">
        <f>malumot!B165</f>
        <v>B. Mominov</v>
      </c>
      <c r="E38" s="244"/>
    </row>
    <row r="39" spans="1:5" ht="23.25" customHeight="1">
      <c r="A39" s="37"/>
      <c r="B39" s="272" t="str">
        <f>malumot!A166</f>
        <v>Monitoring bo’limi boshlig’i</v>
      </c>
      <c r="C39" s="272"/>
      <c r="D39" s="127" t="str">
        <f>malumot!B166</f>
        <v>B. Jumanazarov</v>
      </c>
      <c r="E39" s="245"/>
    </row>
  </sheetData>
  <mergeCells count="25">
    <mergeCell ref="A22:E22"/>
    <mergeCell ref="A1:E1"/>
    <mergeCell ref="A2:E2"/>
    <mergeCell ref="B4:D4"/>
    <mergeCell ref="A5:E5"/>
    <mergeCell ref="A7:E12"/>
    <mergeCell ref="A14:E14"/>
    <mergeCell ref="A16:E16"/>
    <mergeCell ref="A18:E18"/>
    <mergeCell ref="A19:E19"/>
    <mergeCell ref="A20:E20"/>
    <mergeCell ref="A21:E21"/>
    <mergeCell ref="B37:C37"/>
    <mergeCell ref="B38:C38"/>
    <mergeCell ref="B39:C39"/>
    <mergeCell ref="A23:E23"/>
    <mergeCell ref="A24:E24"/>
    <mergeCell ref="A25:E25"/>
    <mergeCell ref="A36:E36"/>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3"/>
    <col min="2" max="2" width="12.28515625" style="83" customWidth="1"/>
    <col min="3" max="3" width="16.5703125" style="83" customWidth="1"/>
    <col min="4" max="4" width="16.7109375" style="83" customWidth="1"/>
    <col min="5" max="5" width="16.5703125" style="83" customWidth="1"/>
    <col min="6" max="6" width="20.85546875" style="83" customWidth="1"/>
    <col min="7" max="7" width="10.140625" style="83" customWidth="1" outlineLevel="1"/>
    <col min="8" max="8" width="19.140625" style="83" customWidth="1"/>
    <col min="9" max="9" width="21.42578125" style="83" customWidth="1"/>
    <col min="10" max="10" width="20.85546875" style="83" customWidth="1"/>
    <col min="11" max="11" width="20.140625" style="83" customWidth="1"/>
    <col min="12" max="12" width="21.42578125" style="83" customWidth="1"/>
    <col min="13" max="13" width="25.42578125" style="83" customWidth="1"/>
    <col min="14" max="14" width="18.28515625" style="83" customWidth="1"/>
    <col min="15" max="17" width="9.140625" style="15"/>
    <col min="18" max="18" width="24.42578125" style="15" customWidth="1"/>
    <col min="19" max="16384" width="9.140625" style="15"/>
  </cols>
  <sheetData>
    <row r="1" spans="1:22">
      <c r="A1" s="82"/>
      <c r="B1" s="82"/>
      <c r="C1" s="82"/>
      <c r="D1" s="82"/>
      <c r="E1" s="285" t="s">
        <v>16</v>
      </c>
      <c r="F1" s="285"/>
    </row>
    <row r="2" spans="1:22">
      <c r="A2" s="82"/>
      <c r="B2" s="82"/>
      <c r="C2" s="82"/>
      <c r="D2" s="82"/>
      <c r="E2" s="82"/>
      <c r="F2" s="84" t="str">
        <f>"к договору микрозайма "&amp;malumot!B74&amp;""</f>
        <v>к договору микрозайма 24 mart 2025 y.dan №656-XT</v>
      </c>
    </row>
    <row r="3" spans="1:22" ht="19.5" customHeight="1">
      <c r="A3" s="82"/>
      <c r="B3" s="82"/>
      <c r="C3" s="82"/>
      <c r="D3" s="82"/>
      <c r="E3" s="82"/>
      <c r="F3" s="82"/>
      <c r="H3" s="85"/>
      <c r="I3" s="85"/>
      <c r="J3" s="86"/>
      <c r="K3" s="86"/>
    </row>
    <row r="4" spans="1:22" ht="19.5" customHeight="1">
      <c r="A4" s="286" t="s">
        <v>17</v>
      </c>
      <c r="B4" s="286"/>
      <c r="C4" s="286"/>
      <c r="D4" s="286"/>
      <c r="E4" s="286"/>
      <c r="F4" s="286"/>
      <c r="H4" s="85"/>
      <c r="I4" s="85"/>
      <c r="J4" s="85"/>
      <c r="K4" s="85"/>
    </row>
    <row r="5" spans="1:22" ht="19.5" customHeight="1">
      <c r="L5" s="83">
        <f>malumot!B81</f>
        <v>24</v>
      </c>
    </row>
    <row r="6" spans="1:22">
      <c r="A6" s="287" t="s">
        <v>15</v>
      </c>
      <c r="B6" s="288" t="s">
        <v>9</v>
      </c>
      <c r="C6" s="288" t="s">
        <v>10</v>
      </c>
      <c r="D6" s="289" t="s">
        <v>11</v>
      </c>
      <c r="E6" s="289"/>
      <c r="F6" s="289"/>
    </row>
    <row r="7" spans="1:22" s="16" customFormat="1">
      <c r="A7" s="287"/>
      <c r="B7" s="288"/>
      <c r="C7" s="288"/>
      <c r="D7" s="87" t="s">
        <v>12</v>
      </c>
      <c r="E7" s="87" t="s">
        <v>13</v>
      </c>
      <c r="F7" s="87" t="s">
        <v>14</v>
      </c>
      <c r="G7" s="88"/>
      <c r="H7" s="88"/>
      <c r="I7" s="88"/>
      <c r="J7" s="88"/>
      <c r="K7" s="88"/>
      <c r="L7" s="88"/>
      <c r="M7" s="88"/>
      <c r="N7" s="88"/>
    </row>
    <row r="8" spans="1:22">
      <c r="A8" s="89">
        <v>1</v>
      </c>
      <c r="B8" s="90">
        <f>malumot!B79</f>
        <v>45762</v>
      </c>
      <c r="C8" s="51">
        <f>malumot!B75</f>
        <v>35000000</v>
      </c>
      <c r="D8" s="51">
        <f>IF(IF(C8=0,L8,IF(C8&gt;1,I8))="",0,(IF(C8=0,L8,IF(C8&gt;1,I8))))</f>
        <v>1458333.33</v>
      </c>
      <c r="E8" s="51">
        <f>IF(C8=0,N6,IF(C8&gt;1,L8))</f>
        <v>1265753.5</v>
      </c>
      <c r="F8" s="51">
        <f>IF(C8=0,O6,IF(C8&gt;1,M8))</f>
        <v>2724086.83</v>
      </c>
      <c r="G8" s="103">
        <f>B8-malumot!B67</f>
        <v>22</v>
      </c>
      <c r="H8" s="83">
        <f>DATE(YEAR(B8),12,31)-DATE(YEAR(B8),1,1)+1</f>
        <v>365</v>
      </c>
      <c r="I8" s="91">
        <f>IF(malumot!B83=0,ROUND(C8/L5,2),"")</f>
        <v>1458333.33</v>
      </c>
      <c r="J8" s="91"/>
      <c r="K8" s="91"/>
      <c r="L8" s="85">
        <f>ROUND(C8*malumot!$B$84/H8,2)*G8</f>
        <v>1265753.5</v>
      </c>
      <c r="M8" s="85">
        <f t="shared" ref="M8:M31" si="0">D8+E8</f>
        <v>2724086.83</v>
      </c>
      <c r="N8" s="85"/>
      <c r="O8" s="100" t="str">
        <f>TEXT(B8,"ддд")</f>
        <v>Вт</v>
      </c>
      <c r="P8" s="102">
        <f>IF(O8=$U$8,2,IF(O8=$V$8,1,0))</f>
        <v>0</v>
      </c>
      <c r="Q8" s="102">
        <f>DAY(malumot!$B$78)+P8</f>
        <v>15</v>
      </c>
      <c r="R8" s="97"/>
      <c r="S8" s="98" t="s">
        <v>32</v>
      </c>
      <c r="T8" s="98" t="s">
        <v>33</v>
      </c>
      <c r="U8" s="98" t="s">
        <v>34</v>
      </c>
      <c r="V8" s="99" t="s">
        <v>35</v>
      </c>
    </row>
    <row r="9" spans="1:22">
      <c r="A9" s="89">
        <v>2</v>
      </c>
      <c r="B9" s="90">
        <f>IF(A9&lt;=malumot!$B$81,DATE(YEAR(R9),MONTH(R9),DAY(IF(A9=malumot!$B$81,malumot!$B$67,IF(A9&lt;malumot!$B$81,(Q9),IF(A9&gt;malumot!$B$81,$H$44,0))))))</f>
        <v>45792</v>
      </c>
      <c r="C9" s="51">
        <f t="shared" ref="C9:C30" si="1">C8-D8</f>
        <v>33541666.670000002</v>
      </c>
      <c r="D9" s="51">
        <f t="shared" ref="D9:D30" si="2">IF(C9=0,L9,IF(C9&gt;1,I9))</f>
        <v>1458333.33</v>
      </c>
      <c r="E9" s="51">
        <f t="shared" ref="E9:E30" si="3">IF(C9=0,N8,IF(C9&gt;1,L9))</f>
        <v>1654109.7</v>
      </c>
      <c r="F9" s="51">
        <f t="shared" ref="F9:F30" si="4">IF(C9=0,N8,IF(C9&gt;1,M9))</f>
        <v>3112443.0300000003</v>
      </c>
      <c r="G9" s="83">
        <f>B9-B8</f>
        <v>30</v>
      </c>
      <c r="H9" s="83">
        <f t="shared" ref="H9:H31" si="5">DATE(YEAR(B9),12,31)-DATE(YEAR(B9),1,1)+1</f>
        <v>365</v>
      </c>
      <c r="I9" s="91">
        <f>IF(I8="",ROUND(C8/(L5-1),2),I8)</f>
        <v>1458333.33</v>
      </c>
      <c r="J9" s="91"/>
      <c r="K9" s="91"/>
      <c r="L9" s="85">
        <f>ROUND(C9*malumot!$B$84/H9,2)*G9</f>
        <v>1654109.7</v>
      </c>
      <c r="M9" s="85">
        <f t="shared" si="0"/>
        <v>3112443.0300000003</v>
      </c>
      <c r="N9" s="85"/>
      <c r="O9" s="100" t="str">
        <f>TEXT(R9,"ддд")</f>
        <v>Чт</v>
      </c>
      <c r="P9" s="102">
        <f t="shared" ref="P9:P31" si="6">IF(O9=$U$8,2,IF(O9=$V$8,1,0))</f>
        <v>0</v>
      </c>
      <c r="Q9" s="102">
        <f>DAY(malumot!$B$78)+P9</f>
        <v>15</v>
      </c>
      <c r="R9" s="97">
        <f>IF(A9&lt;=malumot!$B$81,DATE(YEAR($B$8),MONTH($B$8)+A8,DAY(malumot!$B$78)),0)</f>
        <v>45792</v>
      </c>
      <c r="S9" s="83"/>
      <c r="T9" s="83"/>
      <c r="U9" s="83"/>
      <c r="V9" s="83"/>
    </row>
    <row r="10" spans="1:22">
      <c r="A10" s="89">
        <v>3</v>
      </c>
      <c r="B10" s="90">
        <f>IF(A10&lt;=malumot!$B$81,DATE(YEAR(R10),MONTH(R10),DAY(IF(A10=malumot!$B$81,malumot!$B$67,IF(A10&lt;malumot!$B$81,(Q10),IF(A10&gt;malumot!$B$81,$H$44,0))))))</f>
        <v>45824</v>
      </c>
      <c r="C10" s="51">
        <f t="shared" si="1"/>
        <v>32083333.340000004</v>
      </c>
      <c r="D10" s="51">
        <f t="shared" si="2"/>
        <v>1458333.33</v>
      </c>
      <c r="E10" s="51">
        <f t="shared" si="3"/>
        <v>1687671.36</v>
      </c>
      <c r="F10" s="51">
        <f t="shared" si="4"/>
        <v>3146004.6900000004</v>
      </c>
      <c r="G10" s="83">
        <f t="shared" ref="G10:G31" si="7">B10-B9</f>
        <v>32</v>
      </c>
      <c r="H10" s="83">
        <f t="shared" si="5"/>
        <v>365</v>
      </c>
      <c r="I10" s="91">
        <f>I9</f>
        <v>1458333.33</v>
      </c>
      <c r="J10" s="91"/>
      <c r="K10" s="91"/>
      <c r="L10" s="85">
        <f>ROUND(C10*malumot!$B$84/H10,2)*G10</f>
        <v>1687671.36</v>
      </c>
      <c r="M10" s="85">
        <f t="shared" si="0"/>
        <v>3146004.6900000004</v>
      </c>
      <c r="N10" s="85"/>
      <c r="O10" s="100" t="str">
        <f t="shared" ref="O10:O31" si="8">TEXT(R10,"ддд")</f>
        <v>Вс</v>
      </c>
      <c r="P10" s="102">
        <f t="shared" si="6"/>
        <v>1</v>
      </c>
      <c r="Q10" s="102">
        <f>DAY(malumot!$B$78)+P10</f>
        <v>16</v>
      </c>
      <c r="R10" s="97">
        <f>IF(A10&lt;=malumot!$B$81,DATE(YEAR($B$8),MONTH($B$8)+A9,DAY(malumot!$B$78)),0)</f>
        <v>45823</v>
      </c>
      <c r="S10" s="83"/>
      <c r="T10" s="83"/>
      <c r="U10" s="83"/>
      <c r="V10" s="83"/>
    </row>
    <row r="11" spans="1:22">
      <c r="A11" s="89">
        <v>4</v>
      </c>
      <c r="B11" s="90">
        <f>IF(A11&lt;=malumot!$B$81,DATE(YEAR(R11),MONTH(R11),DAY(IF(A11=malumot!$B$81,malumot!$B$67,IF(A11&lt;malumot!$B$81,(Q11),IF(A11&gt;malumot!$B$81,$H$44,0))))))</f>
        <v>45853</v>
      </c>
      <c r="C11" s="51">
        <f t="shared" si="1"/>
        <v>30625000.010000005</v>
      </c>
      <c r="D11" s="51">
        <f t="shared" si="2"/>
        <v>1458333.33</v>
      </c>
      <c r="E11" s="51">
        <f t="shared" si="3"/>
        <v>1459931.6300000001</v>
      </c>
      <c r="F11" s="51">
        <f t="shared" si="4"/>
        <v>2918264.96</v>
      </c>
      <c r="G11" s="83">
        <f t="shared" si="7"/>
        <v>29</v>
      </c>
      <c r="H11" s="83">
        <f t="shared" si="5"/>
        <v>365</v>
      </c>
      <c r="I11" s="91">
        <f>I10</f>
        <v>1458333.33</v>
      </c>
      <c r="J11" s="91"/>
      <c r="K11" s="91"/>
      <c r="L11" s="85">
        <f>ROUND(C11*malumot!$B$84/H11,2)*G11</f>
        <v>1459931.6300000001</v>
      </c>
      <c r="M11" s="85">
        <f t="shared" si="0"/>
        <v>2918264.96</v>
      </c>
      <c r="N11" s="85"/>
      <c r="O11" s="100" t="str">
        <f t="shared" si="8"/>
        <v>Вт</v>
      </c>
      <c r="P11" s="102">
        <f t="shared" si="6"/>
        <v>0</v>
      </c>
      <c r="Q11" s="102">
        <f>DAY(malumot!$B$78)+P11</f>
        <v>15</v>
      </c>
      <c r="R11" s="97">
        <f>IF(A11&lt;=malumot!$B$81,DATE(YEAR($B$8),MONTH($B$8)+A10,DAY(malumot!$B$78)),0)</f>
        <v>45853</v>
      </c>
      <c r="S11" s="83"/>
      <c r="T11" s="83"/>
      <c r="U11" s="83"/>
      <c r="V11" s="83"/>
    </row>
    <row r="12" spans="1:22">
      <c r="A12" s="89">
        <v>5</v>
      </c>
      <c r="B12" s="90">
        <f>IF(A12&lt;=malumot!$B$81,DATE(YEAR(R12),MONTH(R12),DAY(IF(A12=malumot!$B$81,malumot!$B$67,IF(A12&lt;malumot!$B$81,(Q12),IF(A12&gt;malumot!$B$81,$H$44,0))))))</f>
        <v>45884</v>
      </c>
      <c r="C12" s="51">
        <f t="shared" si="1"/>
        <v>29166666.680000007</v>
      </c>
      <c r="D12" s="51">
        <f t="shared" si="2"/>
        <v>1458333.33</v>
      </c>
      <c r="E12" s="51">
        <f t="shared" si="3"/>
        <v>1486301.51</v>
      </c>
      <c r="F12" s="51">
        <f t="shared" si="4"/>
        <v>2944634.84</v>
      </c>
      <c r="G12" s="83">
        <f t="shared" si="7"/>
        <v>31</v>
      </c>
      <c r="H12" s="83">
        <f t="shared" si="5"/>
        <v>365</v>
      </c>
      <c r="I12" s="91">
        <f>I11</f>
        <v>1458333.33</v>
      </c>
      <c r="J12" s="91">
        <f>malumot!B75</f>
        <v>35000000</v>
      </c>
      <c r="K12" s="91"/>
      <c r="L12" s="85">
        <f>ROUND(C12*malumot!$B$84/H12,2)*G12</f>
        <v>1486301.51</v>
      </c>
      <c r="M12" s="85">
        <f t="shared" si="0"/>
        <v>2944634.84</v>
      </c>
      <c r="N12" s="85"/>
      <c r="O12" s="100" t="str">
        <f t="shared" si="8"/>
        <v>Пт</v>
      </c>
      <c r="P12" s="102">
        <f t="shared" si="6"/>
        <v>0</v>
      </c>
      <c r="Q12" s="102">
        <f>DAY(malumot!$B$78)+P12</f>
        <v>15</v>
      </c>
      <c r="R12" s="97">
        <f>IF(A12&lt;=malumot!$B$81,DATE(YEAR($B$8),MONTH($B$8)+A11,DAY(malumot!$B$78)),0)</f>
        <v>45884</v>
      </c>
      <c r="S12" s="83"/>
      <c r="T12" s="83"/>
      <c r="U12" s="83"/>
      <c r="V12" s="83"/>
    </row>
    <row r="13" spans="1:22">
      <c r="A13" s="89">
        <v>6</v>
      </c>
      <c r="B13" s="90">
        <f>IF(A13&lt;=malumot!$B$81,DATE(YEAR(R13),MONTH(R13),DAY(IF(A13=malumot!$B$81,malumot!$B$67,IF(A13&lt;malumot!$B$81,(Q13),IF(A13&gt;malumot!$B$81,$H$44,0))))))</f>
        <v>45915</v>
      </c>
      <c r="C13" s="51">
        <f t="shared" si="1"/>
        <v>27708333.350000009</v>
      </c>
      <c r="D13" s="51">
        <f t="shared" si="2"/>
        <v>1458333.33</v>
      </c>
      <c r="E13" s="51">
        <f t="shared" si="3"/>
        <v>1411986.45</v>
      </c>
      <c r="F13" s="51">
        <f t="shared" si="4"/>
        <v>2870319.7800000003</v>
      </c>
      <c r="G13" s="83">
        <f t="shared" si="7"/>
        <v>31</v>
      </c>
      <c r="H13" s="83">
        <f t="shared" si="5"/>
        <v>365</v>
      </c>
      <c r="I13" s="91">
        <f>IF(L5=H1,K13,IF(L5&gt;H1,I12))</f>
        <v>1458333.33</v>
      </c>
      <c r="J13" s="91">
        <f>SUM($I$8:I12)</f>
        <v>7291666.6500000004</v>
      </c>
      <c r="K13" s="91">
        <f>$J$12-J13</f>
        <v>27708333.350000001</v>
      </c>
      <c r="L13" s="85">
        <f>ROUND(C13*malumot!$B$84/H13,2)*G13</f>
        <v>1411986.45</v>
      </c>
      <c r="M13" s="85">
        <f t="shared" si="0"/>
        <v>2870319.7800000003</v>
      </c>
      <c r="N13" s="85"/>
      <c r="O13" s="100" t="str">
        <f t="shared" si="8"/>
        <v>Пн</v>
      </c>
      <c r="P13" s="102">
        <f t="shared" si="6"/>
        <v>0</v>
      </c>
      <c r="Q13" s="102">
        <f>DAY(malumot!$B$78)+P13</f>
        <v>15</v>
      </c>
      <c r="R13" s="97">
        <f>IF(A13&lt;=malumot!$B$81,DATE(YEAR($B$8),MONTH($B$8)+A12,DAY(malumot!$B$78)),0)</f>
        <v>45915</v>
      </c>
      <c r="S13" s="83"/>
      <c r="T13" s="83"/>
      <c r="U13" s="83"/>
      <c r="V13" s="83"/>
    </row>
    <row r="14" spans="1:22">
      <c r="A14" s="89">
        <v>7</v>
      </c>
      <c r="B14" s="90">
        <f>IF(A14&lt;=malumot!$B$81,DATE(YEAR(R14),MONTH(R14),DAY(IF(A14=malumot!$B$81,malumot!$B$67,IF(A14&lt;malumot!$B$81,(Q14),IF(A14&gt;malumot!$B$81,$H$44,0))))))</f>
        <v>45945</v>
      </c>
      <c r="C14" s="51">
        <f t="shared" si="1"/>
        <v>26250000.020000011</v>
      </c>
      <c r="D14" s="51">
        <f t="shared" si="2"/>
        <v>1458333.33</v>
      </c>
      <c r="E14" s="51">
        <f t="shared" si="3"/>
        <v>1294520.3999999999</v>
      </c>
      <c r="F14" s="51">
        <f t="shared" si="4"/>
        <v>2752853.73</v>
      </c>
      <c r="G14" s="83">
        <f t="shared" si="7"/>
        <v>30</v>
      </c>
      <c r="H14" s="83">
        <f t="shared" si="5"/>
        <v>365</v>
      </c>
      <c r="I14" s="91">
        <f>IF($L$5=A14,K14,IF($L$5&gt;A14,I13))</f>
        <v>1458333.33</v>
      </c>
      <c r="J14" s="91">
        <f>SUM($I$8:I13)</f>
        <v>8749999.9800000004</v>
      </c>
      <c r="K14" s="91">
        <f t="shared" ref="K14:K31" si="9">$J$12-J14</f>
        <v>26250000.02</v>
      </c>
      <c r="L14" s="85">
        <f>ROUND(C14*malumot!$B$84/H14,2)*G14</f>
        <v>1294520.3999999999</v>
      </c>
      <c r="M14" s="85">
        <f t="shared" si="0"/>
        <v>2752853.73</v>
      </c>
      <c r="N14" s="85"/>
      <c r="O14" s="100" t="str">
        <f t="shared" si="8"/>
        <v>Ср</v>
      </c>
      <c r="P14" s="102">
        <f t="shared" si="6"/>
        <v>0</v>
      </c>
      <c r="Q14" s="102">
        <f>DAY(malumot!$B$78)+P14</f>
        <v>15</v>
      </c>
      <c r="R14" s="97">
        <f>IF(A14&lt;=malumot!$B$81,DATE(YEAR($B$8),MONTH($B$8)+A13,DAY(malumot!$B$78)),0)</f>
        <v>45945</v>
      </c>
      <c r="S14" s="83"/>
      <c r="T14" s="83"/>
      <c r="U14" s="83"/>
      <c r="V14" s="83"/>
    </row>
    <row r="15" spans="1:22">
      <c r="A15" s="89">
        <v>8</v>
      </c>
      <c r="B15" s="90">
        <f>IF(A15&lt;=malumot!$B$81,DATE(YEAR(R15),MONTH(R15),DAY(IF(A15=malumot!$B$81,malumot!$B$67,IF(A15&lt;malumot!$B$81,(Q15),IF(A15&gt;malumot!$B$81,$H$44,0))))))</f>
        <v>45978</v>
      </c>
      <c r="C15" s="51">
        <f t="shared" si="1"/>
        <v>24791666.690000013</v>
      </c>
      <c r="D15" s="51">
        <f t="shared" si="2"/>
        <v>1458333.33</v>
      </c>
      <c r="E15" s="51">
        <f t="shared" si="3"/>
        <v>1344862.8599999999</v>
      </c>
      <c r="F15" s="51">
        <f t="shared" si="4"/>
        <v>2803196.19</v>
      </c>
      <c r="G15" s="83">
        <f t="shared" si="7"/>
        <v>33</v>
      </c>
      <c r="H15" s="83">
        <f t="shared" si="5"/>
        <v>365</v>
      </c>
      <c r="I15" s="91">
        <f t="shared" ref="I15:I31" si="10">IF($L$5=A15,K15,IF($L$5&gt;A15,I14))</f>
        <v>1458333.33</v>
      </c>
      <c r="J15" s="91">
        <f>SUM($I$8:I14)</f>
        <v>10208333.310000001</v>
      </c>
      <c r="K15" s="91">
        <f t="shared" si="9"/>
        <v>24791666.689999998</v>
      </c>
      <c r="L15" s="85">
        <f>ROUND(C15*malumot!$B$84/H15,2)*G15</f>
        <v>1344862.8599999999</v>
      </c>
      <c r="M15" s="85">
        <f t="shared" si="0"/>
        <v>2803196.19</v>
      </c>
      <c r="N15" s="85"/>
      <c r="O15" s="100" t="str">
        <f t="shared" si="8"/>
        <v>Сб</v>
      </c>
      <c r="P15" s="102">
        <f t="shared" si="6"/>
        <v>2</v>
      </c>
      <c r="Q15" s="102">
        <f>DAY(malumot!$B$78)+P15</f>
        <v>17</v>
      </c>
      <c r="R15" s="97">
        <f>IF(A15&lt;=malumot!$B$81,DATE(YEAR($B$8),MONTH($B$8)+A14,DAY(malumot!$B$78)),0)</f>
        <v>45976</v>
      </c>
      <c r="S15" s="83"/>
      <c r="T15" s="83"/>
      <c r="U15" s="83"/>
      <c r="V15" s="83"/>
    </row>
    <row r="16" spans="1:22">
      <c r="A16" s="89">
        <v>9</v>
      </c>
      <c r="B16" s="90">
        <f>IF(A16&lt;=malumot!$B$81,DATE(YEAR(R16),MONTH(R16),DAY(IF(A16=malumot!$B$81,malumot!$B$67,IF(A16&lt;malumot!$B$81,(Q16),IF(A16&gt;malumot!$B$81,$H$44,0))))))</f>
        <v>46006</v>
      </c>
      <c r="C16" s="51">
        <f t="shared" si="1"/>
        <v>23333333.360000014</v>
      </c>
      <c r="D16" s="51">
        <f t="shared" si="2"/>
        <v>1458333.33</v>
      </c>
      <c r="E16" s="51">
        <f t="shared" si="3"/>
        <v>1073972.48</v>
      </c>
      <c r="F16" s="51">
        <f t="shared" si="4"/>
        <v>2532305.81</v>
      </c>
      <c r="G16" s="83">
        <f t="shared" si="7"/>
        <v>28</v>
      </c>
      <c r="H16" s="83">
        <f t="shared" si="5"/>
        <v>365</v>
      </c>
      <c r="I16" s="91">
        <f t="shared" si="10"/>
        <v>1458333.33</v>
      </c>
      <c r="J16" s="91">
        <f>SUM($I$8:I15)</f>
        <v>11666666.640000001</v>
      </c>
      <c r="K16" s="91">
        <f t="shared" si="9"/>
        <v>23333333.359999999</v>
      </c>
      <c r="L16" s="85">
        <f>ROUND(C16*malumot!$B$84/H16,2)*G16</f>
        <v>1073972.48</v>
      </c>
      <c r="M16" s="85">
        <f t="shared" si="0"/>
        <v>2532305.81</v>
      </c>
      <c r="N16" s="85"/>
      <c r="O16" s="100" t="str">
        <f t="shared" si="8"/>
        <v>Пн</v>
      </c>
      <c r="P16" s="102">
        <f t="shared" si="6"/>
        <v>0</v>
      </c>
      <c r="Q16" s="102">
        <f>DAY(malumot!$B$78)+P16</f>
        <v>15</v>
      </c>
      <c r="R16" s="97">
        <f>IF(A16&lt;=malumot!$B$81,DATE(YEAR($B$8),MONTH($B$8)+A15,DAY(malumot!$B$78)),0)</f>
        <v>46006</v>
      </c>
      <c r="S16" s="83"/>
      <c r="T16" s="83"/>
      <c r="U16" s="83"/>
      <c r="V16" s="83"/>
    </row>
    <row r="17" spans="1:22">
      <c r="A17" s="89">
        <v>10</v>
      </c>
      <c r="B17" s="90">
        <f>IF(A17&lt;=malumot!$B$81,DATE(YEAR(R17),MONTH(R17),DAY(IF(A17=malumot!$B$81,malumot!$B$67,IF(A17&lt;malumot!$B$81,(Q17),IF(A17&gt;malumot!$B$81,$H$44,0))))))</f>
        <v>46037</v>
      </c>
      <c r="C17" s="51">
        <f t="shared" si="1"/>
        <v>21875000.030000016</v>
      </c>
      <c r="D17" s="51">
        <f t="shared" si="2"/>
        <v>1458333.33</v>
      </c>
      <c r="E17" s="51">
        <f t="shared" si="3"/>
        <v>1114725.9000000001</v>
      </c>
      <c r="F17" s="51">
        <f t="shared" si="4"/>
        <v>2573059.2300000004</v>
      </c>
      <c r="G17" s="83">
        <f t="shared" si="7"/>
        <v>31</v>
      </c>
      <c r="H17" s="83">
        <f t="shared" si="5"/>
        <v>365</v>
      </c>
      <c r="I17" s="91">
        <f t="shared" si="10"/>
        <v>1458333.33</v>
      </c>
      <c r="J17" s="91">
        <f>SUM($I$8:I16)</f>
        <v>13124999.970000001</v>
      </c>
      <c r="K17" s="91">
        <f>$J$12-J17</f>
        <v>21875000.030000001</v>
      </c>
      <c r="L17" s="85">
        <f>ROUND(C17*malumot!$B$84/H17,2)*G17</f>
        <v>1114725.9000000001</v>
      </c>
      <c r="M17" s="85">
        <f t="shared" si="0"/>
        <v>2573059.2300000004</v>
      </c>
      <c r="N17" s="85"/>
      <c r="O17" s="100" t="str">
        <f t="shared" si="8"/>
        <v>Чт</v>
      </c>
      <c r="P17" s="102">
        <f t="shared" si="6"/>
        <v>0</v>
      </c>
      <c r="Q17" s="102">
        <f>DAY(malumot!$B$78)+P17</f>
        <v>15</v>
      </c>
      <c r="R17" s="97">
        <f>IF(A17&lt;=malumot!$B$81,DATE(YEAR($B$8),MONTH($B$8)+A16,DAY(malumot!$B$78)),0)</f>
        <v>46037</v>
      </c>
      <c r="S17" s="83"/>
      <c r="T17" s="83"/>
      <c r="U17" s="83"/>
      <c r="V17" s="83"/>
    </row>
    <row r="18" spans="1:22">
      <c r="A18" s="89">
        <v>11</v>
      </c>
      <c r="B18" s="90">
        <f>IF(A18&lt;=malumot!$B$81,DATE(YEAR(R18),MONTH(R18),DAY(IF(A18=malumot!$B$81,malumot!$B$67,IF(A18&lt;malumot!$B$81,(Q18),IF(A18&gt;malumot!$B$81,$H$44,0))))))</f>
        <v>46069</v>
      </c>
      <c r="C18" s="51">
        <f t="shared" si="1"/>
        <v>20416666.700000018</v>
      </c>
      <c r="D18" s="51">
        <f t="shared" si="2"/>
        <v>1458333.33</v>
      </c>
      <c r="E18" s="51">
        <f t="shared" si="3"/>
        <v>1073972.48</v>
      </c>
      <c r="F18" s="51">
        <f t="shared" si="4"/>
        <v>2532305.81</v>
      </c>
      <c r="G18" s="83">
        <f t="shared" si="7"/>
        <v>32</v>
      </c>
      <c r="H18" s="83">
        <f t="shared" si="5"/>
        <v>365</v>
      </c>
      <c r="I18" s="91">
        <f t="shared" si="10"/>
        <v>1458333.33</v>
      </c>
      <c r="J18" s="91">
        <f>SUM($I$8:I17)</f>
        <v>14583333.300000001</v>
      </c>
      <c r="K18" s="91">
        <f t="shared" si="9"/>
        <v>20416666.699999999</v>
      </c>
      <c r="L18" s="85">
        <f>ROUND(C18*malumot!$B$84/H18,2)*G18</f>
        <v>1073972.48</v>
      </c>
      <c r="M18" s="85">
        <f t="shared" si="0"/>
        <v>2532305.81</v>
      </c>
      <c r="N18" s="85"/>
      <c r="O18" s="100" t="str">
        <f t="shared" si="8"/>
        <v>Вс</v>
      </c>
      <c r="P18" s="102">
        <f t="shared" si="6"/>
        <v>1</v>
      </c>
      <c r="Q18" s="102">
        <f>DAY(malumot!$B$78)+P18</f>
        <v>16</v>
      </c>
      <c r="R18" s="97">
        <f>IF(A18&lt;=malumot!$B$81,DATE(YEAR($B$8),MONTH($B$8)+A17,DAY(malumot!$B$78)),0)</f>
        <v>46068</v>
      </c>
      <c r="S18" s="83"/>
      <c r="T18" s="83"/>
      <c r="U18" s="83"/>
      <c r="V18" s="83"/>
    </row>
    <row r="19" spans="1:22">
      <c r="A19" s="89">
        <v>12</v>
      </c>
      <c r="B19" s="90">
        <f>IF(A19&lt;=malumot!$B$81,DATE(YEAR(R19),MONTH(R19),DAY(IF(A19=malumot!$B$81,malumot!$B$67,IF(A19&lt;malumot!$B$81,(Q19),IF(A19&gt;malumot!$B$81,$H$44,0))))))</f>
        <v>46097</v>
      </c>
      <c r="C19" s="51">
        <f t="shared" si="1"/>
        <v>18958333.37000002</v>
      </c>
      <c r="D19" s="51">
        <f t="shared" si="2"/>
        <v>1458333.33</v>
      </c>
      <c r="E19" s="51">
        <f t="shared" si="3"/>
        <v>872602.64</v>
      </c>
      <c r="F19" s="51">
        <f t="shared" si="4"/>
        <v>2330935.9700000002</v>
      </c>
      <c r="G19" s="83">
        <f t="shared" si="7"/>
        <v>28</v>
      </c>
      <c r="H19" s="83">
        <f t="shared" si="5"/>
        <v>365</v>
      </c>
      <c r="I19" s="91">
        <f t="shared" si="10"/>
        <v>1458333.33</v>
      </c>
      <c r="J19" s="91">
        <f>SUM($I$8:I18)</f>
        <v>16041666.630000001</v>
      </c>
      <c r="K19" s="91">
        <f t="shared" si="9"/>
        <v>18958333.369999997</v>
      </c>
      <c r="L19" s="85">
        <f>ROUND(C19*malumot!$B$84/H19,2)*G19</f>
        <v>872602.64</v>
      </c>
      <c r="M19" s="85">
        <f t="shared" si="0"/>
        <v>2330935.9700000002</v>
      </c>
      <c r="N19" s="85"/>
      <c r="O19" s="100" t="str">
        <f t="shared" si="8"/>
        <v>Вс</v>
      </c>
      <c r="P19" s="102">
        <f t="shared" si="6"/>
        <v>1</v>
      </c>
      <c r="Q19" s="102">
        <f>DAY(malumot!$B$78)+P19</f>
        <v>16</v>
      </c>
      <c r="R19" s="97">
        <f>IF(A19&lt;=malumot!$B$81,DATE(YEAR($B$8),MONTH($B$8)+A18,DAY(malumot!$B$78)),0)</f>
        <v>46096</v>
      </c>
      <c r="S19" s="83"/>
      <c r="T19" s="83"/>
      <c r="U19" s="83"/>
      <c r="V19" s="83"/>
    </row>
    <row r="20" spans="1:22">
      <c r="A20" s="89">
        <v>13</v>
      </c>
      <c r="B20" s="90">
        <f>IF(A20&lt;=malumot!$B$81,DATE(YEAR(R20),MONTH(R20),DAY(IF(A20=malumot!$B$81,malumot!$B$67,IF(A20&lt;malumot!$B$81,(Q20),IF(A20&gt;malumot!$B$81,$H$44,0))))))</f>
        <v>46127</v>
      </c>
      <c r="C20" s="51">
        <f t="shared" si="1"/>
        <v>17500000.040000021</v>
      </c>
      <c r="D20" s="51">
        <f t="shared" si="2"/>
        <v>1458333.33</v>
      </c>
      <c r="E20" s="51">
        <f t="shared" si="3"/>
        <v>863013.6</v>
      </c>
      <c r="F20" s="51">
        <f t="shared" si="4"/>
        <v>2321346.9300000002</v>
      </c>
      <c r="G20" s="83">
        <f t="shared" si="7"/>
        <v>30</v>
      </c>
      <c r="H20" s="83">
        <f t="shared" si="5"/>
        <v>365</v>
      </c>
      <c r="I20" s="91">
        <f t="shared" si="10"/>
        <v>1458333.33</v>
      </c>
      <c r="J20" s="91">
        <f>SUM($I$8:I19)</f>
        <v>17499999.960000001</v>
      </c>
      <c r="K20" s="91">
        <f>$J$12-J20</f>
        <v>17500000.039999999</v>
      </c>
      <c r="L20" s="85">
        <f>ROUND(C20*malumot!$B$84/H20,2)*G20</f>
        <v>863013.6</v>
      </c>
      <c r="M20" s="85">
        <f t="shared" si="0"/>
        <v>2321346.9300000002</v>
      </c>
      <c r="N20" s="85"/>
      <c r="O20" s="100" t="str">
        <f t="shared" si="8"/>
        <v>Ср</v>
      </c>
      <c r="P20" s="102">
        <f t="shared" si="6"/>
        <v>0</v>
      </c>
      <c r="Q20" s="102">
        <f>DAY(malumot!$B$78)+P20</f>
        <v>15</v>
      </c>
      <c r="R20" s="97">
        <f>IF(A20&lt;=malumot!$B$81,DATE(YEAR($B$8),MONTH($B$8)+A19,DAY(malumot!$B$78)),0)</f>
        <v>46127</v>
      </c>
      <c r="S20" s="83"/>
      <c r="T20" s="83"/>
      <c r="U20" s="83"/>
      <c r="V20" s="83"/>
    </row>
    <row r="21" spans="1:22">
      <c r="A21" s="89">
        <v>14</v>
      </c>
      <c r="B21" s="90">
        <f>IF(A21&lt;=malumot!$B$81,DATE(YEAR(R21),MONTH(R21),DAY(IF(A21=malumot!$B$81,malumot!$B$67,IF(A21&lt;malumot!$B$81,(Q21),IF(A21&gt;malumot!$B$81,$H$44,0))))))</f>
        <v>46157</v>
      </c>
      <c r="C21" s="51">
        <f t="shared" si="1"/>
        <v>16041666.710000021</v>
      </c>
      <c r="D21" s="51">
        <f t="shared" si="2"/>
        <v>1458333.33</v>
      </c>
      <c r="E21" s="51">
        <f t="shared" si="3"/>
        <v>791095.8</v>
      </c>
      <c r="F21" s="51">
        <f t="shared" si="4"/>
        <v>2249429.13</v>
      </c>
      <c r="G21" s="83">
        <f t="shared" si="7"/>
        <v>30</v>
      </c>
      <c r="H21" s="83">
        <f t="shared" si="5"/>
        <v>365</v>
      </c>
      <c r="I21" s="91">
        <f t="shared" si="10"/>
        <v>1458333.33</v>
      </c>
      <c r="J21" s="91">
        <f>SUM($I$8:I20)</f>
        <v>18958333.289999999</v>
      </c>
      <c r="K21" s="91">
        <f t="shared" si="9"/>
        <v>16041666.710000001</v>
      </c>
      <c r="L21" s="85">
        <f>ROUND(C21*malumot!$B$84/H21,2)*G21</f>
        <v>791095.8</v>
      </c>
      <c r="M21" s="85">
        <f t="shared" si="0"/>
        <v>2249429.13</v>
      </c>
      <c r="N21" s="85"/>
      <c r="O21" s="100" t="str">
        <f t="shared" si="8"/>
        <v>Пт</v>
      </c>
      <c r="P21" s="102">
        <f t="shared" si="6"/>
        <v>0</v>
      </c>
      <c r="Q21" s="102">
        <f>DAY(malumot!$B$78)+P21</f>
        <v>15</v>
      </c>
      <c r="R21" s="97">
        <f>IF(A21&lt;=malumot!$B$81,DATE(YEAR($B$8),MONTH($B$8)+A20,DAY(malumot!$B$78)),0)</f>
        <v>46157</v>
      </c>
      <c r="S21" s="83"/>
      <c r="T21" s="83"/>
      <c r="U21" s="83"/>
      <c r="V21" s="83"/>
    </row>
    <row r="22" spans="1:22">
      <c r="A22" s="89">
        <v>15</v>
      </c>
      <c r="B22" s="90">
        <f>IF(A22&lt;=malumot!$B$81,DATE(YEAR(R22),MONTH(R22),DAY(IF(A22=malumot!$B$81,malumot!$B$67,IF(A22&lt;malumot!$B$81,(Q22),IF(A22&gt;malumot!$B$81,$H$44,0))))))</f>
        <v>46188</v>
      </c>
      <c r="C22" s="51">
        <f t="shared" si="1"/>
        <v>14583333.380000021</v>
      </c>
      <c r="D22" s="51">
        <f t="shared" si="2"/>
        <v>1458333.33</v>
      </c>
      <c r="E22" s="51">
        <f t="shared" si="3"/>
        <v>743150.6</v>
      </c>
      <c r="F22" s="51">
        <f t="shared" si="4"/>
        <v>2201483.9300000002</v>
      </c>
      <c r="G22" s="83">
        <f t="shared" si="7"/>
        <v>31</v>
      </c>
      <c r="H22" s="83">
        <f t="shared" si="5"/>
        <v>365</v>
      </c>
      <c r="I22" s="91">
        <f t="shared" si="10"/>
        <v>1458333.33</v>
      </c>
      <c r="J22" s="91">
        <f>SUM($I$8:I21)</f>
        <v>20416666.619999997</v>
      </c>
      <c r="K22" s="91">
        <f t="shared" si="9"/>
        <v>14583333.380000003</v>
      </c>
      <c r="L22" s="85">
        <f>ROUND(C22*malumot!$B$84/H22,2)*G22</f>
        <v>743150.6</v>
      </c>
      <c r="M22" s="85">
        <f t="shared" si="0"/>
        <v>2201483.9300000002</v>
      </c>
      <c r="N22" s="85"/>
      <c r="O22" s="100" t="str">
        <f t="shared" si="8"/>
        <v>Пн</v>
      </c>
      <c r="P22" s="102">
        <f t="shared" si="6"/>
        <v>0</v>
      </c>
      <c r="Q22" s="102">
        <f>DAY(malumot!$B$78)+P22</f>
        <v>15</v>
      </c>
      <c r="R22" s="97">
        <f>IF(A22&lt;=malumot!$B$81,DATE(YEAR($B$8),MONTH($B$8)+A21,DAY(malumot!$B$78)),0)</f>
        <v>46188</v>
      </c>
      <c r="S22" s="83"/>
      <c r="T22" s="83"/>
      <c r="U22" s="83"/>
      <c r="V22" s="83"/>
    </row>
    <row r="23" spans="1:22">
      <c r="A23" s="89">
        <v>16</v>
      </c>
      <c r="B23" s="90">
        <f>IF(A23&lt;=malumot!$B$81,DATE(YEAR(R23),MONTH(R23),DAY(IF(A23=malumot!$B$81,malumot!$B$67,IF(A23&lt;malumot!$B$81,(Q23),IF(A23&gt;malumot!$B$81,$H$44,0))))))</f>
        <v>46218</v>
      </c>
      <c r="C23" s="51">
        <f t="shared" si="1"/>
        <v>13125000.050000021</v>
      </c>
      <c r="D23" s="51">
        <f t="shared" si="2"/>
        <v>1458333.33</v>
      </c>
      <c r="E23" s="51">
        <f t="shared" si="3"/>
        <v>647260.19999999995</v>
      </c>
      <c r="F23" s="51">
        <f t="shared" si="4"/>
        <v>2105593.5300000003</v>
      </c>
      <c r="G23" s="83">
        <f t="shared" si="7"/>
        <v>30</v>
      </c>
      <c r="H23" s="83">
        <f t="shared" si="5"/>
        <v>365</v>
      </c>
      <c r="I23" s="91">
        <f t="shared" si="10"/>
        <v>1458333.33</v>
      </c>
      <c r="J23" s="91">
        <f>SUM($I$8:I22)</f>
        <v>21874999.949999996</v>
      </c>
      <c r="K23" s="91">
        <f t="shared" si="9"/>
        <v>13125000.050000004</v>
      </c>
      <c r="L23" s="85">
        <f>ROUND(C23*malumot!$B$84/H23,2)*G23</f>
        <v>647260.19999999995</v>
      </c>
      <c r="M23" s="85">
        <f t="shared" si="0"/>
        <v>2105593.5300000003</v>
      </c>
      <c r="N23" s="85"/>
      <c r="O23" s="100" t="str">
        <f t="shared" si="8"/>
        <v>Ср</v>
      </c>
      <c r="P23" s="102">
        <f t="shared" si="6"/>
        <v>0</v>
      </c>
      <c r="Q23" s="102">
        <f>DAY(malumot!$B$78)+P23</f>
        <v>15</v>
      </c>
      <c r="R23" s="97">
        <f>IF(A23&lt;=malumot!$B$81,DATE(YEAR($B$8),MONTH($B$8)+A22,DAY(malumot!$B$78)),0)</f>
        <v>46218</v>
      </c>
      <c r="S23" s="83"/>
      <c r="T23" s="83"/>
      <c r="U23" s="83"/>
      <c r="V23" s="83"/>
    </row>
    <row r="24" spans="1:22">
      <c r="A24" s="89">
        <v>17</v>
      </c>
      <c r="B24" s="90">
        <f>IF(A24&lt;=malumot!$B$81,DATE(YEAR(R24),MONTH(R24),DAY(IF(A24=malumot!$B$81,malumot!$B$67,IF(A24&lt;malumot!$B$81,(Q24),IF(A24&gt;malumot!$B$81,$H$44,0))))))</f>
        <v>46251</v>
      </c>
      <c r="C24" s="51">
        <f t="shared" si="1"/>
        <v>11666666.720000021</v>
      </c>
      <c r="D24" s="51">
        <f t="shared" si="2"/>
        <v>1458333.33</v>
      </c>
      <c r="E24" s="51">
        <f t="shared" si="3"/>
        <v>632876.64</v>
      </c>
      <c r="F24" s="51">
        <f t="shared" si="4"/>
        <v>2091209.9700000002</v>
      </c>
      <c r="G24" s="83">
        <f t="shared" si="7"/>
        <v>33</v>
      </c>
      <c r="H24" s="83">
        <f t="shared" si="5"/>
        <v>365</v>
      </c>
      <c r="I24" s="91">
        <f t="shared" si="10"/>
        <v>1458333.33</v>
      </c>
      <c r="J24" s="91">
        <f>SUM($I$8:I23)</f>
        <v>23333333.279999994</v>
      </c>
      <c r="K24" s="91">
        <f t="shared" si="9"/>
        <v>11666666.720000006</v>
      </c>
      <c r="L24" s="85">
        <f>ROUND(C24*malumot!$B$84/H24,2)*G24</f>
        <v>632876.64</v>
      </c>
      <c r="M24" s="85">
        <f t="shared" si="0"/>
        <v>2091209.9700000002</v>
      </c>
      <c r="N24" s="85"/>
      <c r="O24" s="100" t="str">
        <f t="shared" si="8"/>
        <v>Сб</v>
      </c>
      <c r="P24" s="102">
        <f t="shared" si="6"/>
        <v>2</v>
      </c>
      <c r="Q24" s="102">
        <f>DAY(malumot!$B$78)+P24</f>
        <v>17</v>
      </c>
      <c r="R24" s="97">
        <f>IF(A24&lt;=malumot!$B$81,DATE(YEAR($B$8),MONTH($B$8)+A23,DAY(malumot!$B$78)),0)</f>
        <v>46249</v>
      </c>
      <c r="S24" s="83"/>
      <c r="T24" s="83"/>
      <c r="U24" s="83"/>
      <c r="V24" s="83"/>
    </row>
    <row r="25" spans="1:22">
      <c r="A25" s="89">
        <v>18</v>
      </c>
      <c r="B25" s="90">
        <f>IF(A25&lt;=malumot!$B$81,DATE(YEAR(R25),MONTH(R25),DAY(IF(A25=malumot!$B$81,malumot!$B$67,IF(A25&lt;malumot!$B$81,(Q25),IF(A25&gt;malumot!$B$81,$H$44,0))))))</f>
        <v>46280</v>
      </c>
      <c r="C25" s="51">
        <f t="shared" si="1"/>
        <v>10208333.390000021</v>
      </c>
      <c r="D25" s="51">
        <f t="shared" si="2"/>
        <v>1458333.33</v>
      </c>
      <c r="E25" s="51">
        <f t="shared" si="3"/>
        <v>486643.77999999997</v>
      </c>
      <c r="F25" s="51">
        <f t="shared" si="4"/>
        <v>1944977.11</v>
      </c>
      <c r="G25" s="83">
        <f t="shared" si="7"/>
        <v>29</v>
      </c>
      <c r="H25" s="83">
        <f t="shared" si="5"/>
        <v>365</v>
      </c>
      <c r="I25" s="91">
        <f t="shared" si="10"/>
        <v>1458333.33</v>
      </c>
      <c r="J25" s="91">
        <f>SUM($I$8:I24)</f>
        <v>24791666.609999992</v>
      </c>
      <c r="K25" s="91">
        <f t="shared" si="9"/>
        <v>10208333.390000008</v>
      </c>
      <c r="L25" s="85">
        <f>ROUND(C25*malumot!$B$84/H25,2)*G25</f>
        <v>486643.77999999997</v>
      </c>
      <c r="M25" s="85">
        <f t="shared" si="0"/>
        <v>1944977.11</v>
      </c>
      <c r="N25" s="85"/>
      <c r="O25" s="100" t="str">
        <f t="shared" si="8"/>
        <v>Вт</v>
      </c>
      <c r="P25" s="102">
        <f t="shared" si="6"/>
        <v>0</v>
      </c>
      <c r="Q25" s="102">
        <f>DAY(malumot!$B$78)+P25</f>
        <v>15</v>
      </c>
      <c r="R25" s="97">
        <f>IF(A25&lt;=malumot!$B$81,DATE(YEAR($B$8),MONTH($B$8)+A24,DAY(malumot!$B$78)),0)</f>
        <v>46280</v>
      </c>
      <c r="S25" s="83"/>
      <c r="T25" s="83"/>
      <c r="U25" s="83"/>
      <c r="V25" s="83"/>
    </row>
    <row r="26" spans="1:22">
      <c r="A26" s="89">
        <v>19</v>
      </c>
      <c r="B26" s="90">
        <f>IF(A26&lt;=malumot!$B$81,DATE(YEAR(R26),MONTH(R26),DAY(IF(A26=malumot!$B$81,malumot!$B$67,IF(A26&lt;malumot!$B$81,(Q26),IF(A26&gt;malumot!$B$81,$H$44,0))))))</f>
        <v>46310</v>
      </c>
      <c r="C26" s="51">
        <f t="shared" si="1"/>
        <v>8750000.060000021</v>
      </c>
      <c r="D26" s="51">
        <f t="shared" si="2"/>
        <v>1458333.33</v>
      </c>
      <c r="E26" s="51">
        <f t="shared" si="3"/>
        <v>431506.8</v>
      </c>
      <c r="F26" s="51">
        <f t="shared" si="4"/>
        <v>1889840.1300000001</v>
      </c>
      <c r="G26" s="83">
        <f t="shared" si="7"/>
        <v>30</v>
      </c>
      <c r="H26" s="83">
        <f t="shared" si="5"/>
        <v>365</v>
      </c>
      <c r="I26" s="91">
        <f t="shared" si="10"/>
        <v>1458333.33</v>
      </c>
      <c r="J26" s="91">
        <f>SUM($I$8:I25)</f>
        <v>26249999.93999999</v>
      </c>
      <c r="K26" s="91">
        <f t="shared" si="9"/>
        <v>8750000.0600000098</v>
      </c>
      <c r="L26" s="85">
        <f>ROUND(C26*malumot!$B$84/H26,2)*G26</f>
        <v>431506.8</v>
      </c>
      <c r="M26" s="85">
        <f t="shared" si="0"/>
        <v>1889840.1300000001</v>
      </c>
      <c r="N26" s="85"/>
      <c r="O26" s="100" t="str">
        <f t="shared" si="8"/>
        <v>Чт</v>
      </c>
      <c r="P26" s="102">
        <f t="shared" si="6"/>
        <v>0</v>
      </c>
      <c r="Q26" s="102">
        <f>DAY(malumot!$B$78)+P26</f>
        <v>15</v>
      </c>
      <c r="R26" s="97">
        <f>IF(A26&lt;=malumot!$B$81,DATE(YEAR($B$8),MONTH($B$8)+A25,DAY(malumot!$B$78)),0)</f>
        <v>46310</v>
      </c>
      <c r="S26" s="83"/>
      <c r="T26" s="83"/>
      <c r="U26" s="83"/>
      <c r="V26" s="83"/>
    </row>
    <row r="27" spans="1:22">
      <c r="A27" s="89">
        <v>20</v>
      </c>
      <c r="B27" s="90">
        <f>IF(A27&lt;=malumot!$B$81,DATE(YEAR(R27),MONTH(R27),DAY(IF(A27=malumot!$B$81,malumot!$B$67,IF(A27&lt;malumot!$B$81,(Q27),IF(A27&gt;malumot!$B$81,$H$44,0))))))</f>
        <v>46342</v>
      </c>
      <c r="C27" s="51">
        <f t="shared" si="1"/>
        <v>7291666.7300000209</v>
      </c>
      <c r="D27" s="51">
        <f t="shared" si="2"/>
        <v>1458333.33</v>
      </c>
      <c r="E27" s="51">
        <f t="shared" si="3"/>
        <v>383561.6</v>
      </c>
      <c r="F27" s="51">
        <f t="shared" si="4"/>
        <v>1841894.9300000002</v>
      </c>
      <c r="G27" s="83">
        <f t="shared" si="7"/>
        <v>32</v>
      </c>
      <c r="H27" s="83">
        <f t="shared" si="5"/>
        <v>365</v>
      </c>
      <c r="I27" s="91">
        <f t="shared" si="10"/>
        <v>1458333.33</v>
      </c>
      <c r="J27" s="91">
        <f>SUM($I$8:I26)</f>
        <v>27708333.269999988</v>
      </c>
      <c r="K27" s="91">
        <f t="shared" si="9"/>
        <v>7291666.7300000116</v>
      </c>
      <c r="L27" s="85">
        <f>ROUND(C27*malumot!$B$84/H27,2)*G27</f>
        <v>383561.6</v>
      </c>
      <c r="M27" s="85">
        <f t="shared" si="0"/>
        <v>1841894.9300000002</v>
      </c>
      <c r="N27" s="85"/>
      <c r="O27" s="100" t="str">
        <f t="shared" si="8"/>
        <v>Вс</v>
      </c>
      <c r="P27" s="102">
        <f t="shared" si="6"/>
        <v>1</v>
      </c>
      <c r="Q27" s="102">
        <f>DAY(malumot!$B$78)+P27</f>
        <v>16</v>
      </c>
      <c r="R27" s="97">
        <f>IF(A27&lt;=malumot!$B$81,DATE(YEAR($B$8),MONTH($B$8)+A26,DAY(malumot!$B$78)),0)</f>
        <v>46341</v>
      </c>
      <c r="S27" s="83"/>
      <c r="T27" s="83"/>
      <c r="U27" s="83"/>
      <c r="V27" s="83"/>
    </row>
    <row r="28" spans="1:22">
      <c r="A28" s="89">
        <v>21</v>
      </c>
      <c r="B28" s="90">
        <f>IF(A28&lt;=malumot!$B$81,DATE(YEAR(R28),MONTH(R28),DAY(IF(A28=malumot!$B$81,malumot!$B$67,IF(A28&lt;malumot!$B$81,(Q28),IF(A28&gt;malumot!$B$81,$H$44,0))))))</f>
        <v>46371</v>
      </c>
      <c r="C28" s="51">
        <f t="shared" si="1"/>
        <v>5833333.4000000209</v>
      </c>
      <c r="D28" s="51">
        <f t="shared" si="2"/>
        <v>1458333.33</v>
      </c>
      <c r="E28" s="51">
        <f t="shared" si="3"/>
        <v>278082.16000000003</v>
      </c>
      <c r="F28" s="51">
        <f t="shared" si="4"/>
        <v>1736415.4900000002</v>
      </c>
      <c r="G28" s="83">
        <f t="shared" si="7"/>
        <v>29</v>
      </c>
      <c r="H28" s="83">
        <f t="shared" si="5"/>
        <v>365</v>
      </c>
      <c r="I28" s="91">
        <f t="shared" si="10"/>
        <v>1458333.33</v>
      </c>
      <c r="J28" s="91">
        <f>SUM($I$8:I27)</f>
        <v>29166666.599999987</v>
      </c>
      <c r="K28" s="91">
        <f t="shared" si="9"/>
        <v>5833333.4000000134</v>
      </c>
      <c r="L28" s="85">
        <f>ROUND(C28*malumot!$B$84/H28,2)*G28</f>
        <v>278082.16000000003</v>
      </c>
      <c r="M28" s="85">
        <f t="shared" si="0"/>
        <v>1736415.4900000002</v>
      </c>
      <c r="N28" s="85"/>
      <c r="O28" s="100" t="str">
        <f t="shared" si="8"/>
        <v>Вт</v>
      </c>
      <c r="P28" s="102">
        <f t="shared" si="6"/>
        <v>0</v>
      </c>
      <c r="Q28" s="102">
        <f>DAY(malumot!$B$78)+P28</f>
        <v>15</v>
      </c>
      <c r="R28" s="97">
        <f>IF(A28&lt;=malumot!$B$81,DATE(YEAR($B$8),MONTH($B$8)+A27,DAY(malumot!$B$78)),0)</f>
        <v>46371</v>
      </c>
      <c r="S28" s="83"/>
      <c r="T28" s="83"/>
      <c r="U28" s="83"/>
      <c r="V28" s="83"/>
    </row>
    <row r="29" spans="1:22">
      <c r="A29" s="89">
        <v>22</v>
      </c>
      <c r="B29" s="90">
        <f>IF(A29&lt;=malumot!$B$81,DATE(YEAR(R29),MONTH(R29),DAY(IF(A29=malumot!$B$81,malumot!$B$67,IF(A29&lt;malumot!$B$81,(Q29),IF(A29&gt;malumot!$B$81,$H$44,0))))))</f>
        <v>46402</v>
      </c>
      <c r="C29" s="51">
        <f t="shared" si="1"/>
        <v>4375000.0700000208</v>
      </c>
      <c r="D29" s="51">
        <f t="shared" si="2"/>
        <v>1458333.33</v>
      </c>
      <c r="E29" s="51">
        <f t="shared" si="3"/>
        <v>222945.18</v>
      </c>
      <c r="F29" s="51">
        <f t="shared" si="4"/>
        <v>1681278.51</v>
      </c>
      <c r="G29" s="83">
        <f t="shared" si="7"/>
        <v>31</v>
      </c>
      <c r="H29" s="83">
        <f t="shared" si="5"/>
        <v>365</v>
      </c>
      <c r="I29" s="91">
        <f t="shared" si="10"/>
        <v>1458333.33</v>
      </c>
      <c r="J29" s="91">
        <f>SUM($I$8:I28)</f>
        <v>30624999.929999985</v>
      </c>
      <c r="K29" s="91">
        <f t="shared" si="9"/>
        <v>4375000.0700000152</v>
      </c>
      <c r="L29" s="85">
        <f>ROUND(C29*malumot!$B$84/H29,2)*G29</f>
        <v>222945.18</v>
      </c>
      <c r="M29" s="85">
        <f t="shared" si="0"/>
        <v>1681278.51</v>
      </c>
      <c r="N29" s="85"/>
      <c r="O29" s="100" t="str">
        <f t="shared" si="8"/>
        <v>Пт</v>
      </c>
      <c r="P29" s="102">
        <f t="shared" si="6"/>
        <v>0</v>
      </c>
      <c r="Q29" s="102">
        <f>DAY(malumot!$B$78)+P29</f>
        <v>15</v>
      </c>
      <c r="R29" s="97">
        <f>IF(A29&lt;=malumot!$B$81,DATE(YEAR($B$8),MONTH($B$8)+A28,DAY(malumot!$B$78)),0)</f>
        <v>46402</v>
      </c>
      <c r="S29" s="83"/>
      <c r="T29" s="83"/>
      <c r="U29" s="83"/>
      <c r="V29" s="83"/>
    </row>
    <row r="30" spans="1:22">
      <c r="A30" s="89">
        <v>23</v>
      </c>
      <c r="B30" s="90">
        <f>IF(A30&lt;=malumot!$B$81,DATE(YEAR(R30),MONTH(R30),DAY(IF(A30=malumot!$B$81,malumot!$B$67,IF(A30&lt;malumot!$B$81,(Q30),IF(A30&gt;malumot!$B$81,$H$44,0))))))</f>
        <v>46433</v>
      </c>
      <c r="C30" s="51">
        <f t="shared" si="1"/>
        <v>2916666.7400000207</v>
      </c>
      <c r="D30" s="51">
        <f t="shared" si="2"/>
        <v>1458333.33</v>
      </c>
      <c r="E30" s="51">
        <f t="shared" si="3"/>
        <v>148630.12000000002</v>
      </c>
      <c r="F30" s="51">
        <f t="shared" si="4"/>
        <v>1606963.4500000002</v>
      </c>
      <c r="G30" s="83">
        <f t="shared" si="7"/>
        <v>31</v>
      </c>
      <c r="H30" s="83">
        <f t="shared" si="5"/>
        <v>365</v>
      </c>
      <c r="I30" s="91">
        <f t="shared" si="10"/>
        <v>1458333.33</v>
      </c>
      <c r="J30" s="91">
        <f>SUM($I$8:I29)</f>
        <v>32083333.259999983</v>
      </c>
      <c r="K30" s="91">
        <f t="shared" si="9"/>
        <v>2916666.740000017</v>
      </c>
      <c r="L30" s="85">
        <f>ROUND(C30*malumot!$B$84/H30,2)*G30</f>
        <v>148630.12000000002</v>
      </c>
      <c r="M30" s="85">
        <f t="shared" si="0"/>
        <v>1606963.4500000002</v>
      </c>
      <c r="N30" s="85"/>
      <c r="O30" s="100" t="str">
        <f t="shared" si="8"/>
        <v>Пн</v>
      </c>
      <c r="P30" s="102">
        <f t="shared" si="6"/>
        <v>0</v>
      </c>
      <c r="Q30" s="102">
        <f>DAY(malumot!$B$78)+P30</f>
        <v>15</v>
      </c>
      <c r="R30" s="97">
        <f>IF(A30&lt;=malumot!$B$81,DATE(YEAR($B$8),MONTH($B$8)+A29,DAY(malumot!$B$78)),0)</f>
        <v>46433</v>
      </c>
      <c r="S30" s="83"/>
      <c r="T30" s="83"/>
      <c r="U30" s="83"/>
      <c r="V30" s="83"/>
    </row>
    <row r="31" spans="1:22">
      <c r="A31" s="89">
        <v>24</v>
      </c>
      <c r="B31" s="90">
        <f>IF(A31&lt;=malumot!$B$81,DATE(YEAR(R31),MONTH(R31),DAY(IF(A31=malumot!$B$81,malumot!$B$67,IF(A31&lt;malumot!$B$81,(Q31),IF(A31&gt;malumot!$B$81,$H$44,0))))))</f>
        <v>46470</v>
      </c>
      <c r="C31" s="51">
        <f t="shared" ref="C31" si="11">C30-D30</f>
        <v>1458333.4100000206</v>
      </c>
      <c r="D31" s="51">
        <f t="shared" ref="D31" si="12">IF(C31=0,L31,IF(C31&gt;1,I31))</f>
        <v>1458333.4100000188</v>
      </c>
      <c r="E31" s="51">
        <f t="shared" ref="E31" si="13">IF(C31=0,N30,IF(C31&gt;1,L31))</f>
        <v>88698.62000000001</v>
      </c>
      <c r="F31" s="51">
        <f t="shared" ref="F31" si="14">IF(C31=0,N30,IF(C31&gt;1,M31))</f>
        <v>1547032.0300000189</v>
      </c>
      <c r="G31" s="83">
        <f t="shared" si="7"/>
        <v>37</v>
      </c>
      <c r="H31" s="83">
        <f t="shared" si="5"/>
        <v>365</v>
      </c>
      <c r="I31" s="91">
        <f t="shared" si="10"/>
        <v>1458333.4100000188</v>
      </c>
      <c r="J31" s="91">
        <f>SUM($I$8:I30)</f>
        <v>33541666.589999981</v>
      </c>
      <c r="K31" s="91">
        <f t="shared" si="9"/>
        <v>1458333.4100000188</v>
      </c>
      <c r="L31" s="85">
        <f>ROUND(C31*malumot!$B$84/H31,2)*G31</f>
        <v>88698.62000000001</v>
      </c>
      <c r="M31" s="85">
        <f t="shared" si="0"/>
        <v>1547032.0300000189</v>
      </c>
      <c r="N31" s="85"/>
      <c r="O31" s="100" t="str">
        <f t="shared" si="8"/>
        <v>Пн</v>
      </c>
      <c r="P31" s="102">
        <f t="shared" si="6"/>
        <v>0</v>
      </c>
      <c r="Q31" s="102">
        <f>DAY(malumot!$B$78)+P31</f>
        <v>15</v>
      </c>
      <c r="R31" s="97">
        <f>IF(A31&lt;=malumot!$B$81,DATE(YEAR($B$8),MONTH($B$8)+A30,DAY(malumot!$B$78)),0)</f>
        <v>46461</v>
      </c>
      <c r="S31" s="83"/>
      <c r="T31" s="83"/>
      <c r="U31" s="83"/>
      <c r="V31" s="83"/>
    </row>
    <row r="32" spans="1:22">
      <c r="A32" s="89">
        <f>1+A31</f>
        <v>25</v>
      </c>
      <c r="B32" s="90" t="b">
        <f>IF(A32&lt;=malumot!$B$81,DATE(YEAR(R32),MONTH(R32),DAY(IF(A32=malumot!$B$81,malumot!$B$67,IF(A32&lt;malumot!$B$81,(Q32),IF(A32&gt;malumot!$B$81,$H$44,0))))))</f>
        <v>0</v>
      </c>
      <c r="C32" s="51">
        <f t="shared" ref="C32:C42" si="15">C31-D31</f>
        <v>1.862645149230957E-9</v>
      </c>
      <c r="D32" s="51" t="b">
        <f t="shared" ref="D32:D42" si="16">IF(C32=0,L32,IF(C32&gt;1,I32))</f>
        <v>0</v>
      </c>
      <c r="E32" s="51" t="b">
        <f t="shared" ref="E32:E42" si="17">IF(C32=0,N31,IF(C32&gt;1,L32))</f>
        <v>0</v>
      </c>
      <c r="F32" s="51" t="b">
        <f t="shared" ref="F32:F42" si="18">IF(C32=0,N31,IF(C32&gt;1,M32))</f>
        <v>0</v>
      </c>
      <c r="G32" s="83">
        <f t="shared" ref="G32:G42" si="19">B32-B31</f>
        <v>-46470</v>
      </c>
      <c r="H32" s="83">
        <f t="shared" ref="H32:H42" si="20">DATE(YEAR(B32),12,31)-DATE(YEAR(B32),1,1)+1</f>
        <v>366</v>
      </c>
      <c r="I32" s="91" t="b">
        <f t="shared" ref="I32:I42" si="21">IF($L$5=A32,K32,IF($L$5&gt;A32,I31))</f>
        <v>0</v>
      </c>
      <c r="J32" s="91">
        <f>SUM($I$8:I31)</f>
        <v>35000000</v>
      </c>
      <c r="K32" s="91">
        <f t="shared" ref="K32:K42" si="22">$J$12-J32</f>
        <v>0</v>
      </c>
      <c r="L32" s="85">
        <f>ROUND(C32*malumot!$B$84/H32,2)*G32</f>
        <v>0</v>
      </c>
      <c r="M32" s="85">
        <f t="shared" ref="M32:M42" si="23">D32+E32</f>
        <v>0</v>
      </c>
      <c r="N32" s="85"/>
      <c r="O32" s="100" t="str">
        <f t="shared" ref="O32:O42" si="24">TEXT(R32,"ддд")</f>
        <v>Сб</v>
      </c>
      <c r="P32" s="102">
        <f t="shared" ref="P32:P42" si="25">IF(O32=$U$8,2,IF(O32=$V$8,1,0))</f>
        <v>2</v>
      </c>
      <c r="Q32" s="102">
        <f>DAY(malumot!$B$78)+P32</f>
        <v>17</v>
      </c>
      <c r="R32" s="97">
        <f>IF(A32&lt;=malumot!$B$81,DATE(YEAR($B$8),MONTH($B$8)+A31,DAY(malumot!$B$78)),0)</f>
        <v>0</v>
      </c>
      <c r="S32" s="83"/>
      <c r="T32" s="83"/>
      <c r="U32" s="83"/>
      <c r="V32" s="83"/>
    </row>
    <row r="33" spans="1:22">
      <c r="A33" s="89">
        <f t="shared" ref="A33:A42" si="26">1+A32</f>
        <v>26</v>
      </c>
      <c r="B33" s="90" t="b">
        <f>IF(A33&lt;=malumot!$B$81,DATE(YEAR(R33),MONTH(R33),DAY(IF(A33=malumot!$B$81,malumot!$B$67,IF(A33&lt;malumot!$B$81,(Q33),IF(A33&gt;malumot!$B$81,$H$44,0))))))</f>
        <v>0</v>
      </c>
      <c r="C33" s="51">
        <f t="shared" si="15"/>
        <v>1.862645149230957E-9</v>
      </c>
      <c r="D33" s="51" t="b">
        <f t="shared" si="16"/>
        <v>0</v>
      </c>
      <c r="E33" s="51" t="b">
        <f t="shared" si="17"/>
        <v>0</v>
      </c>
      <c r="F33" s="51" t="b">
        <f t="shared" si="18"/>
        <v>0</v>
      </c>
      <c r="G33" s="83">
        <f t="shared" si="19"/>
        <v>0</v>
      </c>
      <c r="H33" s="83">
        <f t="shared" si="20"/>
        <v>366</v>
      </c>
      <c r="I33" s="91" t="b">
        <f t="shared" si="21"/>
        <v>0</v>
      </c>
      <c r="J33" s="91">
        <f>SUM($I$8:I32)</f>
        <v>35000000</v>
      </c>
      <c r="K33" s="91">
        <f t="shared" si="22"/>
        <v>0</v>
      </c>
      <c r="L33" s="85">
        <f>ROUND(C33*malumot!$B$84/H33,2)*G33</f>
        <v>0</v>
      </c>
      <c r="M33" s="85">
        <f t="shared" si="23"/>
        <v>0</v>
      </c>
      <c r="N33" s="85"/>
      <c r="O33" s="100" t="str">
        <f t="shared" si="24"/>
        <v>Сб</v>
      </c>
      <c r="P33" s="102">
        <f t="shared" si="25"/>
        <v>2</v>
      </c>
      <c r="Q33" s="102">
        <f>DAY(malumot!$B$78)+P33</f>
        <v>17</v>
      </c>
      <c r="R33" s="97">
        <f>IF(A33&lt;=malumot!$B$81,DATE(YEAR($B$8),MONTH($B$8)+A32,DAY(malumot!$B$78)),0)</f>
        <v>0</v>
      </c>
      <c r="S33" s="83"/>
      <c r="T33" s="83"/>
      <c r="U33" s="83"/>
      <c r="V33" s="83"/>
    </row>
    <row r="34" spans="1:22">
      <c r="A34" s="89">
        <f t="shared" si="26"/>
        <v>27</v>
      </c>
      <c r="B34" s="90" t="b">
        <f>IF(A34&lt;=malumot!$B$81,DATE(YEAR(R34),MONTH(R34),DAY(IF(A34=malumot!$B$81,malumot!$B$67,IF(A34&lt;malumot!$B$81,(Q34),IF(A34&gt;malumot!$B$81,$H$44,0))))))</f>
        <v>0</v>
      </c>
      <c r="C34" s="51">
        <f t="shared" si="15"/>
        <v>1.862645149230957E-9</v>
      </c>
      <c r="D34" s="51" t="b">
        <f t="shared" si="16"/>
        <v>0</v>
      </c>
      <c r="E34" s="51" t="b">
        <f t="shared" si="17"/>
        <v>0</v>
      </c>
      <c r="F34" s="51" t="b">
        <f t="shared" si="18"/>
        <v>0</v>
      </c>
      <c r="G34" s="83">
        <f t="shared" si="19"/>
        <v>0</v>
      </c>
      <c r="H34" s="83">
        <f t="shared" si="20"/>
        <v>366</v>
      </c>
      <c r="I34" s="91" t="b">
        <f t="shared" si="21"/>
        <v>0</v>
      </c>
      <c r="J34" s="91">
        <f>SUM($I$8:I33)</f>
        <v>35000000</v>
      </c>
      <c r="K34" s="91">
        <f t="shared" si="22"/>
        <v>0</v>
      </c>
      <c r="L34" s="85">
        <f>ROUND(C34*malumot!$B$84/H34,2)*G34</f>
        <v>0</v>
      </c>
      <c r="M34" s="85">
        <f t="shared" si="23"/>
        <v>0</v>
      </c>
      <c r="N34" s="85"/>
      <c r="O34" s="100" t="str">
        <f t="shared" si="24"/>
        <v>Сб</v>
      </c>
      <c r="P34" s="102">
        <f t="shared" si="25"/>
        <v>2</v>
      </c>
      <c r="Q34" s="102">
        <f>DAY(malumot!$B$78)+P34</f>
        <v>17</v>
      </c>
      <c r="R34" s="97">
        <f>IF(A34&lt;=malumot!$B$81,DATE(YEAR($B$8),MONTH($B$8)+A33,DAY(malumot!$B$78)),0)</f>
        <v>0</v>
      </c>
      <c r="S34" s="83"/>
      <c r="T34" s="83"/>
      <c r="U34" s="83"/>
      <c r="V34" s="83"/>
    </row>
    <row r="35" spans="1:22">
      <c r="A35" s="89">
        <f t="shared" si="26"/>
        <v>28</v>
      </c>
      <c r="B35" s="90" t="b">
        <f>IF(A35&lt;=malumot!$B$81,DATE(YEAR(R35),MONTH(R35),DAY(IF(A35=malumot!$B$81,malumot!$B$67,IF(A35&lt;malumot!$B$81,(Q35),IF(A35&gt;malumot!$B$81,$H$44,0))))))</f>
        <v>0</v>
      </c>
      <c r="C35" s="51">
        <f t="shared" si="15"/>
        <v>1.862645149230957E-9</v>
      </c>
      <c r="D35" s="51" t="b">
        <f t="shared" si="16"/>
        <v>0</v>
      </c>
      <c r="E35" s="51" t="b">
        <f t="shared" si="17"/>
        <v>0</v>
      </c>
      <c r="F35" s="51" t="b">
        <f t="shared" si="18"/>
        <v>0</v>
      </c>
      <c r="G35" s="83">
        <f t="shared" si="19"/>
        <v>0</v>
      </c>
      <c r="H35" s="83">
        <f t="shared" si="20"/>
        <v>366</v>
      </c>
      <c r="I35" s="91" t="b">
        <f t="shared" si="21"/>
        <v>0</v>
      </c>
      <c r="J35" s="91">
        <f>SUM($I$8:I34)</f>
        <v>35000000</v>
      </c>
      <c r="K35" s="91">
        <f t="shared" si="22"/>
        <v>0</v>
      </c>
      <c r="L35" s="85">
        <f>ROUND(C35*malumot!$B$84/H35,2)*G35</f>
        <v>0</v>
      </c>
      <c r="M35" s="85">
        <f t="shared" si="23"/>
        <v>0</v>
      </c>
      <c r="N35" s="85"/>
      <c r="O35" s="100" t="str">
        <f t="shared" si="24"/>
        <v>Сб</v>
      </c>
      <c r="P35" s="102">
        <f t="shared" si="25"/>
        <v>2</v>
      </c>
      <c r="Q35" s="102">
        <f>DAY(malumot!$B$78)+P35</f>
        <v>17</v>
      </c>
      <c r="R35" s="97">
        <f>IF(A35&lt;=malumot!$B$81,DATE(YEAR($B$8),MONTH($B$8)+A34,DAY(malumot!$B$78)),0)</f>
        <v>0</v>
      </c>
      <c r="S35" s="83"/>
      <c r="T35" s="83"/>
      <c r="U35" s="83"/>
      <c r="V35" s="83"/>
    </row>
    <row r="36" spans="1:22">
      <c r="A36" s="89">
        <f t="shared" si="26"/>
        <v>29</v>
      </c>
      <c r="B36" s="90" t="b">
        <f>IF(A36&lt;=malumot!$B$81,DATE(YEAR(R36),MONTH(R36),DAY(IF(A36=malumot!$B$81,malumot!$B$67,IF(A36&lt;malumot!$B$81,(Q36),IF(A36&gt;malumot!$B$81,$H$44,0))))))</f>
        <v>0</v>
      </c>
      <c r="C36" s="51">
        <f t="shared" si="15"/>
        <v>1.862645149230957E-9</v>
      </c>
      <c r="D36" s="51" t="b">
        <f t="shared" si="16"/>
        <v>0</v>
      </c>
      <c r="E36" s="51" t="b">
        <f t="shared" si="17"/>
        <v>0</v>
      </c>
      <c r="F36" s="51" t="b">
        <f t="shared" si="18"/>
        <v>0</v>
      </c>
      <c r="G36" s="83">
        <f t="shared" si="19"/>
        <v>0</v>
      </c>
      <c r="H36" s="83">
        <f t="shared" si="20"/>
        <v>366</v>
      </c>
      <c r="I36" s="91" t="b">
        <f t="shared" si="21"/>
        <v>0</v>
      </c>
      <c r="J36" s="91">
        <f>SUM($I$8:I35)</f>
        <v>35000000</v>
      </c>
      <c r="K36" s="91">
        <f t="shared" si="22"/>
        <v>0</v>
      </c>
      <c r="L36" s="85">
        <f>ROUND(C36*malumot!$B$84/H36,2)*G36</f>
        <v>0</v>
      </c>
      <c r="M36" s="85">
        <f t="shared" si="23"/>
        <v>0</v>
      </c>
      <c r="N36" s="85"/>
      <c r="O36" s="100" t="str">
        <f t="shared" si="24"/>
        <v>Сб</v>
      </c>
      <c r="P36" s="102">
        <f t="shared" si="25"/>
        <v>2</v>
      </c>
      <c r="Q36" s="102">
        <f>DAY(malumot!$B$78)+P36</f>
        <v>17</v>
      </c>
      <c r="R36" s="97">
        <f>IF(A36&lt;=malumot!$B$81,DATE(YEAR($B$8),MONTH($B$8)+A35,DAY(malumot!$B$78)),0)</f>
        <v>0</v>
      </c>
      <c r="S36" s="83"/>
      <c r="T36" s="83"/>
      <c r="U36" s="83"/>
      <c r="V36" s="83"/>
    </row>
    <row r="37" spans="1:22">
      <c r="A37" s="89">
        <f t="shared" si="26"/>
        <v>30</v>
      </c>
      <c r="B37" s="90" t="b">
        <f>IF(A37&lt;=malumot!$B$81,DATE(YEAR(R37),MONTH(R37),DAY(IF(A37=malumot!$B$81,malumot!$B$67,IF(A37&lt;malumot!$B$81,(Q37),IF(A37&gt;malumot!$B$81,$H$44,0))))))</f>
        <v>0</v>
      </c>
      <c r="C37" s="51">
        <f t="shared" si="15"/>
        <v>1.862645149230957E-9</v>
      </c>
      <c r="D37" s="51" t="b">
        <f t="shared" si="16"/>
        <v>0</v>
      </c>
      <c r="E37" s="51" t="b">
        <f t="shared" si="17"/>
        <v>0</v>
      </c>
      <c r="F37" s="51" t="b">
        <f t="shared" si="18"/>
        <v>0</v>
      </c>
      <c r="G37" s="83">
        <f t="shared" si="19"/>
        <v>0</v>
      </c>
      <c r="H37" s="83">
        <f t="shared" si="20"/>
        <v>366</v>
      </c>
      <c r="I37" s="91" t="b">
        <f t="shared" si="21"/>
        <v>0</v>
      </c>
      <c r="J37" s="91">
        <f>SUM($I$8:I36)</f>
        <v>35000000</v>
      </c>
      <c r="K37" s="91">
        <f t="shared" si="22"/>
        <v>0</v>
      </c>
      <c r="L37" s="85">
        <f>ROUND(C37*malumot!$B$84/H37,2)*G37</f>
        <v>0</v>
      </c>
      <c r="M37" s="85">
        <f t="shared" si="23"/>
        <v>0</v>
      </c>
      <c r="N37" s="85"/>
      <c r="O37" s="100" t="str">
        <f t="shared" si="24"/>
        <v>Сб</v>
      </c>
      <c r="P37" s="102">
        <f t="shared" si="25"/>
        <v>2</v>
      </c>
      <c r="Q37" s="102">
        <f>DAY(malumot!$B$78)+P37</f>
        <v>17</v>
      </c>
      <c r="R37" s="97">
        <f>IF(A37&lt;=malumot!$B$81,DATE(YEAR($B$8),MONTH($B$8)+A36,DAY(malumot!$B$78)),0)</f>
        <v>0</v>
      </c>
      <c r="S37" s="83"/>
      <c r="T37" s="83"/>
      <c r="U37" s="83"/>
      <c r="V37" s="83"/>
    </row>
    <row r="38" spans="1:22">
      <c r="A38" s="89">
        <f t="shared" si="26"/>
        <v>31</v>
      </c>
      <c r="B38" s="90" t="b">
        <f>IF(A38&lt;=malumot!$B$81,DATE(YEAR(R38),MONTH(R38),DAY(IF(A38=malumot!$B$81,malumot!$B$67,IF(A38&lt;malumot!$B$81,(Q38),IF(A38&gt;malumot!$B$81,$H$44,0))))))</f>
        <v>0</v>
      </c>
      <c r="C38" s="51">
        <f t="shared" si="15"/>
        <v>1.862645149230957E-9</v>
      </c>
      <c r="D38" s="51" t="b">
        <f t="shared" si="16"/>
        <v>0</v>
      </c>
      <c r="E38" s="51" t="b">
        <f t="shared" si="17"/>
        <v>0</v>
      </c>
      <c r="F38" s="51" t="b">
        <f t="shared" si="18"/>
        <v>0</v>
      </c>
      <c r="G38" s="83">
        <f t="shared" si="19"/>
        <v>0</v>
      </c>
      <c r="H38" s="83">
        <f t="shared" si="20"/>
        <v>366</v>
      </c>
      <c r="I38" s="91" t="b">
        <f t="shared" si="21"/>
        <v>0</v>
      </c>
      <c r="J38" s="91">
        <f>SUM($I$8:I37)</f>
        <v>35000000</v>
      </c>
      <c r="K38" s="91">
        <f t="shared" si="22"/>
        <v>0</v>
      </c>
      <c r="L38" s="85">
        <f>ROUND(C38*malumot!$B$84/H38,2)*G38</f>
        <v>0</v>
      </c>
      <c r="M38" s="85">
        <f t="shared" si="23"/>
        <v>0</v>
      </c>
      <c r="N38" s="85"/>
      <c r="O38" s="100" t="str">
        <f t="shared" si="24"/>
        <v>Сб</v>
      </c>
      <c r="P38" s="102">
        <f t="shared" si="25"/>
        <v>2</v>
      </c>
      <c r="Q38" s="102">
        <f>DAY(malumot!$B$78)+P38</f>
        <v>17</v>
      </c>
      <c r="R38" s="97">
        <f>IF(A38&lt;=malumot!$B$81,DATE(YEAR($B$8),MONTH($B$8)+A37,DAY(malumot!$B$78)),0)</f>
        <v>0</v>
      </c>
      <c r="S38" s="83"/>
      <c r="T38" s="83"/>
      <c r="U38" s="83"/>
      <c r="V38" s="83"/>
    </row>
    <row r="39" spans="1:22">
      <c r="A39" s="89">
        <f t="shared" si="26"/>
        <v>32</v>
      </c>
      <c r="B39" s="90" t="b">
        <f>IF(A39&lt;=malumot!$B$81,DATE(YEAR(R39),MONTH(R39),DAY(IF(A39=malumot!$B$81,malumot!$B$67,IF(A39&lt;malumot!$B$81,(Q39),IF(A39&gt;malumot!$B$81,$H$44,0))))))</f>
        <v>0</v>
      </c>
      <c r="C39" s="51">
        <f t="shared" si="15"/>
        <v>1.862645149230957E-9</v>
      </c>
      <c r="D39" s="51" t="b">
        <f t="shared" si="16"/>
        <v>0</v>
      </c>
      <c r="E39" s="51" t="b">
        <f t="shared" si="17"/>
        <v>0</v>
      </c>
      <c r="F39" s="51" t="b">
        <f t="shared" si="18"/>
        <v>0</v>
      </c>
      <c r="G39" s="83">
        <f t="shared" si="19"/>
        <v>0</v>
      </c>
      <c r="H39" s="83">
        <f t="shared" si="20"/>
        <v>366</v>
      </c>
      <c r="I39" s="91" t="b">
        <f t="shared" si="21"/>
        <v>0</v>
      </c>
      <c r="J39" s="91">
        <f>SUM($I$8:I38)</f>
        <v>35000000</v>
      </c>
      <c r="K39" s="91">
        <f t="shared" si="22"/>
        <v>0</v>
      </c>
      <c r="L39" s="85">
        <f>ROUND(C39*malumot!$B$84/H39,2)*G39</f>
        <v>0</v>
      </c>
      <c r="M39" s="85">
        <f t="shared" si="23"/>
        <v>0</v>
      </c>
      <c r="N39" s="85"/>
      <c r="O39" s="100" t="str">
        <f t="shared" si="24"/>
        <v>Сб</v>
      </c>
      <c r="P39" s="102">
        <f t="shared" si="25"/>
        <v>2</v>
      </c>
      <c r="Q39" s="102">
        <f>DAY(malumot!$B$78)+P39</f>
        <v>17</v>
      </c>
      <c r="R39" s="97">
        <f>IF(A39&lt;=malumot!$B$81,DATE(YEAR($B$8),MONTH($B$8)+A38,DAY(malumot!$B$78)),0)</f>
        <v>0</v>
      </c>
      <c r="S39" s="83"/>
      <c r="T39" s="83"/>
      <c r="U39" s="83"/>
      <c r="V39" s="83"/>
    </row>
    <row r="40" spans="1:22">
      <c r="A40" s="89">
        <f t="shared" si="26"/>
        <v>33</v>
      </c>
      <c r="B40" s="90" t="b">
        <f>IF(A40&lt;=malumot!$B$81,DATE(YEAR(R40),MONTH(R40),DAY(IF(A40=malumot!$B$81,malumot!$B$67,IF(A40&lt;malumot!$B$81,(Q40),IF(A40&gt;malumot!$B$81,$H$44,0))))))</f>
        <v>0</v>
      </c>
      <c r="C40" s="51">
        <f t="shared" si="15"/>
        <v>1.862645149230957E-9</v>
      </c>
      <c r="D40" s="51" t="b">
        <f t="shared" si="16"/>
        <v>0</v>
      </c>
      <c r="E40" s="51" t="b">
        <f t="shared" si="17"/>
        <v>0</v>
      </c>
      <c r="F40" s="51" t="b">
        <f t="shared" si="18"/>
        <v>0</v>
      </c>
      <c r="G40" s="83">
        <f t="shared" si="19"/>
        <v>0</v>
      </c>
      <c r="H40" s="83">
        <f t="shared" si="20"/>
        <v>366</v>
      </c>
      <c r="I40" s="91" t="b">
        <f t="shared" si="21"/>
        <v>0</v>
      </c>
      <c r="J40" s="91">
        <f>SUM($I$8:I39)</f>
        <v>35000000</v>
      </c>
      <c r="K40" s="91">
        <f t="shared" si="22"/>
        <v>0</v>
      </c>
      <c r="L40" s="85">
        <f>ROUND(C40*malumot!$B$84/H40,2)*G40</f>
        <v>0</v>
      </c>
      <c r="M40" s="85">
        <f t="shared" si="23"/>
        <v>0</v>
      </c>
      <c r="N40" s="85"/>
      <c r="O40" s="100" t="str">
        <f t="shared" si="24"/>
        <v>Сб</v>
      </c>
      <c r="P40" s="102">
        <f t="shared" si="25"/>
        <v>2</v>
      </c>
      <c r="Q40" s="102">
        <f>DAY(malumot!$B$78)+P40</f>
        <v>17</v>
      </c>
      <c r="R40" s="97">
        <f>IF(A40&lt;=malumot!$B$81,DATE(YEAR($B$8),MONTH($B$8)+A39,DAY(malumot!$B$78)),0)</f>
        <v>0</v>
      </c>
      <c r="S40" s="83"/>
      <c r="T40" s="83"/>
      <c r="U40" s="83"/>
      <c r="V40" s="83"/>
    </row>
    <row r="41" spans="1:22">
      <c r="A41" s="89">
        <f t="shared" si="26"/>
        <v>34</v>
      </c>
      <c r="B41" s="90" t="b">
        <f>IF(A41&lt;=malumot!$B$81,DATE(YEAR(R41),MONTH(R41),DAY(IF(A41=malumot!$B$81,malumot!$B$67,IF(A41&lt;malumot!$B$81,(Q41),IF(A41&gt;malumot!$B$81,$H$44,0))))))</f>
        <v>0</v>
      </c>
      <c r="C41" s="51">
        <f t="shared" si="15"/>
        <v>1.862645149230957E-9</v>
      </c>
      <c r="D41" s="51" t="b">
        <f t="shared" si="16"/>
        <v>0</v>
      </c>
      <c r="E41" s="51" t="b">
        <f t="shared" si="17"/>
        <v>0</v>
      </c>
      <c r="F41" s="51" t="b">
        <f t="shared" si="18"/>
        <v>0</v>
      </c>
      <c r="G41" s="83">
        <f t="shared" si="19"/>
        <v>0</v>
      </c>
      <c r="H41" s="83">
        <f t="shared" si="20"/>
        <v>366</v>
      </c>
      <c r="I41" s="91" t="b">
        <f t="shared" si="21"/>
        <v>0</v>
      </c>
      <c r="J41" s="91">
        <f>SUM($I$8:I40)</f>
        <v>35000000</v>
      </c>
      <c r="K41" s="91">
        <f t="shared" si="22"/>
        <v>0</v>
      </c>
      <c r="L41" s="85">
        <f>ROUND(C41*malumot!$B$84/H41,2)*G41</f>
        <v>0</v>
      </c>
      <c r="M41" s="85">
        <f t="shared" si="23"/>
        <v>0</v>
      </c>
      <c r="N41" s="85"/>
      <c r="O41" s="100" t="str">
        <f t="shared" si="24"/>
        <v>Сб</v>
      </c>
      <c r="P41" s="102">
        <f t="shared" si="25"/>
        <v>2</v>
      </c>
      <c r="Q41" s="102">
        <f>DAY(malumot!$B$78)+P41</f>
        <v>17</v>
      </c>
      <c r="R41" s="97">
        <f>IF(A41&lt;=malumot!$B$81,DATE(YEAR($B$8),MONTH($B$8)+A40,DAY(malumot!$B$78)),0)</f>
        <v>0</v>
      </c>
      <c r="S41" s="83"/>
      <c r="T41" s="83"/>
      <c r="U41" s="83"/>
      <c r="V41" s="83"/>
    </row>
    <row r="42" spans="1:22">
      <c r="A42" s="89">
        <f t="shared" si="26"/>
        <v>35</v>
      </c>
      <c r="B42" s="90" t="b">
        <f>IF(A42&lt;=malumot!$B$81,DATE(YEAR(R42),MONTH(R42),DAY(IF(A42=malumot!$B$81,malumot!$B$67,IF(A42&lt;malumot!$B$81,(Q42),IF(A42&gt;malumot!$B$81,$H$44,0))))))</f>
        <v>0</v>
      </c>
      <c r="C42" s="51">
        <f t="shared" si="15"/>
        <v>1.862645149230957E-9</v>
      </c>
      <c r="D42" s="51" t="b">
        <f t="shared" si="16"/>
        <v>0</v>
      </c>
      <c r="E42" s="51" t="b">
        <f t="shared" si="17"/>
        <v>0</v>
      </c>
      <c r="F42" s="51" t="b">
        <f t="shared" si="18"/>
        <v>0</v>
      </c>
      <c r="G42" s="83">
        <f t="shared" si="19"/>
        <v>0</v>
      </c>
      <c r="H42" s="83">
        <f t="shared" si="20"/>
        <v>366</v>
      </c>
      <c r="I42" s="91" t="b">
        <f t="shared" si="21"/>
        <v>0</v>
      </c>
      <c r="J42" s="91">
        <f>SUM($I$8:I41)</f>
        <v>35000000</v>
      </c>
      <c r="K42" s="91">
        <f t="shared" si="22"/>
        <v>0</v>
      </c>
      <c r="L42" s="85">
        <f>ROUND(C42*malumot!$B$84/H42,2)*G42</f>
        <v>0</v>
      </c>
      <c r="M42" s="85">
        <f t="shared" si="23"/>
        <v>0</v>
      </c>
      <c r="N42" s="85"/>
      <c r="O42" s="100" t="str">
        <f t="shared" si="24"/>
        <v>Сб</v>
      </c>
      <c r="P42" s="102">
        <f t="shared" si="25"/>
        <v>2</v>
      </c>
      <c r="Q42" s="102">
        <f>DAY(malumot!$B$78)+P42</f>
        <v>17</v>
      </c>
      <c r="R42" s="97">
        <f>IF(A42&lt;=malumot!$B$81,DATE(YEAR($B$8),MONTH($B$8)+A41,DAY(malumot!$B$78)),0)</f>
        <v>0</v>
      </c>
      <c r="S42" s="83"/>
      <c r="T42" s="83"/>
      <c r="U42" s="83"/>
      <c r="V42" s="83"/>
    </row>
    <row r="43" spans="1:22">
      <c r="A43" s="89">
        <f t="shared" ref="A43" si="27">1+A42</f>
        <v>36</v>
      </c>
      <c r="B43" s="90" t="b">
        <f>IF(A43&lt;=malumot!$B$81,DATE(YEAR(R43),MONTH(R43),DAY(IF(A43=malumot!$B$81,malumot!$B$67,IF(A43&lt;malumot!$B$81,(Q43),IF(A43&gt;malumot!$B$81,$H$44,0))))))</f>
        <v>0</v>
      </c>
      <c r="C43" s="51">
        <f t="shared" ref="C43" si="28">C42-D42</f>
        <v>1.862645149230957E-9</v>
      </c>
      <c r="D43" s="51" t="b">
        <f t="shared" ref="D43" si="29">IF(C43=0,L43,IF(C43&gt;1,I43))</f>
        <v>0</v>
      </c>
      <c r="E43" s="51" t="b">
        <f t="shared" ref="E43" si="30">IF(C43=0,N42,IF(C43&gt;1,L43))</f>
        <v>0</v>
      </c>
      <c r="F43" s="51" t="b">
        <f t="shared" ref="F43" si="31">IF(C43=0,N42,IF(C43&gt;1,M43))</f>
        <v>0</v>
      </c>
      <c r="G43" s="83">
        <f t="shared" ref="G43" si="32">B43-B42</f>
        <v>0</v>
      </c>
      <c r="H43" s="83">
        <f t="shared" ref="H43" si="33">DATE(YEAR(B43),12,31)-DATE(YEAR(B43),1,1)+1</f>
        <v>366</v>
      </c>
      <c r="I43" s="91" t="b">
        <f t="shared" ref="I43" si="34">IF($L$5=A43,K43,IF($L$5&gt;A43,I42))</f>
        <v>0</v>
      </c>
      <c r="J43" s="91">
        <f>SUM($I$8:I42)</f>
        <v>35000000</v>
      </c>
      <c r="K43" s="91">
        <f t="shared" ref="K43" si="35">$J$12-J43</f>
        <v>0</v>
      </c>
      <c r="L43" s="85">
        <f>ROUND(C43*malumot!$B$84/H43,2)*G43</f>
        <v>0</v>
      </c>
      <c r="M43" s="85">
        <f t="shared" ref="M43" si="36">D43+E43</f>
        <v>0</v>
      </c>
      <c r="N43" s="85"/>
      <c r="O43" s="100" t="str">
        <f t="shared" ref="O43" si="37">TEXT(R43,"ддд")</f>
        <v>Сб</v>
      </c>
      <c r="P43" s="102">
        <f t="shared" ref="P43" si="38">IF(O43=$U$8,2,IF(O43=$V$8,1,0))</f>
        <v>2</v>
      </c>
      <c r="Q43" s="102">
        <f>DAY(malumot!$B$78)+P43</f>
        <v>17</v>
      </c>
      <c r="R43" s="97">
        <f>IF(A43&lt;=malumot!$B$81,DATE(YEAR($B$8),MONTH($B$8)+A42,DAY(malumot!$B$78)),0)</f>
        <v>0</v>
      </c>
      <c r="S43" s="83"/>
      <c r="T43" s="83"/>
      <c r="U43" s="83"/>
      <c r="V43" s="83"/>
    </row>
    <row r="44" spans="1:22">
      <c r="A44" s="92"/>
      <c r="B44" s="93" t="s">
        <v>7</v>
      </c>
      <c r="C44" s="94"/>
      <c r="D44" s="94">
        <f>SUM(D8:D43)</f>
        <v>35000000</v>
      </c>
      <c r="E44" s="94">
        <f t="shared" ref="E44:F44" si="39">SUM(E8:E43)</f>
        <v>21457876.010000009</v>
      </c>
      <c r="F44" s="94">
        <f t="shared" si="39"/>
        <v>56457876.010000028</v>
      </c>
    </row>
    <row r="45" spans="1:22" ht="9" customHeight="1">
      <c r="B45" s="95"/>
      <c r="C45" s="96"/>
      <c r="D45" s="96"/>
      <c r="E45" s="96"/>
      <c r="F45" s="96"/>
    </row>
    <row r="46" spans="1:22" ht="47.25" customHeight="1">
      <c r="A46" s="282" t="s">
        <v>18</v>
      </c>
      <c r="B46" s="282"/>
      <c r="C46" s="282"/>
      <c r="D46" s="282"/>
      <c r="E46" s="282"/>
      <c r="F46" s="282"/>
    </row>
    <row r="47" spans="1:22" ht="7.5" customHeight="1"/>
    <row r="48" spans="1:22">
      <c r="A48" s="283" t="e">
        <f>#REF!</f>
        <v>#REF!</v>
      </c>
      <c r="B48" s="283"/>
      <c r="C48" s="283"/>
      <c r="D48" s="283" t="e">
        <f>#REF!</f>
        <v>#REF!</v>
      </c>
      <c r="E48" s="283"/>
      <c r="F48" s="283"/>
    </row>
    <row r="49" spans="1:6" ht="11.25" customHeight="1">
      <c r="A49" s="284"/>
      <c r="B49" s="284"/>
      <c r="C49" s="284"/>
      <c r="D49" s="284"/>
      <c r="E49" s="284"/>
      <c r="F49" s="284"/>
    </row>
    <row r="50" spans="1:6" ht="30" customHeight="1">
      <c r="A50" s="281" t="e">
        <f>#REF!</f>
        <v>#REF!</v>
      </c>
      <c r="B50" s="281"/>
      <c r="C50" s="281"/>
      <c r="D50" s="281" t="e">
        <f>#REF!</f>
        <v>#REF!</v>
      </c>
      <c r="E50" s="281"/>
      <c r="F50" s="281"/>
    </row>
    <row r="51" spans="1:6" ht="32.25" customHeight="1">
      <c r="A51" s="277" t="e">
        <f>#REF!</f>
        <v>#REF!</v>
      </c>
      <c r="B51" s="277"/>
      <c r="C51" s="277"/>
      <c r="D51" s="277" t="e">
        <f>#REF!</f>
        <v>#REF!</v>
      </c>
      <c r="E51" s="277"/>
      <c r="F51" s="277"/>
    </row>
    <row r="52" spans="1:6">
      <c r="A52" s="277" t="e">
        <f>#REF!</f>
        <v>#REF!</v>
      </c>
      <c r="B52" s="277"/>
      <c r="C52" s="277"/>
      <c r="D52" s="277" t="str">
        <f>"паспорт серии "&amp;malumot!B16&amp;", "&amp;malumot!B20&amp;""</f>
        <v>паспорт серии AD0901293, IIV 18215 tomonidan 10.12.2021 yilda berilgan</v>
      </c>
      <c r="E52" s="277"/>
      <c r="F52" s="277"/>
    </row>
    <row r="53" spans="1:6" ht="32.25" customHeight="1">
      <c r="A53" s="277" t="e">
        <f>#REF!</f>
        <v>#REF!</v>
      </c>
      <c r="B53" s="277"/>
      <c r="C53" s="277"/>
      <c r="D53" s="277"/>
      <c r="E53" s="277"/>
      <c r="F53" s="277"/>
    </row>
    <row r="54" spans="1:6">
      <c r="A54" s="277" t="e">
        <f>#REF!</f>
        <v>#REF!</v>
      </c>
      <c r="B54" s="277"/>
      <c r="C54" s="277"/>
      <c r="D54" s="277" t="e">
        <f>#REF!</f>
        <v>#REF!</v>
      </c>
      <c r="E54" s="277"/>
      <c r="F54" s="277"/>
    </row>
    <row r="55" spans="1:6">
      <c r="A55" s="277" t="e">
        <f>#REF!</f>
        <v>#REF!</v>
      </c>
      <c r="B55" s="277"/>
      <c r="C55" s="277"/>
      <c r="D55" s="277" t="e">
        <f>#REF!</f>
        <v>#REF!</v>
      </c>
      <c r="E55" s="277"/>
      <c r="F55" s="277"/>
    </row>
    <row r="56" spans="1:6">
      <c r="A56" s="277" t="e">
        <f>#REF!</f>
        <v>#REF!</v>
      </c>
      <c r="B56" s="277"/>
      <c r="C56" s="277"/>
      <c r="D56" s="277" t="e">
        <f>#REF!</f>
        <v>#REF!</v>
      </c>
      <c r="E56" s="277"/>
      <c r="F56" s="277"/>
    </row>
    <row r="57" spans="1:6" ht="8.25" customHeight="1">
      <c r="A57" s="277"/>
      <c r="B57" s="277"/>
      <c r="C57" s="277"/>
      <c r="D57" s="277"/>
      <c r="E57" s="277"/>
      <c r="F57" s="277"/>
    </row>
    <row r="58" spans="1:6">
      <c r="A58" s="281" t="e">
        <f>#REF!</f>
        <v>#REF!</v>
      </c>
      <c r="B58" s="281"/>
      <c r="C58" s="281"/>
      <c r="D58" s="281" t="e">
        <f>#REF!</f>
        <v>#REF!</v>
      </c>
      <c r="E58" s="281"/>
      <c r="F58" s="281"/>
    </row>
    <row r="59" spans="1:6" ht="7.5" customHeight="1">
      <c r="A59" s="281"/>
      <c r="B59" s="281"/>
      <c r="C59" s="281"/>
      <c r="D59" s="281"/>
      <c r="E59" s="281"/>
      <c r="F59" s="281"/>
    </row>
    <row r="60" spans="1:6">
      <c r="A60" s="281" t="e">
        <f>#REF!</f>
        <v>#REF!</v>
      </c>
      <c r="B60" s="281"/>
      <c r="C60" s="281"/>
      <c r="D60" s="281" t="e">
        <f>#REF!</f>
        <v>#REF!</v>
      </c>
      <c r="E60" s="281"/>
      <c r="F60" s="281"/>
    </row>
    <row r="61" spans="1:6" ht="8.25" customHeight="1">
      <c r="A61" s="277"/>
      <c r="B61" s="277"/>
      <c r="C61" s="277"/>
      <c r="D61" s="277"/>
      <c r="E61" s="277"/>
      <c r="F61" s="277"/>
    </row>
    <row r="62" spans="1:6" ht="30" customHeight="1">
      <c r="A62" s="278"/>
      <c r="B62" s="278"/>
      <c r="C62" s="278"/>
      <c r="D62" s="279" t="e">
        <f>#REF!</f>
        <v>#REF!</v>
      </c>
      <c r="E62" s="279"/>
      <c r="F62" s="279"/>
    </row>
    <row r="63" spans="1:6">
      <c r="A63" s="280"/>
      <c r="B63" s="280"/>
      <c r="C63" s="280"/>
      <c r="D63" s="280"/>
      <c r="E63" s="280"/>
      <c r="F63" s="280"/>
    </row>
    <row r="64" spans="1:6">
      <c r="A64" s="276"/>
      <c r="B64" s="276"/>
      <c r="C64" s="276"/>
      <c r="D64" s="276"/>
      <c r="E64" s="276"/>
      <c r="F64" s="276"/>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09"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5" customFormat="1" ht="36.75" customHeight="1">
      <c r="A1" s="114" t="s">
        <v>15</v>
      </c>
      <c r="B1" s="115" t="s">
        <v>3</v>
      </c>
      <c r="D1" s="114"/>
      <c r="E1" s="114" t="s">
        <v>40</v>
      </c>
      <c r="F1" s="114" t="s">
        <v>41</v>
      </c>
      <c r="G1" s="114"/>
      <c r="H1" s="114"/>
      <c r="I1" s="114"/>
      <c r="J1" s="114"/>
      <c r="K1" s="114"/>
      <c r="L1" s="114" t="s">
        <v>42</v>
      </c>
      <c r="M1" s="114" t="s">
        <v>44</v>
      </c>
      <c r="N1" s="114" t="s">
        <v>43</v>
      </c>
    </row>
    <row r="2" spans="1:23" ht="15" customHeight="1">
      <c r="A2" s="108">
        <v>1</v>
      </c>
      <c r="B2" t="s">
        <v>256</v>
      </c>
      <c r="C2" t="s">
        <v>67</v>
      </c>
      <c r="D2" s="110" t="s">
        <v>256</v>
      </c>
      <c r="E2" s="110" t="s">
        <v>46</v>
      </c>
      <c r="F2" s="111">
        <v>44207</v>
      </c>
      <c r="G2" s="101">
        <f>MONTH(F2)</f>
        <v>1</v>
      </c>
      <c r="H2" s="111" t="str">
        <f>IF(G2=$A$26,$A$28,IF(G2=$B$26,$B$28,IF(G2=$C$26,$C$28,IF(G2=$D$26,$D$28,IF(G2=$E$26,$E$28,IF(G2=$F$26,$F$28,IF(G2=$K$26,$K$28,IF(G2=$L$26,$L$28,IF(G2=$M$26,$M$28,IF(G2=$N$26,$N$28,IF(G2=$O$26,$O$28,IF(G2=$P$26,$P$28,0))))))))))))</f>
        <v>yanvar</v>
      </c>
      <c r="I2" s="101">
        <f>DAY(F2)</f>
        <v>11</v>
      </c>
      <c r="J2" s="113">
        <f>YEAR(F2)</f>
        <v>2021</v>
      </c>
      <c r="K2" s="111" t="str">
        <f>""&amp;I2&amp;" "&amp;H2&amp;" "&amp;J2&amp;" г."</f>
        <v>11 yanvar 2021 г.</v>
      </c>
      <c r="L2" s="110">
        <v>5</v>
      </c>
      <c r="M2" s="112">
        <v>15000000</v>
      </c>
      <c r="N2" s="110"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08">
        <v>2</v>
      </c>
      <c r="D3" s="110" t="s">
        <v>256</v>
      </c>
      <c r="E3" s="110" t="s">
        <v>45</v>
      </c>
      <c r="F3" s="111">
        <v>43775</v>
      </c>
      <c r="G3" s="101">
        <f>MONTH(F3)</f>
        <v>11</v>
      </c>
      <c r="H3" s="111" t="str">
        <f>IF(G3=$A$26,$A$28,IF(G3=$B$26,$B$28,IF(G3=$C$26,$C$28,IF(G3=$D$26,$D$28,IF(G3=$E$26,$E$28,IF(G3=$F$26,$F$28,IF(G3=$K$26,$K$28,IF(G3=$L$26,$L$28,IF(G3=$M$26,$M$28,IF(G3=$N$26,$N$28,IF(G3=$O$26,$O$28,IF(G3=$P$26,$P$28,0))))))))))))</f>
        <v>noyabr</v>
      </c>
      <c r="I3" s="101">
        <f>DAY(F3)</f>
        <v>6</v>
      </c>
      <c r="J3" s="113">
        <f>YEAR(F3)</f>
        <v>2019</v>
      </c>
      <c r="K3" s="111" t="str">
        <f>""&amp;I3&amp;" "&amp;H3&amp;" "&amp;J3&amp;" г."</f>
        <v>6 noyabr 2019 г.</v>
      </c>
      <c r="L3" s="110">
        <v>386</v>
      </c>
      <c r="M3" s="112">
        <v>15000000</v>
      </c>
      <c r="N3" s="110"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08">
        <v>3</v>
      </c>
      <c r="D4" s="110" t="s">
        <v>256</v>
      </c>
      <c r="E4" s="110" t="s">
        <v>45</v>
      </c>
      <c r="F4" s="111">
        <v>44217</v>
      </c>
      <c r="G4" s="101">
        <f>MONTH(F4)</f>
        <v>1</v>
      </c>
      <c r="H4" s="111" t="str">
        <f>IF(G4=$A$26,$A$28,IF(G4=$B$26,$B$28,IF(G4=$C$26,$C$28,IF(G4=$D$26,$D$28,IF(G4=$E$26,$E$28,IF(G4=$F$26,$F$28,IF(G4=$K$26,$K$28,IF(G4=$L$26,$L$28,IF(G4=$M$26,$M$28,IF(G4=$N$26,$N$28,IF(G4=$O$26,$O$28,IF(G4=$P$26,$P$28,0))))))))))))</f>
        <v>yanvar</v>
      </c>
      <c r="I4" s="101">
        <f>DAY(F4)</f>
        <v>21</v>
      </c>
      <c r="J4" s="113">
        <f>YEAR(F4)</f>
        <v>2021</v>
      </c>
      <c r="K4" s="111" t="str">
        <f>""&amp;I4&amp;" "&amp;H4&amp;" "&amp;J4&amp;" г."</f>
        <v>21 yanvar 2021 г.</v>
      </c>
      <c r="L4" s="110">
        <v>33</v>
      </c>
      <c r="M4" s="112">
        <v>15000000</v>
      </c>
      <c r="N4" s="110"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08">
        <v>4</v>
      </c>
      <c r="D5" s="110" t="s">
        <v>256</v>
      </c>
      <c r="E5" s="110"/>
      <c r="F5" s="111"/>
      <c r="G5" s="101">
        <f t="shared" ref="G5:G21" si="2">MONTH(F5)</f>
        <v>1</v>
      </c>
      <c r="H5" s="111" t="str">
        <f t="shared" ref="H5:H21" si="3">IF(G5=$A$26,$A$28,IF(G5=$B$26,$B$28,IF(G5=$C$26,$C$28,IF(G5=$D$26,$D$28,IF(G5=$E$26,$E$28,IF(G5=$F$26,$F$28,IF(G5=$K$26,$K$28,IF(G5=$L$26,$L$28,IF(G5=$M$26,$M$28,IF(G5=$N$26,$N$28,IF(G5=$O$26,$O$28,IF(G5=$P$26,$P$28,0))))))))))))</f>
        <v>yanvar</v>
      </c>
      <c r="I5" s="101">
        <f t="shared" ref="I5:I21" si="4">DAY(F5)</f>
        <v>0</v>
      </c>
      <c r="J5" s="113">
        <f t="shared" ref="J5:J21" si="5">YEAR(F5)</f>
        <v>1900</v>
      </c>
      <c r="K5" s="111" t="str">
        <f t="shared" ref="K5:K21" si="6">""&amp;I5&amp;" "&amp;H5&amp;" "&amp;J5&amp;" г."</f>
        <v>0 yanvar 1900 г.</v>
      </c>
      <c r="L5" s="110"/>
      <c r="M5" s="112"/>
      <c r="N5" s="110"/>
      <c r="P5">
        <f t="shared" si="1"/>
        <v>0</v>
      </c>
    </row>
    <row r="6" spans="1:23" ht="15" customHeight="1">
      <c r="A6" s="108">
        <v>5</v>
      </c>
      <c r="D6" s="110" t="s">
        <v>256</v>
      </c>
      <c r="E6" s="110"/>
      <c r="F6" s="111"/>
      <c r="G6" s="101">
        <f t="shared" si="2"/>
        <v>1</v>
      </c>
      <c r="H6" s="111" t="str">
        <f t="shared" si="3"/>
        <v>yanvar</v>
      </c>
      <c r="I6" s="101">
        <f t="shared" si="4"/>
        <v>0</v>
      </c>
      <c r="J6" s="113">
        <f t="shared" si="5"/>
        <v>1900</v>
      </c>
      <c r="K6" s="111" t="str">
        <f t="shared" si="6"/>
        <v>0 yanvar 1900 г.</v>
      </c>
      <c r="L6" s="110"/>
      <c r="M6" s="112"/>
      <c r="N6" s="110"/>
      <c r="P6">
        <f t="shared" si="1"/>
        <v>0</v>
      </c>
    </row>
    <row r="7" spans="1:23" ht="15" customHeight="1">
      <c r="A7" s="108">
        <v>6</v>
      </c>
      <c r="D7" s="110" t="s">
        <v>256</v>
      </c>
      <c r="E7" s="110"/>
      <c r="F7" s="111"/>
      <c r="G7" s="101">
        <f t="shared" si="2"/>
        <v>1</v>
      </c>
      <c r="H7" s="111" t="str">
        <f t="shared" si="3"/>
        <v>yanvar</v>
      </c>
      <c r="I7" s="101">
        <f t="shared" si="4"/>
        <v>0</v>
      </c>
      <c r="J7" s="113">
        <f t="shared" si="5"/>
        <v>1900</v>
      </c>
      <c r="K7" s="111" t="str">
        <f t="shared" si="6"/>
        <v>0 yanvar 1900 г.</v>
      </c>
      <c r="L7" s="110"/>
      <c r="M7" s="112"/>
      <c r="N7" s="110"/>
      <c r="P7">
        <f t="shared" si="1"/>
        <v>0</v>
      </c>
    </row>
    <row r="8" spans="1:23" ht="15" customHeight="1">
      <c r="A8" s="108">
        <v>7</v>
      </c>
      <c r="D8" s="110" t="s">
        <v>256</v>
      </c>
      <c r="E8" s="110"/>
      <c r="F8" s="111"/>
      <c r="G8" s="101">
        <f t="shared" si="2"/>
        <v>1</v>
      </c>
      <c r="H8" s="111" t="str">
        <f t="shared" si="3"/>
        <v>yanvar</v>
      </c>
      <c r="I8" s="101">
        <f t="shared" si="4"/>
        <v>0</v>
      </c>
      <c r="J8" s="113">
        <f t="shared" si="5"/>
        <v>1900</v>
      </c>
      <c r="K8" s="111" t="str">
        <f t="shared" si="6"/>
        <v>0 yanvar 1900 г.</v>
      </c>
      <c r="L8" s="110"/>
      <c r="M8" s="112"/>
      <c r="N8" s="110"/>
      <c r="P8">
        <f t="shared" si="1"/>
        <v>0</v>
      </c>
    </row>
    <row r="9" spans="1:23" ht="15" customHeight="1">
      <c r="A9" s="108">
        <v>8</v>
      </c>
      <c r="D9" s="110" t="s">
        <v>256</v>
      </c>
      <c r="E9" s="110"/>
      <c r="F9" s="111"/>
      <c r="G9" s="101">
        <f t="shared" si="2"/>
        <v>1</v>
      </c>
      <c r="H9" s="111" t="str">
        <f t="shared" si="3"/>
        <v>yanvar</v>
      </c>
      <c r="I9" s="101">
        <f t="shared" si="4"/>
        <v>0</v>
      </c>
      <c r="J9" s="113">
        <f t="shared" si="5"/>
        <v>1900</v>
      </c>
      <c r="K9" s="111" t="str">
        <f t="shared" si="6"/>
        <v>0 yanvar 1900 г.</v>
      </c>
      <c r="L9" s="110"/>
      <c r="M9" s="112"/>
      <c r="N9" s="110"/>
      <c r="P9">
        <f t="shared" si="1"/>
        <v>0</v>
      </c>
    </row>
    <row r="10" spans="1:23" ht="15" customHeight="1">
      <c r="A10" s="108">
        <v>9</v>
      </c>
      <c r="D10" s="110" t="s">
        <v>256</v>
      </c>
      <c r="E10" s="110"/>
      <c r="F10" s="111"/>
      <c r="G10" s="101">
        <f t="shared" si="2"/>
        <v>1</v>
      </c>
      <c r="H10" s="111" t="str">
        <f t="shared" si="3"/>
        <v>yanvar</v>
      </c>
      <c r="I10" s="101">
        <f t="shared" si="4"/>
        <v>0</v>
      </c>
      <c r="J10" s="113">
        <f t="shared" si="5"/>
        <v>1900</v>
      </c>
      <c r="K10" s="111" t="str">
        <f t="shared" si="6"/>
        <v>0 yanvar 1900 г.</v>
      </c>
      <c r="L10" s="110"/>
      <c r="M10" s="112"/>
      <c r="N10" s="110"/>
      <c r="P10">
        <f t="shared" si="1"/>
        <v>0</v>
      </c>
    </row>
    <row r="11" spans="1:23" ht="15" customHeight="1">
      <c r="A11" s="108">
        <v>10</v>
      </c>
      <c r="D11" s="110" t="s">
        <v>256</v>
      </c>
      <c r="E11" s="110"/>
      <c r="F11" s="111"/>
      <c r="G11" s="101">
        <f t="shared" si="2"/>
        <v>1</v>
      </c>
      <c r="H11" s="111" t="str">
        <f t="shared" si="3"/>
        <v>yanvar</v>
      </c>
      <c r="I11" s="101">
        <f t="shared" si="4"/>
        <v>0</v>
      </c>
      <c r="J11" s="113">
        <f t="shared" si="5"/>
        <v>1900</v>
      </c>
      <c r="K11" s="111" t="str">
        <f t="shared" si="6"/>
        <v>0 yanvar 1900 г.</v>
      </c>
      <c r="L11" s="110"/>
      <c r="M11" s="112"/>
      <c r="N11" s="110"/>
      <c r="P11">
        <f t="shared" si="1"/>
        <v>0</v>
      </c>
    </row>
    <row r="12" spans="1:23" ht="15" customHeight="1">
      <c r="A12" s="108">
        <v>11</v>
      </c>
      <c r="D12" s="110" t="s">
        <v>256</v>
      </c>
      <c r="E12" s="110"/>
      <c r="F12" s="111"/>
      <c r="G12" s="101">
        <f t="shared" si="2"/>
        <v>1</v>
      </c>
      <c r="H12" s="111" t="str">
        <f t="shared" si="3"/>
        <v>yanvar</v>
      </c>
      <c r="I12" s="101">
        <f t="shared" si="4"/>
        <v>0</v>
      </c>
      <c r="J12" s="113">
        <f t="shared" si="5"/>
        <v>1900</v>
      </c>
      <c r="K12" s="111" t="str">
        <f t="shared" si="6"/>
        <v>0 yanvar 1900 г.</v>
      </c>
      <c r="L12" s="110"/>
      <c r="M12" s="112"/>
      <c r="N12" s="110"/>
      <c r="P12">
        <f t="shared" si="1"/>
        <v>0</v>
      </c>
    </row>
    <row r="13" spans="1:23" ht="15" customHeight="1">
      <c r="A13" s="108">
        <v>12</v>
      </c>
      <c r="D13" s="110" t="s">
        <v>256</v>
      </c>
      <c r="E13" s="110"/>
      <c r="F13" s="111"/>
      <c r="G13" s="101">
        <f t="shared" si="2"/>
        <v>1</v>
      </c>
      <c r="H13" s="111" t="str">
        <f t="shared" si="3"/>
        <v>yanvar</v>
      </c>
      <c r="I13" s="101">
        <f t="shared" si="4"/>
        <v>0</v>
      </c>
      <c r="J13" s="113">
        <f t="shared" si="5"/>
        <v>1900</v>
      </c>
      <c r="K13" s="111" t="str">
        <f t="shared" si="6"/>
        <v>0 yanvar 1900 г.</v>
      </c>
      <c r="L13" s="110"/>
      <c r="M13" s="112"/>
      <c r="N13" s="110"/>
      <c r="P13">
        <f t="shared" si="1"/>
        <v>0</v>
      </c>
    </row>
    <row r="14" spans="1:23" ht="15" customHeight="1">
      <c r="A14" s="108">
        <v>13</v>
      </c>
      <c r="D14" s="110" t="s">
        <v>256</v>
      </c>
      <c r="E14" s="110"/>
      <c r="F14" s="111"/>
      <c r="G14" s="101">
        <f t="shared" si="2"/>
        <v>1</v>
      </c>
      <c r="H14" s="111" t="str">
        <f t="shared" si="3"/>
        <v>yanvar</v>
      </c>
      <c r="I14" s="101">
        <f t="shared" si="4"/>
        <v>0</v>
      </c>
      <c r="J14" s="113">
        <f t="shared" si="5"/>
        <v>1900</v>
      </c>
      <c r="K14" s="111" t="str">
        <f t="shared" si="6"/>
        <v>0 yanvar 1900 г.</v>
      </c>
      <c r="L14" s="110"/>
      <c r="M14" s="112"/>
      <c r="N14" s="110"/>
      <c r="P14">
        <f t="shared" si="1"/>
        <v>0</v>
      </c>
    </row>
    <row r="15" spans="1:23" ht="15" customHeight="1">
      <c r="A15" s="108">
        <v>14</v>
      </c>
      <c r="D15" s="110" t="s">
        <v>256</v>
      </c>
      <c r="E15" s="110"/>
      <c r="F15" s="111"/>
      <c r="G15" s="101">
        <f t="shared" si="2"/>
        <v>1</v>
      </c>
      <c r="H15" s="111" t="str">
        <f t="shared" si="3"/>
        <v>yanvar</v>
      </c>
      <c r="I15" s="101">
        <f t="shared" si="4"/>
        <v>0</v>
      </c>
      <c r="J15" s="113">
        <f t="shared" si="5"/>
        <v>1900</v>
      </c>
      <c r="K15" s="111" t="str">
        <f t="shared" si="6"/>
        <v>0 yanvar 1900 г.</v>
      </c>
      <c r="L15" s="110"/>
      <c r="M15" s="112"/>
      <c r="N15" s="110"/>
      <c r="P15">
        <f t="shared" si="1"/>
        <v>0</v>
      </c>
    </row>
    <row r="16" spans="1:23" ht="15" customHeight="1">
      <c r="A16" s="108">
        <v>15</v>
      </c>
      <c r="D16" s="110" t="s">
        <v>256</v>
      </c>
      <c r="E16" s="110"/>
      <c r="F16" s="111"/>
      <c r="G16" s="101">
        <f t="shared" si="2"/>
        <v>1</v>
      </c>
      <c r="H16" s="111" t="str">
        <f t="shared" si="3"/>
        <v>yanvar</v>
      </c>
      <c r="I16" s="101">
        <f t="shared" si="4"/>
        <v>0</v>
      </c>
      <c r="J16" s="113">
        <f t="shared" si="5"/>
        <v>1900</v>
      </c>
      <c r="K16" s="111" t="str">
        <f t="shared" si="6"/>
        <v>0 yanvar 1900 г.</v>
      </c>
      <c r="L16" s="110"/>
      <c r="M16" s="112"/>
      <c r="N16" s="110"/>
      <c r="P16">
        <f t="shared" si="1"/>
        <v>0</v>
      </c>
    </row>
    <row r="17" spans="1:17" ht="15" customHeight="1">
      <c r="A17" s="108">
        <v>16</v>
      </c>
      <c r="D17" s="110" t="s">
        <v>256</v>
      </c>
      <c r="E17" s="110"/>
      <c r="F17" s="111"/>
      <c r="G17" s="101">
        <f t="shared" si="2"/>
        <v>1</v>
      </c>
      <c r="H17" s="111" t="str">
        <f t="shared" si="3"/>
        <v>yanvar</v>
      </c>
      <c r="I17" s="101">
        <f t="shared" si="4"/>
        <v>0</v>
      </c>
      <c r="J17" s="113">
        <f t="shared" si="5"/>
        <v>1900</v>
      </c>
      <c r="K17" s="111" t="str">
        <f t="shared" si="6"/>
        <v>0 yanvar 1900 г.</v>
      </c>
      <c r="L17" s="110"/>
      <c r="M17" s="112"/>
      <c r="N17" s="110"/>
      <c r="P17">
        <f t="shared" si="1"/>
        <v>0</v>
      </c>
    </row>
    <row r="18" spans="1:17" ht="15" customHeight="1">
      <c r="A18" s="108">
        <v>17</v>
      </c>
      <c r="D18" s="110" t="s">
        <v>256</v>
      </c>
      <c r="E18" s="110"/>
      <c r="F18" s="111"/>
      <c r="G18" s="101">
        <f t="shared" si="2"/>
        <v>1</v>
      </c>
      <c r="H18" s="111" t="str">
        <f t="shared" si="3"/>
        <v>yanvar</v>
      </c>
      <c r="I18" s="101">
        <f t="shared" si="4"/>
        <v>0</v>
      </c>
      <c r="J18" s="113">
        <f t="shared" si="5"/>
        <v>1900</v>
      </c>
      <c r="K18" s="111" t="str">
        <f t="shared" si="6"/>
        <v>0 yanvar 1900 г.</v>
      </c>
      <c r="L18" s="110"/>
      <c r="M18" s="112"/>
      <c r="N18" s="110"/>
      <c r="P18">
        <f t="shared" si="1"/>
        <v>0</v>
      </c>
    </row>
    <row r="19" spans="1:17" ht="15" customHeight="1">
      <c r="A19" s="108">
        <v>18</v>
      </c>
      <c r="D19" s="110" t="s">
        <v>256</v>
      </c>
      <c r="E19" s="110"/>
      <c r="F19" s="111"/>
      <c r="G19" s="101">
        <f t="shared" si="2"/>
        <v>1</v>
      </c>
      <c r="H19" s="111" t="str">
        <f t="shared" si="3"/>
        <v>yanvar</v>
      </c>
      <c r="I19" s="101">
        <f t="shared" si="4"/>
        <v>0</v>
      </c>
      <c r="J19" s="113">
        <f t="shared" si="5"/>
        <v>1900</v>
      </c>
      <c r="K19" s="111" t="str">
        <f t="shared" si="6"/>
        <v>0 yanvar 1900 г.</v>
      </c>
      <c r="L19" s="110"/>
      <c r="M19" s="112"/>
      <c r="N19" s="110"/>
      <c r="P19">
        <f t="shared" si="1"/>
        <v>0</v>
      </c>
    </row>
    <row r="20" spans="1:17" ht="15" customHeight="1">
      <c r="A20" s="108">
        <v>19</v>
      </c>
      <c r="D20" s="110" t="s">
        <v>256</v>
      </c>
      <c r="E20" s="110"/>
      <c r="F20" s="111"/>
      <c r="G20" s="101">
        <f t="shared" si="2"/>
        <v>1</v>
      </c>
      <c r="H20" s="111" t="str">
        <f t="shared" si="3"/>
        <v>yanvar</v>
      </c>
      <c r="I20" s="101">
        <f t="shared" si="4"/>
        <v>0</v>
      </c>
      <c r="J20" s="113">
        <f t="shared" si="5"/>
        <v>1900</v>
      </c>
      <c r="K20" s="111" t="str">
        <f t="shared" si="6"/>
        <v>0 yanvar 1900 г.</v>
      </c>
      <c r="L20" s="110"/>
      <c r="M20" s="112"/>
      <c r="N20" s="110"/>
      <c r="P20">
        <f t="shared" si="1"/>
        <v>0</v>
      </c>
    </row>
    <row r="21" spans="1:17" ht="15" customHeight="1">
      <c r="A21" s="108">
        <v>20</v>
      </c>
      <c r="D21" s="110" t="s">
        <v>256</v>
      </c>
      <c r="E21" s="110"/>
      <c r="F21" s="111"/>
      <c r="G21" s="101">
        <f t="shared" si="2"/>
        <v>1</v>
      </c>
      <c r="H21" s="111" t="str">
        <f t="shared" si="3"/>
        <v>yanvar</v>
      </c>
      <c r="I21" s="101">
        <f t="shared" si="4"/>
        <v>0</v>
      </c>
      <c r="J21" s="113">
        <f t="shared" si="5"/>
        <v>1900</v>
      </c>
      <c r="K21" s="111" t="str">
        <f t="shared" si="6"/>
        <v>0 yanvar 1900 г.</v>
      </c>
      <c r="L21" s="110"/>
      <c r="M21" s="112"/>
      <c r="N21" s="110"/>
      <c r="P21">
        <f t="shared" si="1"/>
        <v>0</v>
      </c>
    </row>
    <row r="22" spans="1:17">
      <c r="M22" s="116">
        <f>SUM(M2:M21)+malumot!B142</f>
        <v>97500000</v>
      </c>
      <c r="Q22" t="s">
        <v>255</v>
      </c>
    </row>
    <row r="23" spans="1:17">
      <c r="A23" s="97"/>
      <c r="B23" s="98"/>
      <c r="C23" s="98"/>
      <c r="D23" s="98"/>
      <c r="E23" s="98"/>
      <c r="F23" s="98"/>
      <c r="G23" s="98"/>
      <c r="H23" s="98"/>
      <c r="I23" s="98"/>
      <c r="J23" s="98"/>
      <c r="K23" s="98"/>
      <c r="L23" s="98"/>
      <c r="M23" s="98"/>
      <c r="N23" s="98"/>
      <c r="O23" s="98"/>
    </row>
    <row r="24" spans="1:17">
      <c r="A24" s="98"/>
      <c r="B24" s="98"/>
      <c r="C24" s="98"/>
      <c r="D24" s="98"/>
      <c r="E24" s="98"/>
      <c r="F24" s="98"/>
      <c r="G24" s="98"/>
      <c r="H24" s="98"/>
      <c r="I24" s="98"/>
      <c r="J24" s="98"/>
      <c r="K24" s="98"/>
      <c r="L24" s="98"/>
      <c r="M24" s="98"/>
      <c r="N24" s="98"/>
      <c r="O24" s="98"/>
    </row>
    <row r="25" spans="1:17">
      <c r="A25" s="98">
        <f>MONTH(F2)</f>
        <v>1</v>
      </c>
      <c r="B25" s="98" t="str">
        <f>IF(A25=A26,A28,IF(A25=B26,B28,IF(A25=C26,C28,IF(A25=D26,D28,IF(A25=E26,E28,IF(A25=F26,F28,IF(A25=K26,K28,IF(A25=L26,L28,IF(A25=M26,M28,IF(A25=N26,N28,IF(A25=O26,O28,IF(A25=#REF!,#REF!,))))))))))))</f>
        <v>yanvar</v>
      </c>
      <c r="C25" s="98">
        <f>DAY(F2)</f>
        <v>11</v>
      </c>
      <c r="D25" s="98">
        <f>YEAR(F2)</f>
        <v>2021</v>
      </c>
      <c r="E25" s="98"/>
      <c r="F25" s="98"/>
      <c r="G25" s="98"/>
      <c r="H25" s="98"/>
      <c r="I25" s="98"/>
      <c r="J25" s="98"/>
      <c r="K25" s="98"/>
      <c r="L25" s="98"/>
      <c r="M25" s="98"/>
      <c r="N25" s="98"/>
      <c r="O25" s="98"/>
    </row>
    <row r="26" spans="1:17">
      <c r="A26" s="98">
        <v>1</v>
      </c>
      <c r="B26" s="98">
        <v>2</v>
      </c>
      <c r="C26" s="98">
        <v>3</v>
      </c>
      <c r="D26" s="98">
        <v>4</v>
      </c>
      <c r="E26" s="98">
        <v>5</v>
      </c>
      <c r="F26" s="98">
        <v>6</v>
      </c>
      <c r="G26" s="98"/>
      <c r="H26" s="98"/>
      <c r="I26" s="98"/>
      <c r="J26" s="98"/>
      <c r="K26" s="98">
        <v>7</v>
      </c>
      <c r="L26" s="98">
        <v>8</v>
      </c>
      <c r="M26" s="98">
        <v>9</v>
      </c>
      <c r="N26" s="98">
        <v>10</v>
      </c>
      <c r="O26" s="98">
        <v>11</v>
      </c>
      <c r="P26" s="98">
        <v>12</v>
      </c>
    </row>
    <row r="27" spans="1:17">
      <c r="A27" s="98"/>
      <c r="B27" s="98"/>
      <c r="C27" s="98"/>
      <c r="D27" s="98"/>
      <c r="E27" s="98"/>
      <c r="F27" s="98"/>
      <c r="G27" s="98"/>
      <c r="H27" s="98"/>
      <c r="I27" s="98"/>
      <c r="J27" s="98"/>
      <c r="K27" s="98"/>
      <c r="L27" s="98"/>
      <c r="M27" s="98"/>
      <c r="N27" s="98"/>
      <c r="O27" s="98"/>
    </row>
    <row r="28" spans="1:17">
      <c r="A28" s="98" t="s">
        <v>119</v>
      </c>
      <c r="B28" s="98" t="s">
        <v>120</v>
      </c>
      <c r="C28" s="98" t="s">
        <v>109</v>
      </c>
      <c r="D28" s="98" t="s">
        <v>110</v>
      </c>
      <c r="E28" s="98" t="s">
        <v>111</v>
      </c>
      <c r="F28" s="98" t="s">
        <v>112</v>
      </c>
      <c r="G28" s="98"/>
      <c r="H28" s="98"/>
      <c r="I28" s="98"/>
      <c r="J28" s="98"/>
      <c r="K28" s="98" t="s">
        <v>24</v>
      </c>
      <c r="L28" s="98" t="s">
        <v>114</v>
      </c>
      <c r="M28" s="98" t="s">
        <v>254</v>
      </c>
      <c r="N28" s="98" t="s">
        <v>253</v>
      </c>
      <c r="O28" s="98" t="s">
        <v>117</v>
      </c>
      <c r="P28" s="98" t="s">
        <v>118</v>
      </c>
    </row>
    <row r="29" spans="1:17">
      <c r="A29" s="98" t="s">
        <v>119</v>
      </c>
      <c r="B29" s="98" t="s">
        <v>120</v>
      </c>
      <c r="C29" s="98" t="s">
        <v>109</v>
      </c>
      <c r="D29" s="98" t="s">
        <v>110</v>
      </c>
      <c r="E29" s="98" t="s">
        <v>111</v>
      </c>
      <c r="F29" s="98" t="s">
        <v>112</v>
      </c>
      <c r="G29" s="98"/>
      <c r="H29" s="98"/>
      <c r="I29" s="98"/>
      <c r="J29" s="98"/>
      <c r="K29" s="98" t="s">
        <v>28</v>
      </c>
      <c r="L29" s="98" t="s">
        <v>114</v>
      </c>
      <c r="M29" s="98" t="s">
        <v>254</v>
      </c>
      <c r="N29" s="98" t="s">
        <v>253</v>
      </c>
      <c r="O29" s="98" t="s">
        <v>117</v>
      </c>
      <c r="P29" s="98" t="s">
        <v>118</v>
      </c>
    </row>
    <row r="30" spans="1:17">
      <c r="A30" s="98"/>
      <c r="B30" s="98"/>
      <c r="C30" s="98"/>
      <c r="D30" s="98"/>
      <c r="E30" s="98"/>
      <c r="F30" s="98"/>
      <c r="G30" s="98"/>
      <c r="H30" s="98"/>
      <c r="I30" s="98"/>
      <c r="J30" s="98"/>
      <c r="K30" s="98"/>
      <c r="L30" s="99"/>
      <c r="M30" s="99"/>
      <c r="N30" s="99"/>
      <c r="O30" s="99"/>
    </row>
  </sheetData>
  <dataValidations count="1">
    <dataValidation type="list" allowBlank="1" showInputMessage="1" showErrorMessage="1" sqref="D2:D21" xr:uid="{00000000-0002-0000-05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97" t="s">
        <v>16</v>
      </c>
      <c r="F1" s="297"/>
    </row>
    <row r="2" spans="1:8">
      <c r="A2" s="37"/>
      <c r="B2" s="37"/>
      <c r="C2" s="37"/>
      <c r="D2" s="37"/>
      <c r="E2" s="37"/>
      <c r="F2" s="38" t="str">
        <f>"к договору микрозайма "&amp;malumot!B74&amp;""</f>
        <v>к договору микрозайма 24 mart 2025 y.dan №656-XT</v>
      </c>
    </row>
    <row r="3" spans="1:8" ht="6.75" customHeight="1">
      <c r="A3" s="37"/>
      <c r="B3" s="37"/>
      <c r="C3" s="37"/>
      <c r="D3" s="37"/>
      <c r="E3" s="37"/>
      <c r="F3" s="37"/>
    </row>
    <row r="4" spans="1:8">
      <c r="A4" s="298" t="s">
        <v>17</v>
      </c>
      <c r="B4" s="298"/>
      <c r="C4" s="298"/>
      <c r="D4" s="298"/>
      <c r="E4" s="298"/>
      <c r="F4" s="298"/>
    </row>
    <row r="5" spans="1:8" ht="7.5" customHeight="1"/>
    <row r="6" spans="1:8">
      <c r="A6" s="299" t="s">
        <v>15</v>
      </c>
      <c r="B6" s="300" t="s">
        <v>9</v>
      </c>
      <c r="C6" s="300" t="s">
        <v>10</v>
      </c>
      <c r="D6" s="301" t="s">
        <v>11</v>
      </c>
      <c r="E6" s="301"/>
      <c r="F6" s="301"/>
    </row>
    <row r="7" spans="1:8" s="16" customFormat="1">
      <c r="A7" s="299"/>
      <c r="B7" s="300"/>
      <c r="C7" s="300"/>
      <c r="D7" s="17" t="s">
        <v>12</v>
      </c>
      <c r="E7" s="17" t="s">
        <v>13</v>
      </c>
      <c r="F7" s="17" t="s">
        <v>14</v>
      </c>
    </row>
    <row r="8" spans="1:8">
      <c r="A8" s="18">
        <v>1</v>
      </c>
      <c r="B8" s="33">
        <f>'График дифференц'!B8</f>
        <v>45762</v>
      </c>
      <c r="C8" s="34">
        <f>malumot!B75</f>
        <v>35000000</v>
      </c>
      <c r="D8" s="34">
        <f>IF(A8&lt;malumot!$B$81,'График аннуитет.'!F8-'График аннуитет.'!E8,'График аннуитет.'!C8)</f>
        <v>1880251.1900000004</v>
      </c>
      <c r="E8" s="34">
        <f>ROUND(C8*malumot!$B$84/H8,2)*'График аннуитет.'!G8</f>
        <v>1265753.5</v>
      </c>
      <c r="F8" s="34">
        <f>malumot!B90</f>
        <v>3146004.6900000004</v>
      </c>
      <c r="G8" s="15">
        <f>B8-malumot!B67</f>
        <v>22</v>
      </c>
      <c r="H8" s="15">
        <f>DATE(YEAR(B8),12,31)-DATE(YEAR(B8),1,1)+1</f>
        <v>365</v>
      </c>
    </row>
    <row r="9" spans="1:8">
      <c r="A9" s="18">
        <v>2</v>
      </c>
      <c r="B9" s="33">
        <f>'График дифференц'!B9</f>
        <v>45792</v>
      </c>
      <c r="C9" s="34">
        <f t="shared" ref="C9:C30" si="0">C8-D8</f>
        <v>33119748.809999999</v>
      </c>
      <c r="D9" s="34">
        <f>IF(A9&lt;malumot!$B$81,'График аннуитет.'!F9-'График аннуитет.'!E9,'График аннуитет.'!C9)</f>
        <v>1512702.0900000005</v>
      </c>
      <c r="E9" s="34">
        <f>ROUND(C9*malumot!$B$84/H9,2)*'График аннуитет.'!G9</f>
        <v>1633302.5999999999</v>
      </c>
      <c r="F9" s="34">
        <f>IF(A9&lt;malumot!$B$81,'График аннуитет.'!F8,'График аннуитет.'!D9+'График аннуитет.'!E9)</f>
        <v>3146004.6900000004</v>
      </c>
      <c r="G9" s="15">
        <f>B9-B8</f>
        <v>30</v>
      </c>
      <c r="H9" s="15">
        <f t="shared" ref="H9:H31" si="1">DATE(YEAR(B9),12,31)-DATE(YEAR(B9),1,1)+1</f>
        <v>365</v>
      </c>
    </row>
    <row r="10" spans="1:8">
      <c r="A10" s="18">
        <v>3</v>
      </c>
      <c r="B10" s="33">
        <f>'График дифференц'!B10</f>
        <v>45824</v>
      </c>
      <c r="C10" s="34">
        <f t="shared" si="0"/>
        <v>31607046.719999999</v>
      </c>
      <c r="D10" s="34">
        <f>IF(A10&lt;malumot!$B$81,'График аннуитет.'!F10-'График аннуитет.'!E10,'График аннуитет.'!C10)</f>
        <v>1483387.4100000004</v>
      </c>
      <c r="E10" s="34">
        <f>ROUND(C10*malumot!$B$84/H10,2)*'График аннуитет.'!G10</f>
        <v>1662617.28</v>
      </c>
      <c r="F10" s="34">
        <f>IF(A10&lt;malumot!$B$81,'График аннуитет.'!F9,'График аннуитет.'!D10+'График аннуитет.'!E10)</f>
        <v>3146004.6900000004</v>
      </c>
      <c r="G10" s="15">
        <f t="shared" ref="G10:G24" si="2">B10-B9</f>
        <v>32</v>
      </c>
      <c r="H10" s="15">
        <f t="shared" si="1"/>
        <v>365</v>
      </c>
    </row>
    <row r="11" spans="1:8">
      <c r="A11" s="18">
        <v>4</v>
      </c>
      <c r="B11" s="33">
        <f>'График дифференц'!B11</f>
        <v>45853</v>
      </c>
      <c r="C11" s="34">
        <f t="shared" si="0"/>
        <v>30123659.309999999</v>
      </c>
      <c r="D11" s="34">
        <f>IF(A11&lt;malumot!$B$81,'График аннуитет.'!F11-'График аннуитет.'!E11,'График аннуитет.'!C11)</f>
        <v>1709972.8300000005</v>
      </c>
      <c r="E11" s="34">
        <f>ROUND(C11*malumot!$B$84/H11,2)*'График аннуитет.'!G11</f>
        <v>1436031.8599999999</v>
      </c>
      <c r="F11" s="34">
        <f>IF(A11&lt;malumot!$B$81,'График аннуитет.'!F10,'График аннуитет.'!D11+'График аннуитет.'!E11)</f>
        <v>3146004.6900000004</v>
      </c>
      <c r="G11" s="15">
        <f t="shared" si="2"/>
        <v>29</v>
      </c>
      <c r="H11" s="15">
        <f t="shared" si="1"/>
        <v>365</v>
      </c>
    </row>
    <row r="12" spans="1:8">
      <c r="A12" s="18">
        <v>5</v>
      </c>
      <c r="B12" s="33">
        <f>'График дифференц'!B12</f>
        <v>45884</v>
      </c>
      <c r="C12" s="34">
        <f t="shared" si="0"/>
        <v>28413686.479999997</v>
      </c>
      <c r="D12" s="34">
        <f>IF(A12&lt;malumot!$B$81,'График аннуитет.'!F12-'График аннуитет.'!E12,'График аннуитет.'!C12)</f>
        <v>1698074.3600000003</v>
      </c>
      <c r="E12" s="34">
        <f>ROUND(C12*malumot!$B$84/H12,2)*'График аннуитет.'!G12</f>
        <v>1447930.33</v>
      </c>
      <c r="F12" s="34">
        <f>IF(A12&lt;malumot!$B$81,'График аннуитет.'!F11,'График аннуитет.'!D12+'График аннуитет.'!E12)</f>
        <v>3146004.6900000004</v>
      </c>
      <c r="G12" s="15">
        <f t="shared" si="2"/>
        <v>31</v>
      </c>
      <c r="H12" s="15">
        <f t="shared" si="1"/>
        <v>365</v>
      </c>
    </row>
    <row r="13" spans="1:8">
      <c r="A13" s="18">
        <v>6</v>
      </c>
      <c r="B13" s="33">
        <f>'График дифференц'!B13</f>
        <v>45915</v>
      </c>
      <c r="C13" s="34">
        <f t="shared" si="0"/>
        <v>26715612.119999997</v>
      </c>
      <c r="D13" s="34">
        <f>IF(A13&lt;malumot!$B$81,'График аннуитет.'!F13-'График аннуитет.'!E13,'График аннуитет.'!C13)</f>
        <v>1784606.5200000005</v>
      </c>
      <c r="E13" s="34">
        <f>ROUND(C13*malumot!$B$84/H13,2)*'График аннуитет.'!G13</f>
        <v>1361398.17</v>
      </c>
      <c r="F13" s="34">
        <f>IF(A13&lt;malumot!$B$81,'График аннуитет.'!F12,'График аннуитет.'!D13+'График аннуитет.'!E13)</f>
        <v>3146004.6900000004</v>
      </c>
      <c r="G13" s="15">
        <f t="shared" si="2"/>
        <v>31</v>
      </c>
      <c r="H13" s="15">
        <f t="shared" si="1"/>
        <v>365</v>
      </c>
    </row>
    <row r="14" spans="1:8">
      <c r="A14" s="18">
        <v>7</v>
      </c>
      <c r="B14" s="33">
        <f>'График дифференц'!B14</f>
        <v>45945</v>
      </c>
      <c r="C14" s="34">
        <f t="shared" si="0"/>
        <v>24931005.599999998</v>
      </c>
      <c r="D14" s="34">
        <f>IF(A14&lt;malumot!$B$81,'График аннуитет.'!F14-'График аннуитет.'!E14,'График аннуитет.'!C14)</f>
        <v>1916530.5900000003</v>
      </c>
      <c r="E14" s="34">
        <f>ROUND(C14*malumot!$B$84/H14,2)*'График аннуитет.'!G14</f>
        <v>1229474.1000000001</v>
      </c>
      <c r="F14" s="34">
        <f>IF(A14&lt;malumot!$B$81,'График аннуитет.'!F13,'График аннуитет.'!D14+'График аннуитет.'!E14)</f>
        <v>3146004.6900000004</v>
      </c>
      <c r="G14" s="15">
        <f t="shared" si="2"/>
        <v>30</v>
      </c>
      <c r="H14" s="15">
        <f t="shared" si="1"/>
        <v>365</v>
      </c>
    </row>
    <row r="15" spans="1:8">
      <c r="A15" s="18">
        <v>8</v>
      </c>
      <c r="B15" s="33">
        <f>'График дифференц'!B15</f>
        <v>45978</v>
      </c>
      <c r="C15" s="34">
        <f t="shared" si="0"/>
        <v>23014475.009999998</v>
      </c>
      <c r="D15" s="34">
        <f>IF(A15&lt;malumot!$B$81,'График аннуитет.'!F15-'График аннуитет.'!E15,'График аннуитет.'!C15)</f>
        <v>1897548.3600000003</v>
      </c>
      <c r="E15" s="34">
        <f>ROUND(C15*malumot!$B$84/H15,2)*'График аннуитет.'!G15</f>
        <v>1248456.33</v>
      </c>
      <c r="F15" s="34">
        <f>IF(A15&lt;malumot!$B$81,'График аннуитет.'!F14,'График аннуитет.'!D15+'График аннуитет.'!E15)</f>
        <v>3146004.6900000004</v>
      </c>
      <c r="G15" s="15">
        <f t="shared" si="2"/>
        <v>33</v>
      </c>
      <c r="H15" s="15">
        <f t="shared" si="1"/>
        <v>365</v>
      </c>
    </row>
    <row r="16" spans="1:8">
      <c r="A16" s="18">
        <v>9</v>
      </c>
      <c r="B16" s="33">
        <f>'График дифференц'!B16</f>
        <v>46006</v>
      </c>
      <c r="C16" s="34">
        <f t="shared" si="0"/>
        <v>21116926.649999999</v>
      </c>
      <c r="D16" s="34">
        <f>IF(A16&lt;malumot!$B$81,'График аннуитет.'!F16-'График аннуитет.'!E16,'График аннуитет.'!C16)</f>
        <v>2174047.41</v>
      </c>
      <c r="E16" s="34">
        <f>ROUND(C16*malumot!$B$84/H16,2)*'График аннуитет.'!G16</f>
        <v>971957.28</v>
      </c>
      <c r="F16" s="34">
        <f>IF(A16&lt;malumot!$B$81,'График аннуитет.'!F15,'График аннуитет.'!D16+'График аннуитет.'!E16)</f>
        <v>3146004.6900000004</v>
      </c>
      <c r="G16" s="15">
        <f t="shared" si="2"/>
        <v>28</v>
      </c>
      <c r="H16" s="15">
        <f t="shared" si="1"/>
        <v>365</v>
      </c>
    </row>
    <row r="17" spans="1:8">
      <c r="A17" s="18">
        <v>10</v>
      </c>
      <c r="B17" s="33">
        <f>'График дифференц'!B17</f>
        <v>46037</v>
      </c>
      <c r="C17" s="34">
        <f t="shared" si="0"/>
        <v>18942879.239999998</v>
      </c>
      <c r="D17" s="34">
        <f>IF(A17&lt;malumot!$B$81,'График аннуитет.'!F17-'График аннуитет.'!E17,'График аннуитет.'!C17)</f>
        <v>2180696.3100000005</v>
      </c>
      <c r="E17" s="34">
        <f>ROUND(C17*malumot!$B$84/H17,2)*'График аннуитет.'!G17</f>
        <v>965308.38</v>
      </c>
      <c r="F17" s="34">
        <f>IF(A17&lt;malumot!$B$81,'График аннуитет.'!F16,'График аннуитет.'!D17+'График аннуитет.'!E17)</f>
        <v>3146004.6900000004</v>
      </c>
      <c r="G17" s="15">
        <f t="shared" si="2"/>
        <v>31</v>
      </c>
      <c r="H17" s="15">
        <f t="shared" si="1"/>
        <v>365</v>
      </c>
    </row>
    <row r="18" spans="1:8">
      <c r="A18" s="18">
        <v>11</v>
      </c>
      <c r="B18" s="33">
        <f>'График дифференц'!B18</f>
        <v>46069</v>
      </c>
      <c r="C18" s="34">
        <f t="shared" si="0"/>
        <v>16762182.929999998</v>
      </c>
      <c r="D18" s="34">
        <f>IF(A18&lt;malumot!$B$81,'График аннуитет.'!F18-'График аннуитет.'!E18,'График аннуитет.'!C18)</f>
        <v>2264268.0500000003</v>
      </c>
      <c r="E18" s="34">
        <f>ROUND(C18*malumot!$B$84/H18,2)*'График аннуитет.'!G18</f>
        <v>881736.64</v>
      </c>
      <c r="F18" s="34">
        <f>IF(A18&lt;malumot!$B$81,'График аннуитет.'!F17,'График аннуитет.'!D18+'График аннуитет.'!E18)</f>
        <v>3146004.6900000004</v>
      </c>
      <c r="G18" s="15">
        <f t="shared" si="2"/>
        <v>32</v>
      </c>
      <c r="H18" s="15">
        <f t="shared" si="1"/>
        <v>365</v>
      </c>
    </row>
    <row r="19" spans="1:8">
      <c r="A19" s="18">
        <v>12</v>
      </c>
      <c r="B19" s="33">
        <f>'График дифференц'!B19</f>
        <v>46097</v>
      </c>
      <c r="C19" s="34">
        <f t="shared" si="0"/>
        <v>14497914.879999997</v>
      </c>
      <c r="D19" s="34">
        <f>IF(A19&lt;malumot!$B$81,'График аннуитет.'!F19-'График аннуитет.'!E19,'График аннуитет.'!C19)</f>
        <v>2478703.3700000006</v>
      </c>
      <c r="E19" s="34">
        <f>ROUND(C19*malumot!$B$84/H19,2)*'График аннуитет.'!G19</f>
        <v>667301.31999999995</v>
      </c>
      <c r="F19" s="34">
        <f>IF(A19&lt;malumot!$B$81,'График аннуитет.'!F18,'График аннуитет.'!D19+'График аннуитет.'!E19)</f>
        <v>3146004.6900000004</v>
      </c>
      <c r="G19" s="15">
        <f>B19-B18</f>
        <v>28</v>
      </c>
      <c r="H19" s="15">
        <f t="shared" si="1"/>
        <v>365</v>
      </c>
    </row>
    <row r="20" spans="1:8">
      <c r="A20" s="18">
        <v>13</v>
      </c>
      <c r="B20" s="33">
        <f>'График дифференц'!B20</f>
        <v>46127</v>
      </c>
      <c r="C20" s="34">
        <f t="shared" si="0"/>
        <v>12019211.509999996</v>
      </c>
      <c r="D20" s="34">
        <f>IF(A20&lt;malumot!$B$81,'График аннуитет.'!F20-'График аннуитет.'!E20,'График аннуитет.'!C20)</f>
        <v>2553276.3900000006</v>
      </c>
      <c r="E20" s="34">
        <f>ROUND(C20*malumot!$B$84/H20,2)*'График аннуитет.'!G20</f>
        <v>592728.30000000005</v>
      </c>
      <c r="F20" s="34">
        <f>IF(A20&lt;malumot!$B$81,'График аннуитет.'!F19,'График аннуитет.'!D20+'График аннуитет.'!E20)</f>
        <v>3146004.6900000004</v>
      </c>
      <c r="G20" s="15">
        <f t="shared" si="2"/>
        <v>30</v>
      </c>
      <c r="H20" s="15">
        <f t="shared" si="1"/>
        <v>365</v>
      </c>
    </row>
    <row r="21" spans="1:8">
      <c r="A21" s="18">
        <v>14</v>
      </c>
      <c r="B21" s="33">
        <f>'График дифференц'!B21</f>
        <v>46157</v>
      </c>
      <c r="C21" s="34">
        <f t="shared" si="0"/>
        <v>9465935.1199999955</v>
      </c>
      <c r="D21" s="34">
        <f>IF(A21&lt;malumot!$B$81,'График аннуитет.'!F21-'График аннуитет.'!E21,'График аннуитет.'!C21)</f>
        <v>2679191.4900000002</v>
      </c>
      <c r="E21" s="34">
        <f>ROUND(C21*malumot!$B$84/H21,2)*'График аннуитет.'!G21</f>
        <v>466813.2</v>
      </c>
      <c r="F21" s="34">
        <f>IF(A21&lt;malumot!$B$81,'График аннуитет.'!F20,'График аннуитет.'!D21+'График аннуитет.'!E21)</f>
        <v>3146004.6900000004</v>
      </c>
      <c r="G21" s="15">
        <f t="shared" si="2"/>
        <v>30</v>
      </c>
      <c r="H21" s="15">
        <f t="shared" si="1"/>
        <v>365</v>
      </c>
    </row>
    <row r="22" spans="1:8">
      <c r="A22" s="18">
        <v>15</v>
      </c>
      <c r="B22" s="33">
        <f>'График дифференц'!B22</f>
        <v>46188</v>
      </c>
      <c r="C22" s="34">
        <f t="shared" si="0"/>
        <v>6786743.6299999952</v>
      </c>
      <c r="D22" s="34">
        <f>IF(A22&lt;malumot!$B$81,'График аннуитет.'!F22-'График аннуитет.'!E22,'График аннуитет.'!C22)</f>
        <v>2800159.7</v>
      </c>
      <c r="E22" s="34">
        <f>ROUND(C22*malumot!$B$84/H22,2)*'График аннуитет.'!G22</f>
        <v>345844.99000000005</v>
      </c>
      <c r="F22" s="34">
        <f>IF(A22&lt;malumot!$B$81,'График аннуитет.'!F21,'График аннуитет.'!D22+'График аннуитет.'!E22)</f>
        <v>3146004.6900000004</v>
      </c>
      <c r="G22" s="15">
        <f t="shared" si="2"/>
        <v>31</v>
      </c>
      <c r="H22" s="15">
        <f t="shared" si="1"/>
        <v>365</v>
      </c>
    </row>
    <row r="23" spans="1:8">
      <c r="A23" s="18">
        <v>16</v>
      </c>
      <c r="B23" s="33">
        <f>'График дифференц'!B23</f>
        <v>46218</v>
      </c>
      <c r="C23" s="34">
        <f t="shared" si="0"/>
        <v>3986583.929999995</v>
      </c>
      <c r="D23" s="34">
        <f>IF(A23&lt;malumot!$B$81,'График аннуитет.'!F23-'График аннуитет.'!E23,'График аннуитет.'!C23)</f>
        <v>2949405.99</v>
      </c>
      <c r="E23" s="34">
        <f>ROUND(C23*malumot!$B$84/H23,2)*'График аннуитет.'!G23</f>
        <v>196598.7</v>
      </c>
      <c r="F23" s="34">
        <f>IF(A23&lt;malumot!$B$81,'График аннуитет.'!F22,'График аннуитет.'!D23+'График аннуитет.'!E23)</f>
        <v>3146004.6900000004</v>
      </c>
      <c r="G23" s="15">
        <f t="shared" si="2"/>
        <v>30</v>
      </c>
      <c r="H23" s="15">
        <f t="shared" si="1"/>
        <v>365</v>
      </c>
    </row>
    <row r="24" spans="1:8">
      <c r="A24" s="18">
        <v>17</v>
      </c>
      <c r="B24" s="33">
        <f>'График дифференц'!B24</f>
        <v>46251</v>
      </c>
      <c r="C24" s="34">
        <f t="shared" si="0"/>
        <v>1037177.9399999948</v>
      </c>
      <c r="D24" s="34">
        <f>IF(A24&lt;malumot!$B$81,'График аннуитет.'!F24-'График аннуитет.'!E24,'График аннуитет.'!C24)</f>
        <v>3089741.3400000003</v>
      </c>
      <c r="E24" s="34">
        <f>ROUND(C24*malumot!$B$84/H24,2)*'График аннуитет.'!G24</f>
        <v>56263.35</v>
      </c>
      <c r="F24" s="34">
        <f>IF(A24&lt;malumot!$B$81,'График аннуитет.'!F23,'График аннуитет.'!D24+'График аннуитет.'!E24)</f>
        <v>3146004.6900000004</v>
      </c>
      <c r="G24" s="15">
        <f t="shared" si="2"/>
        <v>33</v>
      </c>
      <c r="H24" s="15">
        <f t="shared" si="1"/>
        <v>365</v>
      </c>
    </row>
    <row r="25" spans="1:8">
      <c r="A25" s="18">
        <v>18</v>
      </c>
      <c r="B25" s="33">
        <f>'График дифференц'!B25</f>
        <v>46280</v>
      </c>
      <c r="C25" s="34">
        <f t="shared" si="0"/>
        <v>-2052563.4000000055</v>
      </c>
      <c r="D25" s="34">
        <f>IF(A25&lt;malumot!$B$81,'График аннуитет.'!F25-'График аннуитет.'!E25,'График аннуитет.'!C25)</f>
        <v>3243853.0100000002</v>
      </c>
      <c r="E25" s="34">
        <f>ROUND(C25*malumot!$B$84/H25,2)*'График аннуитет.'!G25</f>
        <v>-97848.319999999992</v>
      </c>
      <c r="F25" s="34">
        <f>IF(A25&lt;malumot!$B$81,'График аннуитет.'!F24,'График аннуитет.'!D25+'График аннуитет.'!E25)</f>
        <v>3146004.6900000004</v>
      </c>
      <c r="G25" s="15">
        <f>B25-B24</f>
        <v>29</v>
      </c>
      <c r="H25" s="15">
        <f t="shared" si="1"/>
        <v>365</v>
      </c>
    </row>
    <row r="26" spans="1:8">
      <c r="A26" s="18">
        <v>19</v>
      </c>
      <c r="B26" s="33">
        <f>'График дифференц'!B26</f>
        <v>46310</v>
      </c>
      <c r="C26" s="34">
        <f t="shared" si="0"/>
        <v>-5296416.4100000057</v>
      </c>
      <c r="D26" s="34">
        <f>IF(A26&lt;malumot!$B$81,'График аннуитет.'!F26-'График аннуитет.'!E26,'График аннуитет.'!C26)</f>
        <v>3407197.8900000006</v>
      </c>
      <c r="E26" s="34">
        <f>ROUND(C26*malumot!$B$84/H26,2)*'График аннуитет.'!G26</f>
        <v>-261193.2</v>
      </c>
      <c r="F26" s="34">
        <f>IF(A26&lt;malumot!$B$81,'График аннуитет.'!F25,'График аннуитет.'!D26+'График аннуитет.'!E26)</f>
        <v>3146004.6900000004</v>
      </c>
      <c r="G26" s="15">
        <f t="shared" ref="G26:G30" si="3">B26-B25</f>
        <v>30</v>
      </c>
      <c r="H26" s="15">
        <f t="shared" si="1"/>
        <v>365</v>
      </c>
    </row>
    <row r="27" spans="1:8">
      <c r="A27" s="18">
        <v>20</v>
      </c>
      <c r="B27" s="33">
        <f>'График дифференц'!B27</f>
        <v>46342</v>
      </c>
      <c r="C27" s="34">
        <f t="shared" si="0"/>
        <v>-8703614.3000000063</v>
      </c>
      <c r="D27" s="34">
        <f>IF(A27&lt;malumot!$B$81,'График аннуитет.'!F27-'График аннуитет.'!E27,'График аннуитет.'!C27)</f>
        <v>3603838.6100000003</v>
      </c>
      <c r="E27" s="34">
        <f>ROUND(C27*malumot!$B$84/H27,2)*'График аннуитет.'!G27</f>
        <v>-457833.92</v>
      </c>
      <c r="F27" s="34">
        <f>IF(A27&lt;malumot!$B$81,'График аннуитет.'!F26,'График аннуитет.'!D27+'График аннуитет.'!E27)</f>
        <v>3146004.6900000004</v>
      </c>
      <c r="G27" s="15">
        <f t="shared" si="3"/>
        <v>32</v>
      </c>
      <c r="H27" s="15">
        <f t="shared" si="1"/>
        <v>365</v>
      </c>
    </row>
    <row r="28" spans="1:8">
      <c r="A28" s="18">
        <v>21</v>
      </c>
      <c r="B28" s="33">
        <f>'График дифференц'!B28</f>
        <v>46371</v>
      </c>
      <c r="C28" s="34">
        <f t="shared" si="0"/>
        <v>-12307452.910000008</v>
      </c>
      <c r="D28" s="34">
        <f>IF(A28&lt;malumot!$B$81,'График аннуитет.'!F28-'График аннуитет.'!E28,'График аннуитет.'!C28)</f>
        <v>3732716.16</v>
      </c>
      <c r="E28" s="34">
        <f>ROUND(C28*malumot!$B$84/H28,2)*'График аннуитет.'!G28</f>
        <v>-586711.47</v>
      </c>
      <c r="F28" s="34">
        <f>IF(A28&lt;malumot!$B$81,'График аннуитет.'!F27,'График аннуитет.'!D28+'График аннуитет.'!E28)</f>
        <v>3146004.6900000004</v>
      </c>
      <c r="G28" s="15">
        <f t="shared" si="3"/>
        <v>29</v>
      </c>
      <c r="H28" s="15">
        <f t="shared" si="1"/>
        <v>365</v>
      </c>
    </row>
    <row r="29" spans="1:8">
      <c r="A29" s="18">
        <v>22</v>
      </c>
      <c r="B29" s="33">
        <f>'График дифференц'!B29</f>
        <v>46402</v>
      </c>
      <c r="C29" s="34">
        <f t="shared" si="0"/>
        <v>-16040169.070000008</v>
      </c>
      <c r="D29" s="34">
        <f>IF(A29&lt;malumot!$B$81,'График аннуитет.'!F29-'График аннуитет.'!E29,'График аннуитет.'!C29)</f>
        <v>3963394.0900000003</v>
      </c>
      <c r="E29" s="34">
        <f>ROUND(C29*malumot!$B$84/H29,2)*'График аннуитет.'!G29</f>
        <v>-817389.4</v>
      </c>
      <c r="F29" s="34">
        <f>IF(A29&lt;malumot!$B$81,'График аннуитет.'!F28,'График аннуитет.'!D29+'График аннуитет.'!E29)</f>
        <v>3146004.6900000004</v>
      </c>
      <c r="G29" s="15">
        <f t="shared" si="3"/>
        <v>31</v>
      </c>
      <c r="H29" s="15">
        <f t="shared" si="1"/>
        <v>365</v>
      </c>
    </row>
    <row r="30" spans="1:8">
      <c r="A30" s="18">
        <v>23</v>
      </c>
      <c r="B30" s="33">
        <f>'График дифференц'!B30</f>
        <v>46433</v>
      </c>
      <c r="C30" s="34">
        <f t="shared" si="0"/>
        <v>-20003563.160000008</v>
      </c>
      <c r="D30" s="34">
        <f>IF(A30&lt;malumot!$B$81,'График аннуитет.'!F30-'График аннуитет.'!E30,'График аннуитет.'!C30)</f>
        <v>4165364.3600000003</v>
      </c>
      <c r="E30" s="34">
        <f>ROUND(C30*malumot!$B$84/H30,2)*'График аннуитет.'!G30</f>
        <v>-1019359.67</v>
      </c>
      <c r="F30" s="34">
        <f>IF(A30&lt;malumot!$B$81,'График аннуитет.'!F29,'График аннуитет.'!D30+'График аннуитет.'!E30)</f>
        <v>3146004.6900000004</v>
      </c>
      <c r="G30" s="15">
        <f t="shared" si="3"/>
        <v>31</v>
      </c>
      <c r="H30" s="15">
        <f t="shared" si="1"/>
        <v>365</v>
      </c>
    </row>
    <row r="31" spans="1:8">
      <c r="A31" s="18">
        <v>24</v>
      </c>
      <c r="B31" s="33">
        <f>'График дифференц'!B31</f>
        <v>46470</v>
      </c>
      <c r="C31" s="34">
        <f t="shared" ref="C31" si="4">C30-D30</f>
        <v>-24168927.520000007</v>
      </c>
      <c r="D31" s="34">
        <f>IF(A31&lt;malumot!$B$81,'График аннуитет.'!F31-'График аннуитет.'!E31,'График аннуитет.'!C31)</f>
        <v>-24168927.520000007</v>
      </c>
      <c r="E31" s="34">
        <f>ROUND(C31*malumot!$B$84/H31,2)*'График аннуитет.'!G31</f>
        <v>-1470000.38</v>
      </c>
      <c r="F31" s="34">
        <f>IF(A31&lt;malumot!$B$81,'График аннуитет.'!F30,'График аннуитет.'!D31+'График аннуитет.'!E31)</f>
        <v>-25638927.900000006</v>
      </c>
      <c r="G31" s="15">
        <f>B31-B30</f>
        <v>37</v>
      </c>
      <c r="H31" s="15">
        <f t="shared" si="1"/>
        <v>365</v>
      </c>
    </row>
    <row r="32" spans="1:8">
      <c r="A32" s="18">
        <f>1+A31</f>
        <v>25</v>
      </c>
      <c r="B32" s="33" t="b">
        <f>'График дифференц'!B32</f>
        <v>0</v>
      </c>
      <c r="C32" s="34">
        <f t="shared" ref="C32:C43" si="5">C31-D31</f>
        <v>0</v>
      </c>
      <c r="D32" s="34">
        <f>IF(A32&lt;malumot!$B$81,'График аннуитет.'!F32-'График аннуитет.'!E32,'График аннуитет.'!C32)</f>
        <v>0</v>
      </c>
      <c r="E32" s="34">
        <f>ROUND(C32*malumot!$B$84/H32,2)*'График аннуитет.'!G32</f>
        <v>0</v>
      </c>
      <c r="F32" s="34">
        <f>IF(A32&lt;malumot!$B$81,'График аннуитет.'!F31,'График аннуитет.'!D32+'График аннуитет.'!E32)</f>
        <v>0</v>
      </c>
      <c r="G32" s="15">
        <f t="shared" ref="G32:G43" si="6">B32-B31</f>
        <v>-46470</v>
      </c>
      <c r="H32" s="15">
        <f t="shared" ref="H32:H43" si="7">DATE(YEAR(B32),12,31)-DATE(YEAR(B32),1,1)+1</f>
        <v>366</v>
      </c>
    </row>
    <row r="33" spans="1:8">
      <c r="A33" s="18">
        <f t="shared" ref="A33:A43" si="8">1+A32</f>
        <v>26</v>
      </c>
      <c r="B33" s="33" t="b">
        <f>'График дифференц'!B33</f>
        <v>0</v>
      </c>
      <c r="C33" s="34">
        <f t="shared" si="5"/>
        <v>0</v>
      </c>
      <c r="D33" s="34">
        <f>IF(A33&lt;malumot!$B$81,'График аннуитет.'!F33-'График аннуитет.'!E33,'График аннуитет.'!C33)</f>
        <v>0</v>
      </c>
      <c r="E33" s="34">
        <f>ROUND(C33*malumot!$B$84/H33,2)*'График аннуитет.'!G33</f>
        <v>0</v>
      </c>
      <c r="F33" s="34">
        <f>IF(A33&lt;malumot!$B$81,'График аннуитет.'!F32,'График аннуитет.'!D33+'График аннуитет.'!E33)</f>
        <v>0</v>
      </c>
      <c r="G33" s="15">
        <f t="shared" si="6"/>
        <v>0</v>
      </c>
      <c r="H33" s="15">
        <f t="shared" si="7"/>
        <v>366</v>
      </c>
    </row>
    <row r="34" spans="1:8">
      <c r="A34" s="18">
        <f t="shared" si="8"/>
        <v>27</v>
      </c>
      <c r="B34" s="33" t="b">
        <f>'График дифференц'!B34</f>
        <v>0</v>
      </c>
      <c r="C34" s="34">
        <f t="shared" si="5"/>
        <v>0</v>
      </c>
      <c r="D34" s="34">
        <f>IF(A34&lt;malumot!$B$81,'График аннуитет.'!F34-'График аннуитет.'!E34,'График аннуитет.'!C34)</f>
        <v>0</v>
      </c>
      <c r="E34" s="34">
        <f>ROUND(C34*malumot!$B$84/H34,2)*'График аннуитет.'!G34</f>
        <v>0</v>
      </c>
      <c r="F34" s="34">
        <f>IF(A34&lt;malumot!$B$81,'График аннуитет.'!F33,'График аннуитет.'!D34+'График аннуитет.'!E34)</f>
        <v>0</v>
      </c>
      <c r="G34" s="15">
        <f t="shared" si="6"/>
        <v>0</v>
      </c>
      <c r="H34" s="15">
        <f t="shared" si="7"/>
        <v>366</v>
      </c>
    </row>
    <row r="35" spans="1:8">
      <c r="A35" s="18">
        <f t="shared" si="8"/>
        <v>28</v>
      </c>
      <c r="B35" s="33" t="b">
        <f>'График дифференц'!B35</f>
        <v>0</v>
      </c>
      <c r="C35" s="34">
        <f t="shared" si="5"/>
        <v>0</v>
      </c>
      <c r="D35" s="34">
        <f>IF(A35&lt;malumot!$B$81,'График аннуитет.'!F35-'График аннуитет.'!E35,'График аннуитет.'!C35)</f>
        <v>0</v>
      </c>
      <c r="E35" s="34">
        <f>ROUND(C35*malumot!$B$84/H35,2)*'График аннуитет.'!G35</f>
        <v>0</v>
      </c>
      <c r="F35" s="34">
        <f>IF(A35&lt;malumot!$B$81,'График аннуитет.'!F34,'График аннуитет.'!D35+'График аннуитет.'!E35)</f>
        <v>0</v>
      </c>
      <c r="G35" s="15">
        <f t="shared" si="6"/>
        <v>0</v>
      </c>
      <c r="H35" s="15">
        <f t="shared" si="7"/>
        <v>366</v>
      </c>
    </row>
    <row r="36" spans="1:8">
      <c r="A36" s="18">
        <f t="shared" si="8"/>
        <v>29</v>
      </c>
      <c r="B36" s="33" t="b">
        <f>'График дифференц'!B36</f>
        <v>0</v>
      </c>
      <c r="C36" s="34">
        <f t="shared" si="5"/>
        <v>0</v>
      </c>
      <c r="D36" s="34">
        <f>IF(A36&lt;malumot!$B$81,'График аннуитет.'!F36-'График аннуитет.'!E36,'График аннуитет.'!C36)</f>
        <v>0</v>
      </c>
      <c r="E36" s="34">
        <f>ROUND(C36*malumot!$B$84/H36,2)*'График аннуитет.'!G36</f>
        <v>0</v>
      </c>
      <c r="F36" s="34">
        <f>IF(A36&lt;malumot!$B$81,'График аннуитет.'!F35,'График аннуитет.'!D36+'График аннуитет.'!E36)</f>
        <v>0</v>
      </c>
      <c r="G36" s="15">
        <f t="shared" si="6"/>
        <v>0</v>
      </c>
      <c r="H36" s="15">
        <f t="shared" si="7"/>
        <v>366</v>
      </c>
    </row>
    <row r="37" spans="1:8">
      <c r="A37" s="18">
        <f t="shared" si="8"/>
        <v>30</v>
      </c>
      <c r="B37" s="33" t="b">
        <f>'График дифференц'!B37</f>
        <v>0</v>
      </c>
      <c r="C37" s="34">
        <f t="shared" si="5"/>
        <v>0</v>
      </c>
      <c r="D37" s="34">
        <f>IF(A37&lt;malumot!$B$81,'График аннуитет.'!F37-'График аннуитет.'!E37,'График аннуитет.'!C37)</f>
        <v>0</v>
      </c>
      <c r="E37" s="34">
        <f>ROUND(C37*malumot!$B$84/H37,2)*'График аннуитет.'!G37</f>
        <v>0</v>
      </c>
      <c r="F37" s="34">
        <f>IF(A37&lt;malumot!$B$81,'График аннуитет.'!F36,'График аннуитет.'!D37+'График аннуитет.'!E37)</f>
        <v>0</v>
      </c>
      <c r="G37" s="15">
        <f t="shared" si="6"/>
        <v>0</v>
      </c>
      <c r="H37" s="15">
        <f t="shared" si="7"/>
        <v>366</v>
      </c>
    </row>
    <row r="38" spans="1:8">
      <c r="A38" s="18">
        <f t="shared" si="8"/>
        <v>31</v>
      </c>
      <c r="B38" s="33" t="b">
        <f>'График дифференц'!B38</f>
        <v>0</v>
      </c>
      <c r="C38" s="34">
        <f t="shared" si="5"/>
        <v>0</v>
      </c>
      <c r="D38" s="34">
        <f>IF(A38&lt;malumot!$B$81,'График аннуитет.'!F38-'График аннуитет.'!E38,'График аннуитет.'!C38)</f>
        <v>0</v>
      </c>
      <c r="E38" s="34">
        <f>ROUND(C38*malumot!$B$84/H38,2)*'График аннуитет.'!G38</f>
        <v>0</v>
      </c>
      <c r="F38" s="34">
        <f>IF(A38&lt;malumot!$B$81,'График аннуитет.'!F37,'График аннуитет.'!D38+'График аннуитет.'!E38)</f>
        <v>0</v>
      </c>
      <c r="G38" s="15">
        <f t="shared" si="6"/>
        <v>0</v>
      </c>
      <c r="H38" s="15">
        <f t="shared" si="7"/>
        <v>366</v>
      </c>
    </row>
    <row r="39" spans="1:8">
      <c r="A39" s="18">
        <f t="shared" si="8"/>
        <v>32</v>
      </c>
      <c r="B39" s="33" t="b">
        <f>'График дифференц'!B39</f>
        <v>0</v>
      </c>
      <c r="C39" s="34">
        <f t="shared" si="5"/>
        <v>0</v>
      </c>
      <c r="D39" s="34">
        <f>IF(A39&lt;malumot!$B$81,'График аннуитет.'!F39-'График аннуитет.'!E39,'График аннуитет.'!C39)</f>
        <v>0</v>
      </c>
      <c r="E39" s="34">
        <f>ROUND(C39*malumot!$B$84/H39,2)*'График аннуитет.'!G39</f>
        <v>0</v>
      </c>
      <c r="F39" s="34">
        <f>IF(A39&lt;malumot!$B$81,'График аннуитет.'!F38,'График аннуитет.'!D39+'График аннуитет.'!E39)</f>
        <v>0</v>
      </c>
      <c r="G39" s="15">
        <f t="shared" si="6"/>
        <v>0</v>
      </c>
      <c r="H39" s="15">
        <f t="shared" si="7"/>
        <v>366</v>
      </c>
    </row>
    <row r="40" spans="1:8">
      <c r="A40" s="18">
        <f t="shared" si="8"/>
        <v>33</v>
      </c>
      <c r="B40" s="33" t="b">
        <f>'График дифференц'!B40</f>
        <v>0</v>
      </c>
      <c r="C40" s="34">
        <f t="shared" si="5"/>
        <v>0</v>
      </c>
      <c r="D40" s="34">
        <f>IF(A40&lt;malumot!$B$81,'График аннуитет.'!F40-'График аннуитет.'!E40,'График аннуитет.'!C40)</f>
        <v>0</v>
      </c>
      <c r="E40" s="34">
        <f>ROUND(C40*malumot!$B$84/H40,2)*'График аннуитет.'!G40</f>
        <v>0</v>
      </c>
      <c r="F40" s="34">
        <f>IF(A40&lt;malumot!$B$81,'График аннуитет.'!F39,'График аннуитет.'!D40+'График аннуитет.'!E40)</f>
        <v>0</v>
      </c>
      <c r="G40" s="15">
        <f t="shared" si="6"/>
        <v>0</v>
      </c>
      <c r="H40" s="15">
        <f t="shared" si="7"/>
        <v>366</v>
      </c>
    </row>
    <row r="41" spans="1:8">
      <c r="A41" s="18">
        <f t="shared" si="8"/>
        <v>34</v>
      </c>
      <c r="B41" s="33" t="b">
        <f>'График дифференц'!B41</f>
        <v>0</v>
      </c>
      <c r="C41" s="34">
        <f t="shared" si="5"/>
        <v>0</v>
      </c>
      <c r="D41" s="34">
        <f>IF(A41&lt;malumot!$B$81,'График аннуитет.'!F41-'График аннуитет.'!E41,'График аннуитет.'!C41)</f>
        <v>0</v>
      </c>
      <c r="E41" s="34">
        <f>ROUND(C41*malumot!$B$84/H41,2)*'График аннуитет.'!G41</f>
        <v>0</v>
      </c>
      <c r="F41" s="34">
        <f>IF(A41&lt;malumot!$B$81,'График аннуитет.'!F40,'График аннуитет.'!D41+'График аннуитет.'!E41)</f>
        <v>0</v>
      </c>
      <c r="G41" s="15">
        <f t="shared" si="6"/>
        <v>0</v>
      </c>
      <c r="H41" s="15">
        <f t="shared" si="7"/>
        <v>366</v>
      </c>
    </row>
    <row r="42" spans="1:8">
      <c r="A42" s="18">
        <f t="shared" si="8"/>
        <v>35</v>
      </c>
      <c r="B42" s="33" t="b">
        <f>'График дифференц'!B42</f>
        <v>0</v>
      </c>
      <c r="C42" s="34">
        <f t="shared" si="5"/>
        <v>0</v>
      </c>
      <c r="D42" s="34">
        <f>IF(A42&lt;malumot!$B$81,'График аннуитет.'!F42-'График аннуитет.'!E42,'График аннуитет.'!C42)</f>
        <v>0</v>
      </c>
      <c r="E42" s="34">
        <f>ROUND(C42*malumot!$B$84/H42,2)*'График аннуитет.'!G42</f>
        <v>0</v>
      </c>
      <c r="F42" s="34">
        <f>IF(A42&lt;malumot!$B$81,'График аннуитет.'!F41,'График аннуитет.'!D42+'График аннуитет.'!E42)</f>
        <v>0</v>
      </c>
      <c r="G42" s="15">
        <f t="shared" si="6"/>
        <v>0</v>
      </c>
      <c r="H42" s="15">
        <f t="shared" si="7"/>
        <v>366</v>
      </c>
    </row>
    <row r="43" spans="1:8">
      <c r="A43" s="18">
        <f t="shared" si="8"/>
        <v>36</v>
      </c>
      <c r="B43" s="33" t="b">
        <f>'График дифференц'!B43</f>
        <v>0</v>
      </c>
      <c r="C43" s="34">
        <f t="shared" si="5"/>
        <v>0</v>
      </c>
      <c r="D43" s="34">
        <f>IF(A43&lt;malumot!$B$81,'График аннуитет.'!F43-'График аннуитет.'!E43,'График аннуитет.'!C43)</f>
        <v>0</v>
      </c>
      <c r="E43" s="34">
        <f>ROUND(C43*malumot!$B$84/H43,2)*'График аннуитет.'!G43</f>
        <v>0</v>
      </c>
      <c r="F43" s="34">
        <f>IF(A43&lt;malumot!$B$81,'График аннуитет.'!F42,'График аннуитет.'!D43+'График аннуитет.'!E43)</f>
        <v>0</v>
      </c>
      <c r="G43" s="15">
        <f t="shared" si="6"/>
        <v>0</v>
      </c>
      <c r="H43" s="15">
        <f t="shared" si="7"/>
        <v>366</v>
      </c>
    </row>
    <row r="44" spans="1:8">
      <c r="A44" s="46"/>
      <c r="B44" s="47" t="s">
        <v>7</v>
      </c>
      <c r="C44" s="48"/>
      <c r="D44" s="48">
        <f>SUM(D8:D43)</f>
        <v>35000000</v>
      </c>
      <c r="E44" s="48">
        <f t="shared" ref="E44:F44" si="9">SUM(E8:E43)</f>
        <v>11719179.969999999</v>
      </c>
      <c r="F44" s="48">
        <f t="shared" si="9"/>
        <v>46719179.969999984</v>
      </c>
    </row>
    <row r="45" spans="1:8" ht="9" customHeight="1">
      <c r="B45" s="35"/>
      <c r="C45" s="36"/>
      <c r="D45" s="36"/>
      <c r="E45" s="36"/>
      <c r="F45" s="36"/>
    </row>
    <row r="46" spans="1:8" ht="47.25" customHeight="1">
      <c r="A46" s="267" t="s">
        <v>18</v>
      </c>
      <c r="B46" s="267"/>
      <c r="C46" s="267"/>
      <c r="D46" s="267"/>
      <c r="E46" s="267"/>
      <c r="F46" s="267"/>
    </row>
    <row r="47" spans="1:8" ht="7.5" customHeight="1"/>
    <row r="48" spans="1:8">
      <c r="A48" s="295" t="e">
        <f>#REF!</f>
        <v>#REF!</v>
      </c>
      <c r="B48" s="295"/>
      <c r="C48" s="295"/>
      <c r="D48" s="295" t="e">
        <f>#REF!</f>
        <v>#REF!</v>
      </c>
      <c r="E48" s="295"/>
      <c r="F48" s="295"/>
    </row>
    <row r="49" spans="1:6" ht="11.25" customHeight="1">
      <c r="A49" s="296"/>
      <c r="B49" s="296"/>
      <c r="C49" s="296"/>
      <c r="D49" s="296"/>
      <c r="E49" s="296"/>
      <c r="F49" s="296"/>
    </row>
    <row r="50" spans="1:6" ht="30" customHeight="1">
      <c r="A50" s="269" t="e">
        <f>#REF!</f>
        <v>#REF!</v>
      </c>
      <c r="B50" s="269"/>
      <c r="C50" s="269"/>
      <c r="D50" s="269" t="e">
        <f>#REF!</f>
        <v>#REF!</v>
      </c>
      <c r="E50" s="269"/>
      <c r="F50" s="269"/>
    </row>
    <row r="51" spans="1:6" ht="32.25" customHeight="1">
      <c r="A51" s="291" t="e">
        <f>#REF!</f>
        <v>#REF!</v>
      </c>
      <c r="B51" s="291"/>
      <c r="C51" s="291"/>
      <c r="D51" s="291" t="e">
        <f>#REF!</f>
        <v>#REF!</v>
      </c>
      <c r="E51" s="291"/>
      <c r="F51" s="291"/>
    </row>
    <row r="52" spans="1:6">
      <c r="A52" s="291" t="e">
        <f>#REF!</f>
        <v>#REF!</v>
      </c>
      <c r="B52" s="291"/>
      <c r="C52" s="291"/>
      <c r="D52" s="291" t="str">
        <f>"паспорт серии "&amp;malumot!B16&amp;", "&amp;malumot!B20&amp;""</f>
        <v>паспорт серии AD0901293, IIV 18215 tomonidan 10.12.2021 yilda berilgan</v>
      </c>
      <c r="E52" s="291"/>
      <c r="F52" s="291"/>
    </row>
    <row r="53" spans="1:6" ht="32.25" customHeight="1">
      <c r="A53" s="291" t="e">
        <f>#REF!</f>
        <v>#REF!</v>
      </c>
      <c r="B53" s="291"/>
      <c r="C53" s="291"/>
      <c r="D53" s="291"/>
      <c r="E53" s="291"/>
      <c r="F53" s="291"/>
    </row>
    <row r="54" spans="1:6">
      <c r="A54" s="291" t="e">
        <f>#REF!</f>
        <v>#REF!</v>
      </c>
      <c r="B54" s="291"/>
      <c r="C54" s="291"/>
      <c r="D54" s="291" t="e">
        <f>#REF!</f>
        <v>#REF!</v>
      </c>
      <c r="E54" s="291"/>
      <c r="F54" s="291"/>
    </row>
    <row r="55" spans="1:6">
      <c r="A55" s="291" t="e">
        <f>#REF!</f>
        <v>#REF!</v>
      </c>
      <c r="B55" s="291"/>
      <c r="C55" s="291"/>
      <c r="D55" s="291" t="e">
        <f>#REF!</f>
        <v>#REF!</v>
      </c>
      <c r="E55" s="291"/>
      <c r="F55" s="291"/>
    </row>
    <row r="56" spans="1:6">
      <c r="A56" s="291" t="e">
        <f>#REF!</f>
        <v>#REF!</v>
      </c>
      <c r="B56" s="291"/>
      <c r="C56" s="291"/>
      <c r="D56" s="291" t="e">
        <f>#REF!</f>
        <v>#REF!</v>
      </c>
      <c r="E56" s="291"/>
      <c r="F56" s="291"/>
    </row>
    <row r="57" spans="1:6" ht="8.25" customHeight="1">
      <c r="A57" s="291"/>
      <c r="B57" s="291"/>
      <c r="C57" s="291"/>
      <c r="D57" s="291"/>
      <c r="E57" s="291"/>
      <c r="F57" s="291"/>
    </row>
    <row r="58" spans="1:6">
      <c r="A58" s="269" t="e">
        <f>#REF!</f>
        <v>#REF!</v>
      </c>
      <c r="B58" s="269"/>
      <c r="C58" s="269"/>
      <c r="D58" s="269" t="e">
        <f>#REF!</f>
        <v>#REF!</v>
      </c>
      <c r="E58" s="269"/>
      <c r="F58" s="269"/>
    </row>
    <row r="59" spans="1:6" ht="7.5" customHeight="1">
      <c r="A59" s="269"/>
      <c r="B59" s="269"/>
      <c r="C59" s="269"/>
      <c r="D59" s="269"/>
      <c r="E59" s="269"/>
      <c r="F59" s="269"/>
    </row>
    <row r="60" spans="1:6">
      <c r="A60" s="269" t="e">
        <f>#REF!</f>
        <v>#REF!</v>
      </c>
      <c r="B60" s="269"/>
      <c r="C60" s="269"/>
      <c r="D60" s="269" t="e">
        <f>#REF!</f>
        <v>#REF!</v>
      </c>
      <c r="E60" s="269"/>
      <c r="F60" s="269"/>
    </row>
    <row r="61" spans="1:6" ht="8.25" customHeight="1">
      <c r="A61" s="291"/>
      <c r="B61" s="291"/>
      <c r="C61" s="291"/>
      <c r="D61" s="291"/>
      <c r="E61" s="291"/>
      <c r="F61" s="291"/>
    </row>
    <row r="62" spans="1:6" ht="30" customHeight="1">
      <c r="A62" s="292"/>
      <c r="B62" s="292"/>
      <c r="C62" s="292"/>
      <c r="D62" s="293"/>
      <c r="E62" s="293"/>
      <c r="F62" s="293"/>
    </row>
    <row r="63" spans="1:6">
      <c r="A63" s="294"/>
      <c r="B63" s="294"/>
      <c r="C63" s="294"/>
      <c r="D63" s="294"/>
      <c r="E63" s="294"/>
      <c r="F63" s="294"/>
    </row>
    <row r="64" spans="1:6">
      <c r="A64" s="290"/>
      <c r="B64" s="290"/>
      <c r="C64" s="290"/>
      <c r="D64" s="290"/>
      <c r="E64" s="290"/>
      <c r="F64" s="290"/>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7">
    <tabColor rgb="FF00B050"/>
  </sheetPr>
  <dimension ref="A1:E58"/>
  <sheetViews>
    <sheetView view="pageBreakPreview" topLeftCell="A11" zoomScaleSheetLayoutView="100" workbookViewId="0">
      <selection activeCell="A23" sqref="A22:XFD23"/>
    </sheetView>
  </sheetViews>
  <sheetFormatPr defaultColWidth="9.140625" defaultRowHeight="15" outlineLevelRow="1"/>
  <cols>
    <col min="1" max="1" width="17.28515625" style="15" customWidth="1"/>
    <col min="2" max="2" width="24.7109375" style="15" customWidth="1"/>
    <col min="3" max="5" width="17" style="15" customWidth="1"/>
    <col min="6" max="16384" width="9.140625" style="15"/>
  </cols>
  <sheetData>
    <row r="1" spans="1:5" ht="36" customHeight="1">
      <c r="A1" s="269" t="str">
        <f>""&amp;malumot!B153&amp;"
mikromoliya tashkilotining Xulosasi"</f>
        <v>«CLEVER MIKROMOLIYA TASHKILOTI» MChJ
mikromoliya tashkilotining Xulosasi</v>
      </c>
      <c r="B1" s="269"/>
      <c r="C1" s="269"/>
      <c r="D1" s="269"/>
      <c r="E1" s="269"/>
    </row>
    <row r="2" spans="1:5">
      <c r="A2" s="267"/>
      <c r="B2" s="267"/>
      <c r="C2" s="267"/>
      <c r="D2" s="267"/>
      <c r="E2" s="267"/>
    </row>
    <row r="3" spans="1:5">
      <c r="A3" s="269" t="s">
        <v>204</v>
      </c>
      <c r="B3" s="269"/>
      <c r="C3" s="269"/>
      <c r="D3" s="269"/>
      <c r="E3" s="269"/>
    </row>
    <row r="4" spans="1:5" ht="19.5" customHeight="1">
      <c r="A4" s="267" t="str">
        <f>"Mijozning to'liq ismi sharifi: "&amp;malumot!B5&amp;""</f>
        <v>Mijozning to'liq ismi sharifi: XUDAYQULOV FAZLIDDIN SAIDOVICH</v>
      </c>
      <c r="B4" s="267"/>
      <c r="C4" s="267"/>
      <c r="D4" s="267"/>
      <c r="E4" s="267"/>
    </row>
    <row r="5" spans="1:5">
      <c r="A5" s="267" t="str">
        <f>"Tug'ilgan sanasi: "&amp;malumot!B15&amp;""</f>
        <v>Tug'ilgan sanasi: 23.03.1974 y</v>
      </c>
      <c r="B5" s="267"/>
      <c r="C5" s="267"/>
      <c r="D5" s="267"/>
      <c r="E5" s="267"/>
    </row>
    <row r="6" spans="1:5" ht="31.5" customHeight="1">
      <c r="A6" s="267" t="str">
        <f>"Pasport seriyasi "&amp;malumot!B16&amp;" "&amp;malumot!B20&amp;", amal qilish muddati - "&amp;malumot!B21&amp;""</f>
        <v>Pasport seriyasi AD0901293 IIV 18215 tomonidan 10.12.2021 yilda berilgan, amal qilish muddati - 09.12.2031 y.</v>
      </c>
      <c r="B6" s="267"/>
      <c r="C6" s="267"/>
      <c r="D6" s="267"/>
      <c r="E6" s="267"/>
    </row>
    <row r="7" spans="1:5" ht="39.75" customHeight="1">
      <c r="A7" s="267" t="str">
        <f>"Ro‘yxatdan o‘tgan manzili: "&amp;malumot!B28&amp;", mo'ljal: "&amp;malumot!B26&amp;""</f>
        <v>Ro‘yxatdan o‘tgan manzili: SAMARQAND VILOYATI KATTAQO'RG'ON TUMANI BURGANSOY MAHALLASI, mo'ljal: 105-MAKTABGA YETMASI</v>
      </c>
      <c r="B7" s="267"/>
      <c r="C7" s="267"/>
      <c r="D7" s="267"/>
      <c r="E7" s="267"/>
    </row>
    <row r="8" spans="1:5" ht="26.25" customHeight="1">
      <c r="A8" s="267" t="str">
        <f>"Ish joyi: "&amp;malumot!B52&amp;" lavozimi "&amp;malumot!B49&amp;"da "&amp;malumot!B44&amp;""</f>
        <v>Ish joyi:  lavozimi Yakka tartibdagi tadbirkorda Yakka tartibdagi tadbirkor</v>
      </c>
      <c r="B8" s="267"/>
      <c r="C8" s="267"/>
      <c r="D8" s="267"/>
      <c r="E8" s="267"/>
    </row>
    <row r="9" spans="1:5">
      <c r="A9" s="267"/>
      <c r="B9" s="267"/>
      <c r="C9" s="267"/>
      <c r="D9" s="267"/>
      <c r="E9" s="267"/>
    </row>
    <row r="10" spans="1:5">
      <c r="A10" s="269" t="str">
        <f>"Mijoz tomonidan so’ralgan "&amp;malumot!B65&amp;" shartlari:"</f>
        <v>Mijoz tomonidan so’ralgan mikroqarz shartlari:</v>
      </c>
      <c r="B10" s="269"/>
      <c r="C10" s="269"/>
      <c r="D10" s="269"/>
      <c r="E10" s="269"/>
    </row>
    <row r="11" spans="1:5">
      <c r="A11" s="267" t="str">
        <f>'Кредитная заявка'!A13:D13</f>
        <v>Mikroqarz summasi: 35 000 000,00 (o'ttiz besh million so'm) so'm.</v>
      </c>
      <c r="B11" s="267"/>
      <c r="C11" s="267"/>
      <c r="D11" s="267"/>
      <c r="E11" s="267"/>
    </row>
    <row r="12" spans="1:5">
      <c r="A12" s="267" t="str">
        <f>'Кредитная заявка'!A14:D14</f>
        <v>Mikroqarz muddati: 24 (yigirma to'rt) oy.</v>
      </c>
      <c r="B12" s="267"/>
      <c r="C12" s="267"/>
      <c r="D12" s="267"/>
      <c r="E12" s="267"/>
    </row>
    <row r="13" spans="1:5">
      <c r="A13" s="267" t="str">
        <f>'Кредитная заявка'!A15:D15</f>
        <v>Mikroqarzdan foydalanganlik uchun foiz stavkasi: yillik  60% (Oltmish) foiz</v>
      </c>
      <c r="B13" s="267"/>
      <c r="C13" s="267"/>
      <c r="D13" s="267"/>
      <c r="E13" s="267"/>
    </row>
    <row r="14" spans="1:5">
      <c r="A14" s="267" t="str">
        <f>'Кредитная заявка'!A16:D16</f>
        <v>Mikroqarz bo'yicha asosiy qarz va foizlarni to'lash:</v>
      </c>
      <c r="B14" s="267"/>
      <c r="C14" s="267"/>
      <c r="D14" s="267"/>
      <c r="E14" s="267"/>
    </row>
    <row r="15" spans="1:5" ht="18.75" customHeight="1">
      <c r="A15" s="267" t="str">
        <f>'Кредитная заявка'!A19:D19</f>
        <v xml:space="preserve"> - mikroqarz shartnomasi bo'yicha har oy differensial to'lovlari amalga oshiriladi</v>
      </c>
      <c r="B15" s="267"/>
      <c r="C15" s="267"/>
      <c r="D15" s="267"/>
      <c r="E15" s="267"/>
    </row>
    <row r="16" spans="1:5" ht="14.25" customHeight="1">
      <c r="A16" s="268" t="str">
        <f>'Кредитная заявка'!A20:D20</f>
        <v xml:space="preserve">  Oxirgi yakuniy to'lov mikroqarz shartnomasi tuzilgan kundan boshlab oxirgi oyning oxirgi kunida amalga oshiriladi</v>
      </c>
      <c r="B16" s="268"/>
      <c r="C16" s="268"/>
      <c r="D16" s="268"/>
      <c r="E16" s="268"/>
    </row>
    <row r="17" spans="1:5">
      <c r="A17" s="267" t="str">
        <f>'Кредитная заявка'!A21:D21</f>
        <v>Mikroqarz ta’minoti::</v>
      </c>
      <c r="B17" s="267"/>
      <c r="C17" s="267"/>
      <c r="D17" s="267"/>
      <c r="E17" s="267"/>
    </row>
    <row r="18" spans="1:5" ht="83.25" customHeight="1">
      <c r="A18" s="267" t="str">
        <f>'Кредитная заявка'!A22:D22</f>
        <v xml:space="preserve">  Egalik huquqi XUDAYKULOV MAVLUDDIN SAIDOVICHga tegishli bo'lgan garovga olingan avtomobil markasi   CHEVROLET DAMAS, rangi -  OQ BELAYA, ishlab chiqarilgan yili - 2019, davlat raqam belgisi 85O912KA, kuzov turi - YENGIL SEDAN, kuzov raqami XWB7T12YDKP150990, dvigatel raqami F8CB191310207, shassi raqami - RAKAMSIZ</v>
      </c>
      <c r="B18" s="267"/>
      <c r="C18" s="267"/>
      <c r="D18" s="267"/>
      <c r="E18" s="267"/>
    </row>
    <row r="19" spans="1:5">
      <c r="A19" s="269" t="s">
        <v>205</v>
      </c>
      <c r="B19" s="269"/>
      <c r="C19" s="269"/>
      <c r="D19" s="269"/>
      <c r="E19" s="269"/>
    </row>
    <row r="20" spans="1:5" ht="21" customHeight="1">
      <c r="A20" s="267" t="str">
        <f>"Anketaga muvofiq "&amp;malumot!B9&amp;"ning o‘rtacha oylik daromadi  "&amp;FIXED(malumot!B60)&amp;" so‘mni tashkil etdi."</f>
        <v>Anketaga muvofiq XUDAYQULOV .F.Sning o‘rtacha oylik daromadi  13 000 000,00 so‘mni tashkil etdi.</v>
      </c>
      <c r="B20" s="267"/>
      <c r="C20" s="267"/>
      <c r="D20" s="267"/>
      <c r="E20" s="267"/>
    </row>
    <row r="21" spans="1:5" ht="27" customHeight="1">
      <c r="A21" s="267" t="str">
        <f>"Mijozning o'rtacha oylik xarajatlari "&amp;FIXED(mijoz_anketasi!F27)&amp;" so'mni tashkil etdi"</f>
        <v>Mijozning o'rtacha oylik xarajatlari 1 650 000,00 so'mni tashkil etdi</v>
      </c>
      <c r="B21" s="267"/>
      <c r="C21" s="267"/>
      <c r="D21" s="267"/>
      <c r="E21" s="267"/>
    </row>
    <row r="22" spans="1:5" ht="24.75" hidden="1" customHeight="1">
      <c r="A22" s="267" t="str">
        <f>IF(malumot!B77=malumot!C77,xulosa!A23:E23,xulosa!A24:E24)</f>
        <v>Mikroqarz shartnomasi bo'yicha birinchi oy uchun to'lov 3 146 004,69 so'mni tashkil etadi.</v>
      </c>
      <c r="B22" s="267"/>
      <c r="C22" s="267"/>
      <c r="D22" s="267"/>
      <c r="E22" s="267"/>
    </row>
    <row r="23" spans="1:5" ht="19.5" hidden="1" customHeight="1">
      <c r="A23" s="267" t="str">
        <f>""&amp;malumot!C64&amp;" shartnomasi bo'yicha birinchi oy uchun to'lov "&amp;FIXED(malumot!B90)&amp;" so'mni tashkil etadi."</f>
        <v>Mikroqarz shartnomasi bo'yicha birinchi oy uchun to'lov 3 146 004,69 so'mni tashkil etadi.</v>
      </c>
      <c r="B23" s="267"/>
      <c r="C23" s="267"/>
      <c r="D23" s="267"/>
      <c r="E23" s="267"/>
    </row>
    <row r="24" spans="1:5" ht="19.5" customHeight="1">
      <c r="A24" s="267" t="str">
        <f>""&amp;malumot!C64&amp;" bo‘yicha oylik "&amp;malumot!B77&amp;" to‘lovi miqdori "&amp;FIXED(malumot!B90)&amp;" so‘mni tashkil etadi."</f>
        <v>Mikroqarz bo‘yicha oylik differensial to‘lovi miqdori 3 146 004,69 so‘mni tashkil etadi.</v>
      </c>
      <c r="B24" s="267"/>
      <c r="C24" s="267"/>
      <c r="D24" s="267"/>
      <c r="E24" s="267"/>
    </row>
    <row r="25" spans="1:5" ht="45" customHeight="1">
      <c r="A25" s="268" t="s">
        <v>449</v>
      </c>
      <c r="B25" s="268"/>
      <c r="C25" s="268"/>
      <c r="D25" s="268"/>
      <c r="E25" s="268"/>
    </row>
    <row r="26" spans="1:5">
      <c r="A26" s="269" t="str">
        <f>""&amp;malumot!C64&amp;" bo’yicha ta’minot:"</f>
        <v>Mikroqarz bo’yicha ta’minot:</v>
      </c>
      <c r="B26" s="269"/>
      <c r="C26" s="269"/>
      <c r="D26" s="269"/>
      <c r="E26" s="269"/>
    </row>
    <row r="27" spans="1:5" ht="31.5" hidden="1" customHeight="1">
      <c r="A27" s="267" t="str">
        <f>" - "&amp;malumot!B123&amp;" ga mulk huquqi asosida tegishli avtotransport vositasi "&amp;malumot!B131&amp;" , quyidagi tafsilotlarga muvofiq:"</f>
        <v xml:space="preserve"> - XUDAYKULOV MAVLUDDIN SAIDOVICH ga mulk huquqi asosida tegishli avtotransport vositasi CHEVROLET DAMAS , quyidagi tafsilotlarga muvofiq:</v>
      </c>
      <c r="B27" s="267"/>
      <c r="C27" s="267"/>
      <c r="D27" s="267"/>
      <c r="E27" s="267"/>
    </row>
    <row r="28" spans="1:5" ht="67.5" hidden="1" customHeight="1">
      <c r="A28" s="267" t="str">
        <f>" -   "&amp;malumot!C123&amp;" ga mulk huquqi asosida tegishli ko'chmas mulk shaklida "&amp;malumot!C132&amp;", manzili: "&amp;malumot!C129&amp;", quyidagi tafsilotlarga muvofiq:"</f>
        <v xml:space="preserve"> -   0 ga mulk huquqi asosida tegishli ko'chmas mulk shaklida 3 - xonali yakka tartibdagi uy-joy, manzili: SAMARQAND VILOYATI TAYLOQ TUMANI CHAROG'BON MFY YANGI TAYLOQ QISHLOG'I 6 TURAR JOY 12 QAVAT 58 XONADON, quyidagi tafsilotlarga muvofiq:</v>
      </c>
      <c r="B28" s="267"/>
      <c r="C28" s="267"/>
      <c r="D28" s="267"/>
      <c r="E28" s="267"/>
    </row>
    <row r="29" spans="1:5" ht="44.25" customHeight="1">
      <c r="A29" s="267" t="str">
        <f>IF(malumot!B109="Avtotransport",xulosa!A27:E27,xulosa!A28:E28)</f>
        <v xml:space="preserve"> - XUDAYKULOV MAVLUDDIN SAIDOVICH ga mulk huquqi asosida tegishli avtotransport vositasi CHEVROLET DAMAS , quyidagi tafsilotlarga muvofiq:</v>
      </c>
      <c r="B29" s="267"/>
      <c r="C29" s="267"/>
      <c r="D29" s="267"/>
      <c r="E29" s="267"/>
    </row>
    <row r="30" spans="1:5" s="16" customFormat="1" ht="47.25" customHeight="1" outlineLevel="1">
      <c r="A30" s="39" t="str">
        <f>dalolatnoma!A29</f>
        <v>Nomi</v>
      </c>
      <c r="B30" s="39" t="str">
        <f>dalolatnoma!B29</f>
        <v>Kuzov turi  va kuzov raqami*</v>
      </c>
      <c r="C30" s="39" t="str">
        <f>dalolatnoma!C29</f>
        <v>Dvigatel va shassi raqami*</v>
      </c>
      <c r="D30" s="39" t="str">
        <f>dalolatnoma!D29</f>
        <v>Ishlab chiqarilgan yili va rangi*</v>
      </c>
      <c r="E30" s="39" t="str">
        <f>dalolatnoma!E29</f>
        <v>Kelishilgan garov qiymati, so'm</v>
      </c>
    </row>
    <row r="31" spans="1:5" s="20" customFormat="1" ht="92.25" customHeight="1" outlineLevel="1">
      <c r="A31" s="17" t="str">
        <f>dalolatnoma!A30</f>
        <v>CHEVROLET DAMAS</v>
      </c>
      <c r="B31" s="17" t="str">
        <f>dalolatnoma!B30</f>
        <v>kuzov turi - YENGIL SEDAN, kuzov raqami XWB7T12YDKP150990</v>
      </c>
      <c r="C31" s="17" t="str">
        <f>dalolatnoma!C30</f>
        <v>dvigatel raqami F8CB191310207, shassi raqami - RAKAMSIZ</v>
      </c>
      <c r="D31" s="17" t="str">
        <f>dalolatnoma!D30</f>
        <v>rangi -  OQ BELAYA, ishlab chiqarilgan yili - 2019</v>
      </c>
      <c r="E31" s="17" t="str">
        <f>dalolatnoma!E30</f>
        <v>52 500 000,00 
(ellik ikki million besh yuz ming so'm)</v>
      </c>
    </row>
    <row r="32" spans="1:5" ht="17.25" customHeight="1" outlineLevel="1">
      <c r="A32" s="267" t="str">
        <f>dalolatnoma!A22</f>
        <v>-* avtotransport egasi: XUDAYKULOV MAVLUDDIN SAIDOVICH</v>
      </c>
      <c r="B32" s="267"/>
      <c r="C32" s="267"/>
      <c r="D32" s="267"/>
      <c r="E32" s="267"/>
    </row>
    <row r="33" spans="1:5" ht="15" customHeight="1" outlineLevel="1">
      <c r="A33" s="267" t="str">
        <f>dalolatnoma!A23</f>
        <v>-* texnik pasport: AAG 0638366    21.12.2022</v>
      </c>
      <c r="B33" s="267"/>
      <c r="C33" s="267"/>
      <c r="D33" s="267"/>
      <c r="E33" s="267"/>
    </row>
    <row r="34" spans="1:5" ht="33" customHeight="1" outlineLevel="1">
      <c r="A34" s="267" t="str">
        <f>dalolatnoma!A24</f>
        <v>-* roʻyxatdan oʻtgan manzili/garaj manzili: NAVOIY VILOYATI XATIRCHI TUMANI YANGIRABOD MAHALLASI 105-UY</v>
      </c>
      <c r="B34" s="267"/>
      <c r="C34" s="267"/>
      <c r="D34" s="267"/>
      <c r="E34" s="267"/>
    </row>
    <row r="35" spans="1:5" ht="15" customHeight="1" outlineLevel="1">
      <c r="A35" s="267" t="str">
        <f>dalolatnoma!A25</f>
        <v>-* davlat raqami: 85O912KA</v>
      </c>
      <c r="B35" s="267"/>
      <c r="C35" s="267"/>
      <c r="D35" s="267"/>
      <c r="E35" s="267"/>
    </row>
    <row r="36" spans="1:5" ht="9" customHeight="1">
      <c r="A36" s="267"/>
      <c r="B36" s="267"/>
      <c r="C36" s="267"/>
      <c r="D36" s="267"/>
      <c r="E36" s="267"/>
    </row>
    <row r="37" spans="1:5" ht="39" customHeight="1">
      <c r="A37" s="269" t="str">
        <f>""&amp;malumot!B153&amp;"
mikromoliya tashkilotining Xulosasi"</f>
        <v>«CLEVER MIKROMOLIYA TASHKILOTI» MChJ
mikromoliya tashkilotining Xulosasi</v>
      </c>
      <c r="B37" s="269"/>
      <c r="C37" s="269"/>
      <c r="D37" s="269"/>
      <c r="E37" s="269"/>
    </row>
    <row r="38" spans="1:5" ht="48" customHeight="1">
      <c r="A38" s="267" t="str">
        <f>""&amp;malumot!B153&amp;" kredit qo‘mitasining xulosasiga quyidagi shartlarda "&amp;malumot!B10&amp;"ga "&amp;malumot!B65&amp;" berish masalasi kiritiladi:"</f>
        <v>«CLEVER MIKROMOLIYA TASHKILOTI» MChJ kredit qo‘mitasining xulosasiga quyidagi shartlarda XUDAYQULOV FAZLIDDIN SAIDOVICHga mikroqarz berish masalasi kiritiladi:</v>
      </c>
      <c r="B38" s="267"/>
      <c r="C38" s="267"/>
      <c r="D38" s="267"/>
      <c r="E38" s="267"/>
    </row>
    <row r="39" spans="1:5">
      <c r="A39" s="267" t="str">
        <f>A11</f>
        <v>Mikroqarz summasi: 35 000 000,00 (o'ttiz besh million so'm) so'm.</v>
      </c>
      <c r="B39" s="267"/>
      <c r="C39" s="267"/>
      <c r="D39" s="267"/>
      <c r="E39" s="267"/>
    </row>
    <row r="40" spans="1:5">
      <c r="A40" s="267" t="str">
        <f t="shared" ref="A40:A46" si="0">A12</f>
        <v>Mikroqarz muddati: 24 (yigirma to'rt) oy.</v>
      </c>
      <c r="B40" s="267"/>
      <c r="C40" s="267"/>
      <c r="D40" s="267"/>
      <c r="E40" s="267"/>
    </row>
    <row r="41" spans="1:5">
      <c r="A41" s="267" t="str">
        <f t="shared" si="0"/>
        <v>Mikroqarzdan foydalanganlik uchun foiz stavkasi: yillik  60% (Oltmish) foiz</v>
      </c>
      <c r="B41" s="267"/>
      <c r="C41" s="267"/>
      <c r="D41" s="267"/>
      <c r="E41" s="267"/>
    </row>
    <row r="42" spans="1:5">
      <c r="A42" s="267" t="str">
        <f t="shared" si="0"/>
        <v>Mikroqarz bo'yicha asosiy qarz va foizlarni to'lash:</v>
      </c>
      <c r="B42" s="267"/>
      <c r="C42" s="267"/>
      <c r="D42" s="267"/>
      <c r="E42" s="267"/>
    </row>
    <row r="43" spans="1:5" ht="20.25" customHeight="1">
      <c r="A43" s="267" t="str">
        <f t="shared" si="0"/>
        <v xml:space="preserve"> - mikroqarz shartnomasi bo'yicha har oy differensial to'lovlari amalga oshiriladi</v>
      </c>
      <c r="B43" s="267"/>
      <c r="C43" s="267"/>
      <c r="D43" s="267"/>
      <c r="E43" s="267"/>
    </row>
    <row r="44" spans="1:5" ht="26.25" customHeight="1">
      <c r="A44" s="267" t="str">
        <f t="shared" si="0"/>
        <v xml:space="preserve">  Oxirgi yakuniy to'lov mikroqarz shartnomasi tuzilgan kundan boshlab oxirgi oyning oxirgi kunida amalga oshiriladi</v>
      </c>
      <c r="B44" s="267"/>
      <c r="C44" s="267"/>
      <c r="D44" s="267"/>
      <c r="E44" s="267"/>
    </row>
    <row r="45" spans="1:5">
      <c r="A45" s="267" t="str">
        <f t="shared" si="0"/>
        <v>Mikroqarz ta’minoti::</v>
      </c>
      <c r="B45" s="267"/>
      <c r="C45" s="267"/>
      <c r="D45" s="267"/>
      <c r="E45" s="267"/>
    </row>
    <row r="46" spans="1:5" ht="72" customHeight="1">
      <c r="A46" s="267" t="str">
        <f t="shared" si="0"/>
        <v xml:space="preserve">  Egalik huquqi XUDAYKULOV MAVLUDDIN SAIDOVICHga tegishli bo'lgan garovga olingan avtomobil markasi   CHEVROLET DAMAS, rangi -  OQ BELAYA, ishlab chiqarilgan yili - 2019, davlat raqam belgisi 85O912KA, kuzov turi - YENGIL SEDAN, kuzov raqami XWB7T12YDKP150990, dvigatel raqami F8CB191310207, shassi raqami - RAKAMSIZ</v>
      </c>
      <c r="B46" s="267"/>
      <c r="C46" s="267"/>
      <c r="D46" s="267"/>
      <c r="E46" s="267"/>
    </row>
    <row r="47" spans="1:5">
      <c r="A47" s="267"/>
      <c r="B47" s="267"/>
      <c r="C47" s="267"/>
      <c r="D47" s="267"/>
      <c r="E47" s="267"/>
    </row>
    <row r="48" spans="1:5" ht="36.75" customHeight="1">
      <c r="A48" s="267" t="str">
        <f>""&amp;malumot!B153&amp;" mikromoliya tashkilotining xulosasi  "&amp;TEXT(malumot!B2,"ДД.ММ.ГГГГ")&amp;" y. tayyorlangan"</f>
        <v>«CLEVER MIKROMOLIYA TASHKILOTI» MChJ mikromoliya tashkilotining xulosasi  24.03.2025 y. tayyorlangan</v>
      </c>
      <c r="B48" s="267"/>
      <c r="C48" s="267"/>
      <c r="D48" s="267"/>
      <c r="E48" s="267"/>
    </row>
    <row r="49" spans="1:5">
      <c r="A49" s="127"/>
      <c r="B49" s="50"/>
      <c r="C49" s="50"/>
      <c r="D49" s="127"/>
      <c r="E49" s="23"/>
    </row>
    <row r="50" spans="1:5">
      <c r="A50" s="267"/>
      <c r="B50" s="267"/>
      <c r="C50" s="267"/>
      <c r="D50" s="267"/>
      <c r="E50" s="267"/>
    </row>
    <row r="51" spans="1:5" ht="47.25" customHeight="1">
      <c r="A51" s="267" t="str">
        <f>""&amp;malumot!B153&amp;" mikromoliya tashkilotining Kredit qo‘mitasi a’zolari "&amp;malumot!B153&amp;"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67"/>
      <c r="C51" s="267"/>
      <c r="D51" s="267"/>
      <c r="E51" s="267"/>
    </row>
    <row r="52" spans="1:5">
      <c r="A52" s="19"/>
      <c r="B52" s="19"/>
      <c r="C52" s="19"/>
      <c r="D52" s="19"/>
      <c r="E52" s="19"/>
    </row>
    <row r="53" spans="1:5">
      <c r="A53" s="19"/>
      <c r="B53" s="302" t="s">
        <v>398</v>
      </c>
      <c r="C53" s="302"/>
      <c r="D53" s="302"/>
      <c r="E53" s="19"/>
    </row>
    <row r="54" spans="1:5">
      <c r="B54" s="214" t="str">
        <f>malumot!A156</f>
        <v>Xatirchi  filial boshlig'i</v>
      </c>
      <c r="C54" s="37" t="str">
        <f>malumot!B156</f>
        <v>SH. Xayriyev</v>
      </c>
      <c r="D54" s="212"/>
      <c r="E54" s="212"/>
    </row>
    <row r="55" spans="1:5">
      <c r="B55" s="126" t="str">
        <f>malumot!A165</f>
        <v>Kreditlash bo’limi boshlig’i</v>
      </c>
      <c r="C55" s="211" t="str">
        <f>malumot!B165</f>
        <v>B. Mominov</v>
      </c>
      <c r="D55" s="127"/>
      <c r="E55" s="22"/>
    </row>
    <row r="56" spans="1:5">
      <c r="B56" s="22" t="str">
        <f>malumot!A166</f>
        <v>Monitoring bo’limi boshlig’i</v>
      </c>
      <c r="C56" s="211" t="str">
        <f>malumot!B166</f>
        <v>B. Jumanazarov</v>
      </c>
      <c r="D56" s="127"/>
      <c r="E56" s="22"/>
    </row>
    <row r="57" spans="1:5">
      <c r="B57" s="130" t="s">
        <v>399</v>
      </c>
      <c r="C57" s="37" t="s">
        <v>396</v>
      </c>
      <c r="D57" s="212"/>
      <c r="E57" s="22"/>
    </row>
    <row r="58" spans="1:5" ht="35.25" customHeight="1">
      <c r="B58" s="22"/>
      <c r="C58" s="211"/>
      <c r="D58" s="127"/>
      <c r="E58" s="22"/>
    </row>
  </sheetData>
  <mergeCells count="49">
    <mergeCell ref="B53:D53"/>
    <mergeCell ref="A51:E51"/>
    <mergeCell ref="A38:E38"/>
    <mergeCell ref="A39:E39"/>
    <mergeCell ref="A40:E40"/>
    <mergeCell ref="A41:E41"/>
    <mergeCell ref="A42:E42"/>
    <mergeCell ref="A43:E43"/>
    <mergeCell ref="A44:E44"/>
    <mergeCell ref="A45:E45"/>
    <mergeCell ref="A46:E46"/>
    <mergeCell ref="A47:E47"/>
    <mergeCell ref="A48:E48"/>
    <mergeCell ref="A50:E50"/>
    <mergeCell ref="A33:E33"/>
    <mergeCell ref="A34:E34"/>
    <mergeCell ref="A35:E35"/>
    <mergeCell ref="A36:E36"/>
    <mergeCell ref="A37:E37"/>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3">
    <tabColor rgb="FF00B050"/>
  </sheetPr>
  <dimension ref="A1:F64"/>
  <sheetViews>
    <sheetView view="pageBreakPreview" topLeftCell="A29" zoomScaleNormal="100" zoomScaleSheetLayoutView="100" workbookViewId="0">
      <selection activeCell="A61" sqref="A61:C61"/>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98" t="str">
        <f>"GAROV PREDMETI QIYMATINI KELISHISH 
№"&amp;malumot!B147&amp;" SONLI DALOLATNOMASI
 "</f>
        <v xml:space="preserve">GAROV PREDMETI QIYMATINI KELISHISH 
№1 SONLI DALOLATNOMASI
 </v>
      </c>
      <c r="B2" s="298"/>
      <c r="C2" s="298"/>
      <c r="D2" s="298"/>
      <c r="E2" s="298"/>
    </row>
    <row r="3" spans="1:5">
      <c r="A3" s="40"/>
      <c r="B3" s="40"/>
      <c r="C3" s="40"/>
      <c r="D3" s="40"/>
      <c r="E3" s="40"/>
    </row>
    <row r="4" spans="1:5">
      <c r="A4" s="37" t="s">
        <v>208</v>
      </c>
      <c r="B4" s="37"/>
      <c r="C4" s="37"/>
      <c r="D4" s="37"/>
      <c r="E4" s="37" t="str">
        <f>malumot!B148</f>
        <v>24 mart 2025 y.</v>
      </c>
    </row>
    <row r="5" spans="1:5" ht="9" customHeight="1">
      <c r="A5" s="267"/>
      <c r="B5" s="267"/>
      <c r="C5" s="267"/>
      <c r="D5" s="267"/>
      <c r="E5" s="267"/>
    </row>
    <row r="6" spans="1:5" ht="76.5" customHeight="1">
      <c r="A6" s="267" t="str">
        <f>IF(malumot!B109="avtotransport",dalolatnoma!A10:E10,dalolatnoma!A7:E7)</f>
        <v>«CLEVER MIKROMOLIYA TASHKILOTI» MChJning (1-tomon) vakili bo‘lgan  Xatirchi  filial boshlig'i SH. Xayriyev, O‘zbekiston Respublikasi fuqarosi XUDAYQULOV FAZLIDDIN SAIDOVICH (2-tomon) va garovga beruvchi O‘zbekiston Respublikasi fuqarosi XUDAYKULOV MAVLUDDIN SAIDOVICH (3-tomon) o’rtalarida, 24 mart 2025 y.dan №656-XT-sonli Mikroqarz shartnomasiga muvofiq 1-tomon 2-tomonga berilgan mikroqarz bo‘yicha ta’minot sifatida taqdim etilgan, 3-tomonga mulk huquqi asosida tegishli bo‘lgan mulkning garov qiymatini kelishish muzokaralari o’tkazildi.</v>
      </c>
      <c r="B6" s="267"/>
      <c r="C6" s="267"/>
      <c r="D6" s="267"/>
      <c r="E6" s="267"/>
    </row>
    <row r="7" spans="1:5" ht="88.5" hidden="1" customHeight="1">
      <c r="A7" s="267" t="str">
        <f>IF(malumot!B99="ha",dalolatnoma!A9:E9,dalolatnoma!A8:E8)</f>
        <v xml:space="preserve">«CLEVER MIKROMOLIYA TASHKILOTI» MChJning (1-tomon) vakili bo‘lgan  Xatirchi  filial boshlig'i SH. Xayriyev, va O‘zbekiston Respublikasi fuqarosi  XUDAYQULOV FAZLIDDIN SAIDOVICH (2-tomon) va garov egasi 0 (3-tomon) 24 mart 2025 y.dan №656-XT Mikroqarz shartnomasiga muvofiq 1-tomon 2-tomonga berilgan mikroqarz bo‘yicha ta’minot sifatida taqdim etilgan, 2-tomonga mulk huquqi asosida tegishli bo‘lgan mulkning garov qiymatini kelishish muzokaralari o’tkazildi. </v>
      </c>
      <c r="B7" s="267"/>
      <c r="C7" s="267"/>
      <c r="D7" s="267"/>
      <c r="E7" s="267"/>
    </row>
    <row r="8" spans="1:5" ht="88.5" hidden="1" customHeight="1">
      <c r="A8" s="267"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Xatirchi  filial boshlig'i SH. Xayriyev, va O‘zbekiston Respublikasi fuqarosi  XUDAYQULOV FAZLIDDIN SAIDOVICH (2-tomon) va garov egasi 0 (3-tomon) 24 mart 2025 y.dan №656-XT Mikroqarz shartnomasiga muvofiq 1-tomon 2-tomonga berilgan mikroqarz bo‘yicha ta’minot sifatida taqdim etilgan, 2-tomonga mulk huquqi asosida tegishli bo‘lgan mulkning garov qiymatini kelishish muzokaralari o’tkazildi. </v>
      </c>
      <c r="B8" s="267"/>
      <c r="C8" s="267"/>
      <c r="D8" s="267"/>
      <c r="E8" s="267"/>
    </row>
    <row r="9" spans="1:5" ht="88.5" hidden="1" customHeight="1">
      <c r="A9" s="267"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Xatirchi  filial boshlig'i SH. Xayriyev, va O‘zbekiston Respublikasi fuqarosi  XUDAYQULOV FAZLIDDIN SAIDOVICH (2-tomon) va garov egasi 0 (3-tomon) 24 mart 2025 y.dan №656-XT Mikroqarz shartnomasiga muvofiq 1-tomon 2-tomonga berilgan mikroqarz bo‘yicha ta’minot sifatida taqdim etilgan, 2-tomonga mulk huquqi asosida tegishli bo‘lgan mulkning garov qiymatini kelishish muzokaralari o’tkazildi. </v>
      </c>
      <c r="B9" s="267"/>
      <c r="C9" s="267"/>
      <c r="D9" s="267"/>
      <c r="E9" s="267"/>
    </row>
    <row r="10" spans="1:5" ht="88.5" hidden="1" customHeight="1">
      <c r="A10" s="267" t="str">
        <f>IF(malumot!B99="ha",dalolatnoma!A12:E12,dalolatnoma!A11:E11)</f>
        <v>«CLEVER MIKROMOLIYA TASHKILOTI» MChJning (1-tomon) vakili bo‘lgan  Xatirchi  filial boshlig'i SH. Xayriyev, O‘zbekiston Respublikasi fuqarosi XUDAYQULOV FAZLIDDIN SAIDOVICH (2-tomon) va garovga beruvchi O‘zbekiston Respublikasi fuqarosi XUDAYKULOV MAVLUDDIN SAIDOVICH (3-tomon) o’rtalarida, 24 mart 2025 y.dan №656-XT-sonli Mikroqarz shartnomasiga muvofiq 1-tomon 2-tomonga berilgan mikroqarz bo‘yicha ta’minot sifatida taqdim etilgan, 3-tomonga mulk huquqi asosida tegishli bo‘lgan mulkning garov qiymatini kelishish muzokaralari o’tkazildi.</v>
      </c>
      <c r="B10" s="267"/>
      <c r="C10" s="267"/>
      <c r="D10" s="267"/>
      <c r="E10" s="267"/>
    </row>
    <row r="11" spans="1:5" ht="88.5" hidden="1" customHeight="1">
      <c r="A11" s="267" t="str">
        <f>""&amp;malumot!B153&amp;"ning (1-tomon) vakili bo‘lgan  "&amp;malumot!A156&amp;" "&amp;malumot!B156&amp;", O‘zbekiston Respublikasi fuqarosi "&amp;malumot!B5&amp;" (2-tomon) va garovga beruvchi O‘zbekiston Respublikasi fuqarosi "&amp;malumot!B123&amp;"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Xatirchi  filial boshlig'i SH. Xayriyev, O‘zbekiston Respublikasi fuqarosi XUDAYQULOV FAZLIDDIN SAIDOVICH (2-tomon) va garovga beruvchi O‘zbekiston Respublikasi fuqarosi XUDAYKULOV MAVLUDDIN SAIDOVICH (3-tomon) o’rtalarida, 24 mart 2025 y.dan №656-XT-sonli Mikroqarz shartnomasiga muvofiq 1-tomon 2-tomonga berilgan mikroqarz bo‘yicha ta’minot sifatida taqdim etilgan, 3-tomonga mulk huquqi asosida tegishli bo‘lgan mulkning garov qiymatini kelishish muzokaralari o’tkazildi.</v>
      </c>
      <c r="B11" s="267"/>
      <c r="C11" s="267"/>
      <c r="D11" s="267"/>
      <c r="E11" s="267"/>
    </row>
    <row r="12" spans="1:5" ht="88.5" hidden="1" customHeight="1">
      <c r="A12" s="267" t="str">
        <f>""&amp;malumot!B153&amp;"ning (1-tomon) vakili bo‘lgan  "&amp;malumot!A156&amp;" "&amp;malumot!B156&amp;",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Xatirchi  filial boshlig'i SH. Xayriyev, O‘zbekiston Respublikasi fuqarosi va garovga beruvchi XUDAYQULOV FAZLIDDIN SAIDOVICH (2-tomon) o’rtalarida, 24 mart 2025 y.dan №656-XT-sonli Mikroqarz shartnomasiga muvofiq 1-tomon 2-tomonga berilgan mikroqarz bo‘yicha ta’minot sifatida taqdim etilgan, 2-tomonga mulk huquqi asosida tegishli bo‘lgan mulkning garov qiymatini kelishish muzokaralari o’tkazildi.</v>
      </c>
      <c r="B12" s="267"/>
      <c r="C12" s="267"/>
      <c r="D12" s="267"/>
      <c r="E12" s="267"/>
    </row>
    <row r="13" spans="1:5" ht="88.5" hidden="1" customHeight="1">
      <c r="A13" s="267" t="str">
        <f>"Garov predmeti sifatida "&amp;malumot!B131&amp;", 3-tomonga egalik huquqi tegishli bo'lgan, quyidagi tafsilotlarga ega avtotransport vositasi taqdim etiladi:"</f>
        <v>Garov predmeti sifatida CHEVROLET DAMAS, 3-tomonga egalik huquqi tegishli bo'lgan, quyidagi tafsilotlarga ega avtotransport vositasi taqdim etiladi:</v>
      </c>
      <c r="B13" s="267"/>
      <c r="C13" s="267"/>
      <c r="D13" s="267"/>
      <c r="E13" s="267"/>
    </row>
    <row r="14" spans="1:5" ht="88.5" hidden="1" customHeight="1">
      <c r="A14" s="267" t="str">
        <f>"Garov predmeti sifatida "&amp;malumot!B131&amp;", 2-tomonga egalik huquqi tegishli bo'lgan, quyidagi tafsilotlarga ega avtotransport vositasi taqdim etiladi:"</f>
        <v>Garov predmeti sifatida CHEVROLET DAMAS, 2-tomonga egalik huquqi tegishli bo'lgan, quyidagi tafsilotlarga ega avtotransport vositasi taqdim etiladi:</v>
      </c>
      <c r="B14" s="267"/>
      <c r="C14" s="267"/>
      <c r="D14" s="267"/>
      <c r="E14" s="267"/>
    </row>
    <row r="15" spans="1:5" ht="88.5" hidden="1" customHeight="1">
      <c r="A15" s="267" t="str">
        <f>IF(malumot!B99="ha",dalolatnoma!A14:E14,dalolatnoma!A13:E13)</f>
        <v>Garov predmeti sifatida CHEVROLET DAMAS, 3-tomonga egalik huquqi tegishli bo'lgan, quyidagi tafsilotlarga ega avtotransport vositasi taqdim etiladi:</v>
      </c>
      <c r="B15" s="267"/>
      <c r="C15" s="267"/>
      <c r="D15" s="267"/>
      <c r="E15" s="267"/>
    </row>
    <row r="16" spans="1:5" ht="88.5" hidden="1" customHeight="1">
      <c r="A16" s="267" t="str">
        <f>"Garov predmeti sifatida "&amp;malumot!C132&amp;", 2-tomonga egalik huquqi tegishli bo'lgan, quyidagi tafsilotlarga ega ko'chmas mulk taqdim etiladi:"</f>
        <v>Garov predmeti sifatida 3 - xonali yakka tartibdagi uy-joy, 2-tomonga egalik huquqi tegishli bo'lgan, quyidagi tafsilotlarga ega ko'chmas mulk taqdim etiladi:</v>
      </c>
      <c r="B16" s="267"/>
      <c r="C16" s="267"/>
      <c r="D16" s="267"/>
      <c r="E16" s="267"/>
    </row>
    <row r="17" spans="1:5" ht="13.5" hidden="1" customHeight="1">
      <c r="A17" s="267" t="str">
        <f>"Garov predmeti sifatida "&amp;malumot!C132&amp;", 3-tomonga egalik huquqi tegishli bo'lgan, quyidagi tafsilotlarga ega ko'chmas mulk taqdim etiladi:"</f>
        <v>Garov predmeti sifatida 3 - xonali yakka tartibdagi uy-joy, 3-tomonga egalik huquqi tegishli bo'lgan, quyidagi tafsilotlarga ega ko'chmas mulk taqdim etiladi:</v>
      </c>
      <c r="B17" s="267"/>
      <c r="C17" s="267"/>
      <c r="D17" s="267"/>
      <c r="E17" s="267"/>
    </row>
    <row r="18" spans="1:5" ht="11.25" hidden="1" customHeight="1">
      <c r="A18" s="267" t="str">
        <f>IF(malumot!B99="ha",dalolatnoma!A16:E16,dalolatnoma!A17:E17)</f>
        <v>Garov predmeti sifatida 3 - xonali yakka tartibdagi uy-joy, 3-tomonga egalik huquqi tegishli bo'lgan, quyidagi tafsilotlarga ega ko'chmas mulk taqdim etiladi:</v>
      </c>
      <c r="B18" s="267"/>
      <c r="C18" s="267"/>
      <c r="D18" s="267"/>
      <c r="E18" s="267"/>
    </row>
    <row r="19" spans="1:5" ht="32.25" customHeight="1">
      <c r="A19" s="267" t="str">
        <f>IF(malumot!B109="Avtotransport",dalolatnoma!A15:E15,dalolatnoma!A18:E18)</f>
        <v>Garov predmeti sifatida CHEVROLET DAMAS, 3-tomonga egalik huquqi tegishli bo'lgan, quyidagi tafsilotlarga ega avtotransport vositasi taqdim etiladi:</v>
      </c>
      <c r="B19" s="267"/>
      <c r="C19" s="267"/>
      <c r="D19" s="267"/>
      <c r="E19" s="267"/>
    </row>
    <row r="20" spans="1:5" ht="48" customHeight="1" outlineLevel="1">
      <c r="A20" s="39" t="s">
        <v>206</v>
      </c>
      <c r="B20" s="303" t="str">
        <f>IF(malumot!B109=malumot!C109,"Kuzov turi  va kuzov raqami*","Foydali maydoni")</f>
        <v>Kuzov turi  va kuzov raqami*</v>
      </c>
      <c r="C20" s="304"/>
      <c r="D20" s="39" t="str">
        <f>IF(malumot!B109=malumot!C109,"Dvigatel va shassi raqami*","Yashash maydoni")</f>
        <v>Dvigatel va shassi raqami*</v>
      </c>
      <c r="E20" s="39" t="str">
        <f>IF(malumot!B109=malumot!C109,"Ishlab chiqarilgan yili va rangi**","Umumiy maydoni")</f>
        <v>Ishlab chiqarilgan yili va rangi**</v>
      </c>
    </row>
    <row r="21" spans="1:5" ht="65.25" customHeight="1" outlineLevel="1">
      <c r="A21" s="17" t="str">
        <f>IF(malumot!B109=malumot!C109,malumot!B131,malumot!C131)</f>
        <v>CHEVROLET DAMAS</v>
      </c>
      <c r="B21" s="300" t="str">
        <f>IF(malumot!B109=malumot!C109,malumot!B133,CONCATENATE(malumot!F136," ","kv.m"))</f>
        <v>kuzov turi - YENGIL SEDAN, kuzov raqami XWB7T12YDKP150990</v>
      </c>
      <c r="C21" s="300"/>
      <c r="D21" s="17" t="str">
        <f>IF(malumot!B109=malumot!C109,malumot!B136,malumot!E139)</f>
        <v>dvigatel raqami F8CB191310207, shassi raqami - RAKAMSIZ</v>
      </c>
      <c r="E21" s="17" t="str">
        <f>IF(malumot!B109=malumot!C109,malumot!B139,malumot!E136)</f>
        <v>rangi -  OQ BELAYA, ishlab chiqarilgan yili - 2019</v>
      </c>
    </row>
    <row r="22" spans="1:5" ht="17.25" customHeight="1" outlineLevel="1">
      <c r="A22" s="267" t="str">
        <f>"-* "&amp;IF(malumot!B109=malumot!C109,"avtotransport "&amp;"egasi: "&amp;malumot!B123&amp;"","ko'chmas mulk"&amp;" egasi: "&amp;malumot!B123&amp;"")</f>
        <v>-* avtotransport egasi: XUDAYKULOV MAVLUDDIN SAIDOVICH</v>
      </c>
      <c r="B22" s="267"/>
      <c r="C22" s="267"/>
      <c r="D22" s="267"/>
      <c r="E22" s="267"/>
    </row>
    <row r="23" spans="1:5" outlineLevel="1">
      <c r="A23" s="267" t="str">
        <f>IF(malumot!B109=malumot!C109,"-* texnik pasport: "&amp;malumot!B130&amp;"","-* reest raqami: "&amp;malumot!C130&amp;"")</f>
        <v>-* texnik pasport: AAG 0638366    21.12.2022</v>
      </c>
      <c r="B23" s="267"/>
      <c r="C23" s="267"/>
      <c r="D23" s="267"/>
      <c r="E23" s="267"/>
    </row>
    <row r="24" spans="1:5" s="172" customFormat="1" outlineLevel="1">
      <c r="A24" s="267" t="str">
        <f>IF(malumot!B109=malumot!C109,"-* roʻyxatdan oʻtgan manzili/garaj manzili: "&amp;malumot!B128&amp;"","-*  kadastr raqami: "&amp;malumot!C133&amp;"")</f>
        <v>-* roʻyxatdan oʻtgan manzili/garaj manzili: NAVOIY VILOYATI XATIRCHI TUMANI YANGIRABOD MAHALLASI 105-UY</v>
      </c>
      <c r="B24" s="267"/>
      <c r="C24" s="267"/>
      <c r="D24" s="267"/>
      <c r="E24" s="267"/>
    </row>
    <row r="25" spans="1:5" ht="27" customHeight="1" outlineLevel="1">
      <c r="A25" s="267" t="str">
        <f>IF(malumot!B109=malumot!C109,"-* davlat raqami: "&amp;malumot!B132&amp;"","-* manzili: "&amp;malumot!C129&amp;"")</f>
        <v>-* davlat raqami: 85O912KA</v>
      </c>
      <c r="B25" s="267"/>
      <c r="C25" s="267"/>
      <c r="D25" s="267"/>
      <c r="E25" s="267"/>
    </row>
    <row r="26" spans="1:5" ht="65.25" customHeight="1">
      <c r="A26" s="267" t="str">
        <f>IF(malumot!B99="ha",dalolatnoma!A28:E28,dalolatnoma!A27:E27)</f>
        <v>Tomonlar o’rtasida o’tkazilgan muzokaralar natijalariga ko‘ra, 2-tomon ta’minot sifatida quyidagi tafsilotlarga ega bo’lgan garov predmetini taqdim etadi, 1-tomon esa ushbu garov predmetini  24 mart 2025 y.dan №656-XT mikroqarz shartnomasi bo‘yicha berilgan mikroqarz bo‘yicha  
52 500 000,00 (ellik ikki million besh yuz ming so'm) so’m bo‘lgan kelishilgan garov qiymatida qabul qiladi::</v>
      </c>
      <c r="B26" s="267"/>
      <c r="C26" s="267"/>
      <c r="D26" s="267"/>
      <c r="E26" s="267"/>
    </row>
    <row r="27" spans="1:5" ht="66" hidden="1" customHeight="1">
      <c r="A27" s="267"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24 mart 2025 y.dan №656-XT mikroqarz shartnomasi bo‘yicha berilgan mikroqarz bo‘yicha  
52 500 000,00 (ellik ikki million besh yuz ming so'm) so’m bo‘lgan kelishilgan garov qiymatida qabul qiladi::</v>
      </c>
      <c r="B27" s="267"/>
      <c r="C27" s="267"/>
      <c r="D27" s="267"/>
      <c r="E27" s="267"/>
    </row>
    <row r="28" spans="1:5" ht="58.5" hidden="1" customHeight="1">
      <c r="A28" s="267"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24 mart 2025 y.dan №656-XT Mikroqarz shartnomasi bo‘yicha berilgan mikroqarz bo‘yicha  
52 500 000,00 (ellik ikki million besh yuz ming so'm) so’m bo‘lgan kelishilgan garov qiymatida qabul qiladi::</v>
      </c>
      <c r="B28" s="267"/>
      <c r="C28" s="267"/>
      <c r="D28" s="267"/>
      <c r="E28" s="267"/>
    </row>
    <row r="29" spans="1:5" ht="51.75" customHeight="1" outlineLevel="1">
      <c r="A29" s="39" t="s">
        <v>206</v>
      </c>
      <c r="B29" s="39" t="str">
        <f>B20</f>
        <v>Kuzov turi  va kuzov raqami*</v>
      </c>
      <c r="C29" s="39" t="str">
        <f>D20</f>
        <v>Dvigatel va shassi raqami*</v>
      </c>
      <c r="D29" s="39" t="str">
        <f>IF(malumot!B109=malumot!C109,"Ishlab chiqarilgan yili va rangi*","Foydalanishga topshirilgan sanasi")</f>
        <v>Ishlab chiqarilgan yili va rangi*</v>
      </c>
      <c r="E29" s="39" t="s">
        <v>207</v>
      </c>
    </row>
    <row r="30" spans="1:5" ht="76.5" customHeight="1" outlineLevel="1">
      <c r="A30" s="17" t="str">
        <f>A21</f>
        <v>CHEVROLET DAMAS</v>
      </c>
      <c r="B30" s="17" t="str">
        <f>B21</f>
        <v>kuzov turi - YENGIL SEDAN, kuzov raqami XWB7T12YDKP150990</v>
      </c>
      <c r="C30" s="17" t="str">
        <f>D21</f>
        <v>dvigatel raqami F8CB191310207, shassi raqami - RAKAMSIZ</v>
      </c>
      <c r="D30" s="17" t="str">
        <f>IF(malumot!B109=malumot!C109,E21,TEXT(malumot!C141,"ДД.ММ.ГГГГ"))</f>
        <v>rangi -  OQ BELAYA, ishlab chiqarilgan yili - 2019</v>
      </c>
      <c r="E30" s="17" t="str">
        <f>""&amp;FIXED(malumot!B142,2)&amp;" 
("&amp;malumot!B143&amp;")"</f>
        <v>52 500 000,00 
(ellik ikki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07" t="e">
        <f>#REF!</f>
        <v>#REF!</v>
      </c>
      <c r="C33" s="107" t="e">
        <f>#REF!</f>
        <v>#REF!</v>
      </c>
      <c r="D33" s="107" t="e">
        <f>#REF!</f>
        <v>#REF!</v>
      </c>
      <c r="E33" s="307" t="str">
        <f>""&amp;FIXED(malumot!C142,2)&amp;" ("&amp;malumot!B143&amp;")"</f>
        <v>52 500 000,00 (ellik ikki million besh yuz ming so'm)</v>
      </c>
    </row>
    <row r="34" spans="1:5" ht="15.75" hidden="1" customHeight="1" outlineLevel="1">
      <c r="A34" s="17"/>
      <c r="B34" s="107"/>
      <c r="C34" s="107"/>
      <c r="D34" s="107"/>
      <c r="E34" s="308"/>
    </row>
    <row r="35" spans="1:5" ht="15.75" hidden="1" customHeight="1" outlineLevel="1">
      <c r="A35" s="17" t="e">
        <f>#REF!</f>
        <v>#REF!</v>
      </c>
      <c r="B35" s="107" t="e">
        <f>#REF!</f>
        <v>#REF!</v>
      </c>
      <c r="C35" s="107" t="e">
        <f>#REF!</f>
        <v>#REF!</v>
      </c>
      <c r="D35" s="107" t="e">
        <f>#REF!</f>
        <v>#REF!</v>
      </c>
      <c r="E35" s="308"/>
    </row>
    <row r="36" spans="1:5" ht="15.75" hidden="1" customHeight="1" outlineLevel="1">
      <c r="A36" s="17" t="e">
        <f>#REF!</f>
        <v>#REF!</v>
      </c>
      <c r="B36" s="107" t="e">
        <f>#REF!</f>
        <v>#REF!</v>
      </c>
      <c r="C36" s="107" t="e">
        <f>#REF!</f>
        <v>#REF!</v>
      </c>
      <c r="D36" s="107" t="e">
        <f>#REF!</f>
        <v>#REF!</v>
      </c>
      <c r="E36" s="308"/>
    </row>
    <row r="37" spans="1:5" ht="15.75" hidden="1" customHeight="1" outlineLevel="1">
      <c r="A37" s="17" t="e">
        <f>#REF!</f>
        <v>#REF!</v>
      </c>
      <c r="B37" s="107" t="e">
        <f>#REF!</f>
        <v>#REF!</v>
      </c>
      <c r="C37" s="107" t="e">
        <f>#REF!</f>
        <v>#REF!</v>
      </c>
      <c r="D37" s="107" t="e">
        <f>#REF!</f>
        <v>#REF!</v>
      </c>
      <c r="E37" s="308"/>
    </row>
    <row r="38" spans="1:5" ht="15.75" hidden="1" customHeight="1" outlineLevel="1">
      <c r="A38" s="17" t="e">
        <f>#REF!</f>
        <v>#REF!</v>
      </c>
      <c r="B38" s="107" t="e">
        <f>#REF!</f>
        <v>#REF!</v>
      </c>
      <c r="C38" s="107" t="e">
        <f>#REF!</f>
        <v>#REF!</v>
      </c>
      <c r="D38" s="107" t="e">
        <f>#REF!</f>
        <v>#REF!</v>
      </c>
      <c r="E38" s="308"/>
    </row>
    <row r="39" spans="1:5" ht="15.75" hidden="1" customHeight="1" outlineLevel="1">
      <c r="A39" s="17" t="e">
        <f>#REF!</f>
        <v>#REF!</v>
      </c>
      <c r="B39" s="107" t="e">
        <f>#REF!</f>
        <v>#REF!</v>
      </c>
      <c r="C39" s="107" t="e">
        <f>#REF!</f>
        <v>#REF!</v>
      </c>
      <c r="D39" s="107" t="e">
        <f>#REF!</f>
        <v>#REF!</v>
      </c>
      <c r="E39" s="308"/>
    </row>
    <row r="40" spans="1:5" ht="15.75" hidden="1" customHeight="1" outlineLevel="1">
      <c r="A40" s="17" t="e">
        <f>#REF!</f>
        <v>#REF!</v>
      </c>
      <c r="B40" s="107" t="e">
        <f>#REF!</f>
        <v>#REF!</v>
      </c>
      <c r="C40" s="107" t="e">
        <f>#REF!</f>
        <v>#REF!</v>
      </c>
      <c r="D40" s="107" t="e">
        <f>#REF!</f>
        <v>#REF!</v>
      </c>
      <c r="E40" s="308"/>
    </row>
    <row r="41" spans="1:5" ht="15.75" hidden="1" customHeight="1" outlineLevel="1">
      <c r="A41" s="17" t="e">
        <f>#REF!</f>
        <v>#REF!</v>
      </c>
      <c r="B41" s="107" t="e">
        <f>#REF!</f>
        <v>#REF!</v>
      </c>
      <c r="C41" s="107" t="e">
        <f>#REF!</f>
        <v>#REF!</v>
      </c>
      <c r="D41" s="107" t="e">
        <f>#REF!</f>
        <v>#REF!</v>
      </c>
      <c r="E41" s="308"/>
    </row>
    <row r="42" spans="1:5" ht="15.75" hidden="1" customHeight="1" outlineLevel="1">
      <c r="A42" s="17" t="e">
        <f>#REF!</f>
        <v>#REF!</v>
      </c>
      <c r="B42" s="107" t="e">
        <f>#REF!</f>
        <v>#REF!</v>
      </c>
      <c r="C42" s="107" t="e">
        <f>#REF!</f>
        <v>#REF!</v>
      </c>
      <c r="D42" s="107" t="e">
        <f>#REF!</f>
        <v>#REF!</v>
      </c>
      <c r="E42" s="308"/>
    </row>
    <row r="43" spans="1:5" ht="15.75" hidden="1" customHeight="1" outlineLevel="1">
      <c r="A43" s="17" t="e">
        <f>#REF!</f>
        <v>#REF!</v>
      </c>
      <c r="B43" s="17" t="e">
        <f>#REF!</f>
        <v>#REF!</v>
      </c>
      <c r="C43" s="17" t="e">
        <f>#REF!</f>
        <v>#REF!</v>
      </c>
      <c r="D43" s="17" t="e">
        <f>#REF!</f>
        <v>#REF!</v>
      </c>
      <c r="E43" s="309"/>
    </row>
    <row r="44" spans="1:5" s="37" customFormat="1" ht="15.75" hidden="1" customHeight="1" outlineLevel="1">
      <c r="A44" s="39" t="e">
        <f>#REF!</f>
        <v>#REF!</v>
      </c>
      <c r="B44" s="39" t="e">
        <f>#REF!</f>
        <v>#REF!</v>
      </c>
      <c r="C44" s="39" t="e">
        <f>#REF!</f>
        <v>#REF!</v>
      </c>
      <c r="D44" s="39" t="e">
        <f>#REF!</f>
        <v>#REF!</v>
      </c>
      <c r="E44" s="39" t="str">
        <f>FIXED(malumot!C142,2)</f>
        <v>52 500 000,00</v>
      </c>
    </row>
    <row r="45" spans="1:5" ht="12.75" customHeight="1" collapsed="1">
      <c r="A45" s="16"/>
      <c r="B45" s="16"/>
      <c r="C45" s="16"/>
      <c r="D45" s="16"/>
      <c r="E45" s="16"/>
    </row>
    <row r="46" spans="1:5" ht="93.75" hidden="1" customHeight="1">
      <c r="A46" s="267"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67"/>
      <c r="C46" s="267"/>
      <c r="D46" s="267"/>
      <c r="E46" s="267"/>
    </row>
    <row r="47" spans="1:5" ht="42" customHeight="1">
      <c r="A47" s="267" t="s">
        <v>210</v>
      </c>
      <c r="B47" s="267"/>
      <c r="C47" s="267"/>
      <c r="D47" s="267"/>
      <c r="E47" s="267"/>
    </row>
    <row r="48" spans="1:5" ht="35.25" customHeight="1">
      <c r="A48" s="267" t="str">
        <f>"Shunday qilib, garov predmetining kelishilgan garov qiymati  "&amp;FIXED(malumot!B142)&amp;" ("&amp;malumot!B143&amp;") so‘mni tashkil etadi."</f>
        <v>Shunday qilib, garov predmetining kelishilgan garov qiymati  52 500 000,00 (ellik ikki million besh yuz ming so'm) so‘mni tashkil etadi.</v>
      </c>
      <c r="B48" s="267"/>
      <c r="C48" s="267"/>
      <c r="D48" s="267"/>
      <c r="E48" s="267"/>
    </row>
    <row r="49" spans="1:6" ht="35.25" hidden="1" customHeight="1">
      <c r="A49" s="19"/>
      <c r="B49" s="19"/>
      <c r="C49" s="19"/>
      <c r="D49" s="19">
        <f>IF(malumot!B98=malumot!C98,malumot!C142,IF(malumot!B98=malumot!D98,'Данные для послед. Залога'!M22,0))</f>
        <v>52500000</v>
      </c>
      <c r="E49" s="19" t="str">
        <f>IF(malumot!B98=malumot!C98,malumot!B143,IF(malumot!B98=malumot!D98,'Данные для послед. Залога'!Q22,0))</f>
        <v>ellik ikki million besh yuz ming so'm</v>
      </c>
    </row>
    <row r="50" spans="1:6">
      <c r="A50" s="306" t="s">
        <v>211</v>
      </c>
      <c r="B50" s="306"/>
      <c r="C50" s="306"/>
      <c r="D50" s="22"/>
      <c r="E50" s="22"/>
    </row>
    <row r="51" spans="1:6" ht="15" customHeight="1">
      <c r="A51" s="126" t="str">
        <f>malumot!B154</f>
        <v>«CLEVER MIKROMOLIYA TASHKILOTI» MChJ</v>
      </c>
      <c r="B51" s="22"/>
      <c r="C51" s="22"/>
      <c r="D51" s="158"/>
      <c r="E51" s="158"/>
    </row>
    <row r="52" spans="1:6" ht="15" customHeight="1">
      <c r="A52" s="22" t="str">
        <f>""&amp;malumot!A156&amp;""</f>
        <v>Xatirchi  filial boshlig'i</v>
      </c>
      <c r="B52" s="22"/>
      <c r="C52" s="22"/>
      <c r="D52" s="248"/>
      <c r="E52" s="248" t="str">
        <f>malumot!B156</f>
        <v>SH. Xayriyev</v>
      </c>
    </row>
    <row r="53" spans="1:6">
      <c r="A53" s="53"/>
      <c r="B53" s="53"/>
      <c r="C53" s="53"/>
      <c r="D53" s="53"/>
      <c r="E53" s="53"/>
    </row>
    <row r="54" spans="1:6">
      <c r="A54" s="306"/>
      <c r="B54" s="306"/>
      <c r="C54" s="306"/>
      <c r="D54" s="53"/>
      <c r="E54" s="53"/>
    </row>
    <row r="55" spans="1:6" hidden="1">
      <c r="A55" s="268" t="s">
        <v>47</v>
      </c>
      <c r="B55" s="268"/>
      <c r="C55" s="268"/>
      <c r="D55" s="53"/>
      <c r="E55" s="53"/>
    </row>
    <row r="56" spans="1:6" hidden="1">
      <c r="A56" s="268" t="str">
        <f>malumot!B154</f>
        <v>«CLEVER MIKROMOLIYA TASHKILOTI» MChJ</v>
      </c>
      <c r="B56" s="268"/>
      <c r="C56" s="268"/>
      <c r="D56" s="268" t="str">
        <f>"_______________   "&amp;malumot!B165&amp;""</f>
        <v>_______________   B. Mominov</v>
      </c>
      <c r="E56" s="268"/>
    </row>
    <row r="57" spans="1:6" ht="12.75" customHeight="1">
      <c r="A57" s="268"/>
      <c r="B57" s="268"/>
      <c r="C57" s="268"/>
      <c r="D57" s="268"/>
      <c r="E57" s="268"/>
    </row>
    <row r="58" spans="1:6">
      <c r="A58" s="306" t="s">
        <v>212</v>
      </c>
      <c r="B58" s="306"/>
      <c r="C58" s="306"/>
      <c r="D58" s="268"/>
      <c r="E58" s="268"/>
    </row>
    <row r="59" spans="1:6" ht="31.5" customHeight="1">
      <c r="A59" s="268" t="s">
        <v>213</v>
      </c>
      <c r="B59" s="268"/>
      <c r="C59" s="268"/>
      <c r="D59" s="306" t="str">
        <f>"_______________  "&amp;malumot!B7&amp;""</f>
        <v>_______________  XUDAYQULOV .F.S</v>
      </c>
      <c r="E59" s="306"/>
    </row>
    <row r="60" spans="1:6" ht="12.75" customHeight="1">
      <c r="A60" s="268"/>
      <c r="B60" s="268"/>
      <c r="C60" s="268"/>
      <c r="D60" s="305" t="str">
        <f>IF(malumot!B99="да","",malumot!B124)</f>
        <v>XUDAYKULOV .M.S</v>
      </c>
      <c r="E60" s="305"/>
    </row>
    <row r="61" spans="1:6" ht="17.25" customHeight="1">
      <c r="A61" s="306" t="str">
        <f>+IF(malumot!B99="ha"," ","3-tomondan:")</f>
        <v>3-tomondan:</v>
      </c>
      <c r="B61" s="306"/>
      <c r="C61" s="306"/>
      <c r="D61" s="306"/>
      <c r="E61" s="306"/>
      <c r="F61" s="15" t="str">
        <f>IF(malumot!B100=malumot!D100,B7,"")</f>
        <v/>
      </c>
    </row>
    <row r="62" spans="1:6" ht="17.25" customHeight="1">
      <c r="A62" s="268" t="str">
        <f>+IF(malumot!B99="ha"," ","O'zbekiston Respublikasi fuqarosi")</f>
        <v>O'zbekiston Respublikasi fuqarosi</v>
      </c>
      <c r="B62" s="268"/>
      <c r="C62" s="268"/>
      <c r="D62" s="306" t="str">
        <f>"_______________  "&amp;malumot!B118&amp;""</f>
        <v>_______________  XUDAYKULOV .M.S</v>
      </c>
      <c r="E62" s="306"/>
    </row>
    <row r="63" spans="1:6" ht="63.75" customHeight="1">
      <c r="A63" s="180" t="str">
        <f>IF(malumot!B100=malumot!C100,"_______________  "&amp;malumot!B118&amp;"","_______________  "&amp;malumot!B7&amp;"")</f>
        <v>_______________  XUDAYKULOV .M.S</v>
      </c>
      <c r="B63" s="53"/>
      <c r="C63" s="268" t="str">
        <f>'заявление залогодателя'!A20</f>
        <v/>
      </c>
      <c r="D63" s="268"/>
      <c r="E63" s="268"/>
    </row>
    <row r="64" spans="1:6" ht="6.75" customHeight="1">
      <c r="D64" s="292"/>
      <c r="E64" s="292"/>
    </row>
  </sheetData>
  <mergeCells count="48">
    <mergeCell ref="A56:C56"/>
    <mergeCell ref="D56:E56"/>
    <mergeCell ref="A27:E27"/>
    <mergeCell ref="A50:C50"/>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2">
    <tabColor rgb="FF00B050"/>
  </sheetPr>
  <dimension ref="A1:P65"/>
  <sheetViews>
    <sheetView view="pageBreakPreview" topLeftCell="A9" zoomScaleNormal="100" zoomScaleSheetLayoutView="100" workbookViewId="0">
      <selection activeCell="A44" sqref="A33:XFD44"/>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97"/>
      <c r="F2" s="297"/>
      <c r="G2" s="20"/>
    </row>
    <row r="3" spans="1:16" ht="77.25" customHeight="1">
      <c r="A3" s="37"/>
      <c r="B3" s="37"/>
      <c r="C3" s="37"/>
      <c r="D3" s="37"/>
      <c r="E3" s="312" t="str">
        <f>""&amp;malumot!B74&amp;" 
"&amp;malumot!B65&amp;" shartnomasiga 
1 sonli ilova"</f>
        <v>24 mart 2025 y.dan №656-XT 
mikroqarz shartnomasiga 
1 sonli ilova</v>
      </c>
      <c r="F3" s="312"/>
      <c r="G3" s="20"/>
    </row>
    <row r="4" spans="1:16" ht="6.75" customHeight="1">
      <c r="A4" s="37"/>
      <c r="B4" s="37"/>
      <c r="C4" s="37"/>
      <c r="D4" s="37"/>
      <c r="E4" s="37"/>
      <c r="F4" s="37"/>
    </row>
    <row r="5" spans="1:16">
      <c r="A5" s="298" t="s">
        <v>264</v>
      </c>
      <c r="B5" s="298"/>
      <c r="C5" s="298"/>
      <c r="D5" s="298"/>
      <c r="E5" s="298"/>
      <c r="F5" s="298"/>
    </row>
    <row r="6" spans="1:16" ht="7.5" customHeight="1"/>
    <row r="7" spans="1:16" ht="15" customHeight="1">
      <c r="A7" s="299" t="s">
        <v>15</v>
      </c>
      <c r="B7" s="300" t="s">
        <v>265</v>
      </c>
      <c r="C7" s="300" t="s">
        <v>266</v>
      </c>
      <c r="D7" s="301" t="s">
        <v>267</v>
      </c>
      <c r="E7" s="301"/>
      <c r="F7" s="301"/>
    </row>
    <row r="8" spans="1:16" s="16" customFormat="1">
      <c r="A8" s="299"/>
      <c r="B8" s="300"/>
      <c r="C8" s="300"/>
      <c r="D8" s="17" t="s">
        <v>268</v>
      </c>
      <c r="E8" s="17" t="s">
        <v>269</v>
      </c>
      <c r="F8" s="17" t="s">
        <v>270</v>
      </c>
    </row>
    <row r="9" spans="1:16">
      <c r="A9" s="18">
        <v>1</v>
      </c>
      <c r="B9" s="33">
        <f>'График аннуитет.'!B8</f>
        <v>45762</v>
      </c>
      <c r="C9" s="34">
        <f>IF(malumot!$B$77=malumot!$C$77,'График дифференц'!C8,IF(malumot!$B$77=malumot!$D$77,'График аннуитет.'!C8))</f>
        <v>35000000</v>
      </c>
      <c r="D9" s="34">
        <f>IF(malumot!$B$77=malumot!$C$77,'График дифференц'!D8,IF(malumot!$B$77=malumot!$D$77,'График аннуитет.'!D8))</f>
        <v>1458333.33</v>
      </c>
      <c r="E9" s="34">
        <f>IF(malumot!$B$77=malumot!$C$77,'График дифференц'!E8,IF(malumot!$B$77=malumot!$D$77,'График аннуитет.'!E8))</f>
        <v>1265753.5</v>
      </c>
      <c r="F9" s="34">
        <f>IF(malumot!$B$77=malumot!$C$77,'График дифференц'!F8,IF(malumot!$B$77=malumot!$D$77,'График аннуитет.'!F8))</f>
        <v>2724086.83</v>
      </c>
    </row>
    <row r="10" spans="1:16">
      <c r="A10" s="18">
        <v>2</v>
      </c>
      <c r="B10" s="33">
        <f>'График аннуитет.'!B9</f>
        <v>45792</v>
      </c>
      <c r="C10" s="34">
        <f>IF(malumot!$B$77=malumot!$C$77,'График дифференц'!C9,IF(malumot!$B$77=malumot!$D$77,'График аннуитет.'!C9))</f>
        <v>33541666.670000002</v>
      </c>
      <c r="D10" s="34">
        <f>IF(malumot!$B$77=malumot!$C$77,'График дифференц'!D9,IF(malumot!$B$77=malumot!$D$77,'График аннуитет.'!D9))</f>
        <v>1458333.33</v>
      </c>
      <c r="E10" s="34">
        <f>IF(malumot!$B$77=malumot!$C$77,'График дифференц'!E9,IF(malumot!$B$77=malumot!$D$77,'График аннуитет.'!E9))</f>
        <v>1654109.7</v>
      </c>
      <c r="F10" s="34">
        <f>IF(malumot!$B$77=malumot!$C$77,'График дифференц'!F9,IF(malumot!$B$77=malumot!$D$77,'График аннуитет.'!F9))</f>
        <v>3112443.0300000003</v>
      </c>
    </row>
    <row r="11" spans="1:16">
      <c r="A11" s="18">
        <v>3</v>
      </c>
      <c r="B11" s="33">
        <f>'График аннуитет.'!B10</f>
        <v>45824</v>
      </c>
      <c r="C11" s="34">
        <f>IF(malumot!$B$77=malumot!$C$77,'График дифференц'!C10,IF(malumot!$B$77=malumot!$D$77,'График аннуитет.'!C10))</f>
        <v>32083333.340000004</v>
      </c>
      <c r="D11" s="34">
        <f>IF(malumot!$B$77=malumot!$C$77,'График дифференц'!D10,IF(malumot!$B$77=malumot!$D$77,'График аннуитет.'!D10))</f>
        <v>1458333.33</v>
      </c>
      <c r="E11" s="34">
        <f>IF(malumot!$B$77=malumot!$C$77,'График дифференц'!E10,IF(malumot!$B$77=malumot!$D$77,'График аннуитет.'!E10))</f>
        <v>1687671.36</v>
      </c>
      <c r="F11" s="34">
        <f>IF(malumot!$B$77=malumot!$C$77,'График дифференц'!F10,IF(malumot!$B$77=malumot!$D$77,'График аннуитет.'!F10))</f>
        <v>3146004.6900000004</v>
      </c>
    </row>
    <row r="12" spans="1:16">
      <c r="A12" s="18">
        <v>4</v>
      </c>
      <c r="B12" s="33">
        <f>'График аннуитет.'!B11</f>
        <v>45853</v>
      </c>
      <c r="C12" s="34">
        <f>IF(malumot!$B$77=malumot!$C$77,'График дифференц'!C11,IF(malumot!$B$77=malumot!$D$77,'График аннуитет.'!C11))</f>
        <v>30625000.010000005</v>
      </c>
      <c r="D12" s="34">
        <f>IF(malumot!$B$77=malumot!$C$77,'График дифференц'!D11,IF(malumot!$B$77=malumot!$D$77,'График аннуитет.'!D11))</f>
        <v>1458333.33</v>
      </c>
      <c r="E12" s="34">
        <f>IF(malumot!$B$77=malumot!$C$77,'График дифференц'!E11,IF(malumot!$B$77=malumot!$D$77,'График аннуитет.'!E11))</f>
        <v>1459931.6300000001</v>
      </c>
      <c r="F12" s="34">
        <f>IF(malumot!$B$77=malumot!$C$77,'График дифференц'!F11,IF(malumot!$B$77=malumot!$D$77,'График аннуитет.'!F11))</f>
        <v>2918264.96</v>
      </c>
      <c r="H12" s="311" t="s">
        <v>375</v>
      </c>
      <c r="I12" s="311"/>
      <c r="J12" s="311"/>
      <c r="K12" s="311"/>
      <c r="L12" s="311"/>
      <c r="M12" s="311"/>
      <c r="N12" s="311"/>
      <c r="O12" s="311"/>
      <c r="P12" s="311"/>
    </row>
    <row r="13" spans="1:16">
      <c r="A13" s="18">
        <v>5</v>
      </c>
      <c r="B13" s="33">
        <f>'График аннуитет.'!B12</f>
        <v>45884</v>
      </c>
      <c r="C13" s="34">
        <f>IF(malumot!$B$77=malumot!$C$77,'График дифференц'!C12,IF(malumot!$B$77=malumot!$D$77,'График аннуитет.'!C12))</f>
        <v>29166666.680000007</v>
      </c>
      <c r="D13" s="34">
        <f>IF(malumot!$B$77=malumot!$C$77,'График дифференц'!D12,IF(malumot!$B$77=malumot!$D$77,'График аннуитет.'!D12))</f>
        <v>1458333.33</v>
      </c>
      <c r="E13" s="34">
        <f>IF(malumot!$B$77=malumot!$C$77,'График дифференц'!E12,IF(malumot!$B$77=malumot!$D$77,'График аннуитет.'!E12))</f>
        <v>1486301.51</v>
      </c>
      <c r="F13" s="34">
        <f>IF(malumot!$B$77=malumot!$C$77,'График дифференц'!F12,IF(malumot!$B$77=malumot!$D$77,'График аннуитет.'!F12))</f>
        <v>2944634.84</v>
      </c>
      <c r="H13" s="311"/>
      <c r="I13" s="311"/>
      <c r="J13" s="311"/>
      <c r="K13" s="311"/>
      <c r="L13" s="311"/>
      <c r="M13" s="311"/>
      <c r="N13" s="311"/>
      <c r="O13" s="311"/>
      <c r="P13" s="311"/>
    </row>
    <row r="14" spans="1:16">
      <c r="A14" s="18">
        <v>6</v>
      </c>
      <c r="B14" s="33">
        <f>'График аннуитет.'!B13</f>
        <v>45915</v>
      </c>
      <c r="C14" s="34">
        <f>IF(malumot!$B$77=malumot!$C$77,'График дифференц'!C13,IF(malumot!$B$77=malumot!$D$77,'График аннуитет.'!C13))</f>
        <v>27708333.350000009</v>
      </c>
      <c r="D14" s="34">
        <f>IF(malumot!$B$77=malumot!$C$77,'График дифференц'!D13,IF(malumot!$B$77=malumot!$D$77,'График аннуитет.'!D13))</f>
        <v>1458333.33</v>
      </c>
      <c r="E14" s="34">
        <f>IF(malumot!$B$77=malumot!$C$77,'График дифференц'!E13,IF(malumot!$B$77=malumot!$D$77,'График аннуитет.'!E13))</f>
        <v>1411986.45</v>
      </c>
      <c r="F14" s="34">
        <f>IF(malumot!$B$77=malumot!$C$77,'График дифференц'!F13,IF(malumot!$B$77=malumot!$D$77,'График аннуитет.'!F13))</f>
        <v>2870319.7800000003</v>
      </c>
      <c r="H14" s="311"/>
      <c r="I14" s="311"/>
      <c r="J14" s="311"/>
      <c r="K14" s="311"/>
      <c r="L14" s="311"/>
      <c r="M14" s="311"/>
      <c r="N14" s="311"/>
      <c r="O14" s="311"/>
      <c r="P14" s="311"/>
    </row>
    <row r="15" spans="1:16">
      <c r="A15" s="18">
        <v>7</v>
      </c>
      <c r="B15" s="33">
        <f>'График аннуитет.'!B14</f>
        <v>45945</v>
      </c>
      <c r="C15" s="34">
        <f>IF(malumot!$B$77=malumot!$C$77,'График дифференц'!C14,IF(malumot!$B$77=malumot!$D$77,'График аннуитет.'!C14))</f>
        <v>26250000.020000011</v>
      </c>
      <c r="D15" s="34">
        <f>IF(malumot!$B$77=malumot!$C$77,'График дифференц'!D14,IF(malumot!$B$77=malumot!$D$77,'График аннуитет.'!D14))</f>
        <v>1458333.33</v>
      </c>
      <c r="E15" s="34">
        <f>IF(malumot!$B$77=malumot!$C$77,'График дифференц'!E14,IF(malumot!$B$77=malumot!$D$77,'График аннуитет.'!E14))</f>
        <v>1294520.3999999999</v>
      </c>
      <c r="F15" s="34">
        <f>IF(malumot!$B$77=malumot!$C$77,'График дифференц'!F14,IF(malumot!$B$77=malumot!$D$77,'График аннуитет.'!F14))</f>
        <v>2752853.73</v>
      </c>
      <c r="H15" s="311"/>
      <c r="I15" s="311"/>
      <c r="J15" s="311"/>
      <c r="K15" s="311"/>
      <c r="L15" s="311"/>
      <c r="M15" s="311"/>
      <c r="N15" s="311"/>
      <c r="O15" s="311"/>
      <c r="P15" s="311"/>
    </row>
    <row r="16" spans="1:16">
      <c r="A16" s="18">
        <v>8</v>
      </c>
      <c r="B16" s="33">
        <f>'График аннуитет.'!B15</f>
        <v>45978</v>
      </c>
      <c r="C16" s="34">
        <f>IF(malumot!$B$77=malumot!$C$77,'График дифференц'!C15,IF(malumot!$B$77=malumot!$D$77,'График аннуитет.'!C15))</f>
        <v>24791666.690000013</v>
      </c>
      <c r="D16" s="34">
        <f>IF(malumot!$B$77=malumot!$C$77,'График дифференц'!D15,IF(malumot!$B$77=malumot!$D$77,'График аннуитет.'!D15))</f>
        <v>1458333.33</v>
      </c>
      <c r="E16" s="34">
        <f>IF(malumot!$B$77=malumot!$C$77,'График дифференц'!E15,IF(malumot!$B$77=malumot!$D$77,'График аннуитет.'!E15))</f>
        <v>1344862.8599999999</v>
      </c>
      <c r="F16" s="34">
        <f>IF(malumot!$B$77=malumot!$C$77,'График дифференц'!F15,IF(malumot!$B$77=malumot!$D$77,'График аннуитет.'!F15))</f>
        <v>2803196.19</v>
      </c>
      <c r="H16" s="311"/>
      <c r="I16" s="311"/>
      <c r="J16" s="311"/>
      <c r="K16" s="311"/>
      <c r="L16" s="311"/>
      <c r="M16" s="311"/>
      <c r="N16" s="311"/>
      <c r="O16" s="311"/>
      <c r="P16" s="311"/>
    </row>
    <row r="17" spans="1:16">
      <c r="A17" s="18">
        <v>9</v>
      </c>
      <c r="B17" s="33">
        <f>'График аннуитет.'!B16</f>
        <v>46006</v>
      </c>
      <c r="C17" s="34">
        <f>IF(malumot!$B$77=malumot!$C$77,'График дифференц'!C16,IF(malumot!$B$77=malumot!$D$77,'График аннуитет.'!C16))</f>
        <v>23333333.360000014</v>
      </c>
      <c r="D17" s="34">
        <f>IF(malumot!$B$77=malumot!$C$77,'График дифференц'!D16,IF(malumot!$B$77=malumot!$D$77,'График аннуитет.'!D16))</f>
        <v>1458333.33</v>
      </c>
      <c r="E17" s="34">
        <f>IF(malumot!$B$77=malumot!$C$77,'График дифференц'!E16,IF(malumot!$B$77=malumot!$D$77,'График аннуитет.'!E16))</f>
        <v>1073972.48</v>
      </c>
      <c r="F17" s="34">
        <f>IF(malumot!$B$77=malumot!$C$77,'График дифференц'!F16,IF(malumot!$B$77=malumot!$D$77,'График аннуитет.'!F16))</f>
        <v>2532305.81</v>
      </c>
      <c r="H17" s="311"/>
      <c r="I17" s="311"/>
      <c r="J17" s="311"/>
      <c r="K17" s="311"/>
      <c r="L17" s="311"/>
      <c r="M17" s="311"/>
      <c r="N17" s="311"/>
      <c r="O17" s="311"/>
      <c r="P17" s="311"/>
    </row>
    <row r="18" spans="1:16">
      <c r="A18" s="18">
        <v>10</v>
      </c>
      <c r="B18" s="33">
        <f>'График аннуитет.'!B17</f>
        <v>46037</v>
      </c>
      <c r="C18" s="34">
        <f>IF(malumot!$B$77=malumot!$C$77,'График дифференц'!C17,IF(malumot!$B$77=malumot!$D$77,'График аннуитет.'!C17))</f>
        <v>21875000.030000016</v>
      </c>
      <c r="D18" s="34">
        <f>IF(malumot!$B$77=malumot!$C$77,'График дифференц'!D17,IF(malumot!$B$77=malumot!$D$77,'График аннуитет.'!D17))</f>
        <v>1458333.33</v>
      </c>
      <c r="E18" s="34">
        <f>IF(malumot!$B$77=malumot!$C$77,'График дифференц'!E17,IF(malumot!$B$77=malumot!$D$77,'График аннуитет.'!E17))</f>
        <v>1114725.9000000001</v>
      </c>
      <c r="F18" s="34">
        <f>IF(malumot!$B$77=malumot!$C$77,'График дифференц'!F17,IF(malumot!$B$77=malumot!$D$77,'График аннуитет.'!F17))</f>
        <v>2573059.2300000004</v>
      </c>
      <c r="H18" s="311"/>
      <c r="I18" s="311"/>
      <c r="J18" s="311"/>
      <c r="K18" s="311"/>
      <c r="L18" s="311"/>
      <c r="M18" s="311"/>
      <c r="N18" s="311"/>
      <c r="O18" s="311"/>
      <c r="P18" s="311"/>
    </row>
    <row r="19" spans="1:16">
      <c r="A19" s="18">
        <v>11</v>
      </c>
      <c r="B19" s="33">
        <f>'График аннуитет.'!B18</f>
        <v>46069</v>
      </c>
      <c r="C19" s="34">
        <f>IF(malumot!$B$77=malumot!$C$77,'График дифференц'!C18,IF(malumot!$B$77=malumot!$D$77,'График аннуитет.'!C18))</f>
        <v>20416666.700000018</v>
      </c>
      <c r="D19" s="34">
        <f>IF(malumot!$B$77=malumot!$C$77,'График дифференц'!D18,IF(malumot!$B$77=malumot!$D$77,'График аннуитет.'!D18))</f>
        <v>1458333.33</v>
      </c>
      <c r="E19" s="34">
        <f>IF(malumot!$B$77=malumot!$C$77,'График дифференц'!E18,IF(malumot!$B$77=malumot!$D$77,'График аннуитет.'!E18))</f>
        <v>1073972.48</v>
      </c>
      <c r="F19" s="34">
        <f>IF(malumot!$B$77=malumot!$C$77,'График дифференц'!F18,IF(malumot!$B$77=malumot!$D$77,'График аннуитет.'!F18))</f>
        <v>2532305.81</v>
      </c>
      <c r="H19" s="311"/>
      <c r="I19" s="311"/>
      <c r="J19" s="311"/>
      <c r="K19" s="311"/>
      <c r="L19" s="311"/>
      <c r="M19" s="311"/>
      <c r="N19" s="311"/>
      <c r="O19" s="311"/>
      <c r="P19" s="311"/>
    </row>
    <row r="20" spans="1:16">
      <c r="A20" s="18">
        <v>12</v>
      </c>
      <c r="B20" s="33">
        <f>'График аннуитет.'!B19</f>
        <v>46097</v>
      </c>
      <c r="C20" s="34">
        <f>IF(malumot!$B$77=malumot!$C$77,'График дифференц'!C19,IF(malumot!$B$77=malumot!$D$77,'График аннуитет.'!C19))</f>
        <v>18958333.37000002</v>
      </c>
      <c r="D20" s="34">
        <f>IF(malumot!$B$77=malumot!$C$77,'График дифференц'!D19,IF(malumot!$B$77=malumot!$D$77,'График аннуитет.'!D19))</f>
        <v>1458333.33</v>
      </c>
      <c r="E20" s="34">
        <f>IF(malumot!$B$77=malumot!$C$77,'График дифференц'!E19,IF(malumot!$B$77=malumot!$D$77,'График аннуитет.'!E19))</f>
        <v>872602.64</v>
      </c>
      <c r="F20" s="34">
        <f>IF(malumot!$B$77=malumot!$C$77,'График дифференц'!F19,IF(malumot!$B$77=malumot!$D$77,'График аннуитет.'!F19))</f>
        <v>2330935.9700000002</v>
      </c>
      <c r="H20" s="311"/>
      <c r="I20" s="311"/>
      <c r="J20" s="311"/>
      <c r="K20" s="311"/>
      <c r="L20" s="311"/>
      <c r="M20" s="311"/>
      <c r="N20" s="311"/>
      <c r="O20" s="311"/>
      <c r="P20" s="311"/>
    </row>
    <row r="21" spans="1:16">
      <c r="A21" s="18">
        <v>13</v>
      </c>
      <c r="B21" s="33">
        <f>'График аннуитет.'!B20</f>
        <v>46127</v>
      </c>
      <c r="C21" s="34">
        <f>IF(malumot!$B$77=malumot!$C$77,'График дифференц'!C20,IF(malumot!$B$77=malumot!$D$77,'График аннуитет.'!C20))</f>
        <v>17500000.040000021</v>
      </c>
      <c r="D21" s="34">
        <f>IF(malumot!$B$77=malumot!$C$77,'График дифференц'!D20,IF(malumot!$B$77=malumot!$D$77,'График аннуитет.'!D20))</f>
        <v>1458333.33</v>
      </c>
      <c r="E21" s="34">
        <f>IF(malumot!$B$77=malumot!$C$77,'График дифференц'!E20,IF(malumot!$B$77=malumot!$D$77,'График аннуитет.'!E20))</f>
        <v>863013.6</v>
      </c>
      <c r="F21" s="34">
        <f>IF(malumot!$B$77=malumot!$C$77,'График дифференц'!F20,IF(malumot!$B$77=malumot!$D$77,'График аннуитет.'!F20))</f>
        <v>2321346.9300000002</v>
      </c>
      <c r="H21" s="311"/>
      <c r="I21" s="311"/>
      <c r="J21" s="311"/>
      <c r="K21" s="311"/>
      <c r="L21" s="311"/>
      <c r="M21" s="311"/>
      <c r="N21" s="311"/>
      <c r="O21" s="311"/>
      <c r="P21" s="311"/>
    </row>
    <row r="22" spans="1:16">
      <c r="A22" s="18">
        <v>14</v>
      </c>
      <c r="B22" s="33">
        <f>'График аннуитет.'!B21</f>
        <v>46157</v>
      </c>
      <c r="C22" s="34">
        <f>IF(malumot!$B$77=malumot!$C$77,'График дифференц'!C21,IF(malumot!$B$77=malumot!$D$77,'График аннуитет.'!C21))</f>
        <v>16041666.710000021</v>
      </c>
      <c r="D22" s="34">
        <f>IF(malumot!$B$77=malumot!$C$77,'График дифференц'!D21,IF(malumot!$B$77=malumot!$D$77,'График аннуитет.'!D21))</f>
        <v>1458333.33</v>
      </c>
      <c r="E22" s="34">
        <f>IF(malumot!$B$77=malumot!$C$77,'График дифференц'!E21,IF(malumot!$B$77=malumot!$D$77,'График аннуитет.'!E21))</f>
        <v>791095.8</v>
      </c>
      <c r="F22" s="34">
        <f>IF(malumot!$B$77=malumot!$C$77,'График дифференц'!F21,IF(malumot!$B$77=malumot!$D$77,'График аннуитет.'!F21))</f>
        <v>2249429.13</v>
      </c>
      <c r="H22" s="311"/>
      <c r="I22" s="311"/>
      <c r="J22" s="311"/>
      <c r="K22" s="311"/>
      <c r="L22" s="311"/>
      <c r="M22" s="311"/>
      <c r="N22" s="311"/>
      <c r="O22" s="311"/>
      <c r="P22" s="311"/>
    </row>
    <row r="23" spans="1:16">
      <c r="A23" s="18">
        <v>15</v>
      </c>
      <c r="B23" s="33">
        <f>'График аннуитет.'!B22</f>
        <v>46188</v>
      </c>
      <c r="C23" s="34">
        <f>IF(malumot!$B$77=malumot!$C$77,'График дифференц'!C22,IF(malumot!$B$77=malumot!$D$77,'График аннуитет.'!C22))</f>
        <v>14583333.380000021</v>
      </c>
      <c r="D23" s="34">
        <f>IF(malumot!$B$77=malumot!$C$77,'График дифференц'!D22,IF(malumot!$B$77=malumot!$D$77,'График аннуитет.'!D22))</f>
        <v>1458333.33</v>
      </c>
      <c r="E23" s="34">
        <f>IF(malumot!$B$77=malumot!$C$77,'График дифференц'!E22,IF(malumot!$B$77=malumot!$D$77,'График аннуитет.'!E22))</f>
        <v>743150.6</v>
      </c>
      <c r="F23" s="34">
        <f>IF(malumot!$B$77=malumot!$C$77,'График дифференц'!F22,IF(malumot!$B$77=malumot!$D$77,'График аннуитет.'!F22))</f>
        <v>2201483.9300000002</v>
      </c>
      <c r="H23" s="311"/>
      <c r="I23" s="311"/>
      <c r="J23" s="311"/>
      <c r="K23" s="311"/>
      <c r="L23" s="311"/>
      <c r="M23" s="311"/>
      <c r="N23" s="311"/>
      <c r="O23" s="311"/>
      <c r="P23" s="311"/>
    </row>
    <row r="24" spans="1:16">
      <c r="A24" s="18">
        <v>16</v>
      </c>
      <c r="B24" s="33">
        <f>'График аннуитет.'!B23</f>
        <v>46218</v>
      </c>
      <c r="C24" s="34">
        <f>IF(malumot!$B$77=malumot!$C$77,'График дифференц'!C23,IF(malumot!$B$77=malumot!$D$77,'График аннуитет.'!C23))</f>
        <v>13125000.050000021</v>
      </c>
      <c r="D24" s="34">
        <f>IF(malumot!$B$77=malumot!$C$77,'График дифференц'!D23,IF(malumot!$B$77=malumot!$D$77,'График аннуитет.'!D23))</f>
        <v>1458333.33</v>
      </c>
      <c r="E24" s="34">
        <f>IF(malumot!$B$77=malumot!$C$77,'График дифференц'!E23,IF(malumot!$B$77=malumot!$D$77,'График аннуитет.'!E23))</f>
        <v>647260.19999999995</v>
      </c>
      <c r="F24" s="34">
        <f>IF(malumot!$B$77=malumot!$C$77,'График дифференц'!F23,IF(malumot!$B$77=malumot!$D$77,'График аннуитет.'!F23))</f>
        <v>2105593.5300000003</v>
      </c>
      <c r="H24" s="311"/>
      <c r="I24" s="311"/>
      <c r="J24" s="311"/>
      <c r="K24" s="311"/>
      <c r="L24" s="311"/>
      <c r="M24" s="311"/>
      <c r="N24" s="311"/>
      <c r="O24" s="311"/>
      <c r="P24" s="311"/>
    </row>
    <row r="25" spans="1:16" ht="16.5" customHeight="1">
      <c r="A25" s="18">
        <v>17</v>
      </c>
      <c r="B25" s="33">
        <f>'График аннуитет.'!B24</f>
        <v>46251</v>
      </c>
      <c r="C25" s="34">
        <f>IF(malumot!$B$77=malumot!$C$77,'График дифференц'!C24,IF(malumot!$B$77=malumot!$D$77,'График аннуитет.'!C24))</f>
        <v>11666666.720000021</v>
      </c>
      <c r="D25" s="34">
        <f>IF(malumot!$B$77=malumot!$C$77,'График дифференц'!D24,IF(malumot!$B$77=malumot!$D$77,'График аннуитет.'!D24))</f>
        <v>1458333.33</v>
      </c>
      <c r="E25" s="34">
        <f>IF(malumot!$B$77=malumot!$C$77,'График дифференц'!E24,IF(malumot!$B$77=malumot!$D$77,'График аннуитет.'!E24))</f>
        <v>632876.64</v>
      </c>
      <c r="F25" s="34">
        <f>IF(malumot!$B$77=malumot!$C$77,'График дифференц'!F24,IF(malumot!$B$77=malumot!$D$77,'График аннуитет.'!F24))</f>
        <v>2091209.9700000002</v>
      </c>
    </row>
    <row r="26" spans="1:16">
      <c r="A26" s="18">
        <v>18</v>
      </c>
      <c r="B26" s="33">
        <f>'График аннуитет.'!B25</f>
        <v>46280</v>
      </c>
      <c r="C26" s="34">
        <f>IF(malumot!$B$77=malumot!$C$77,'График дифференц'!C25,IF(malumot!$B$77=malumot!$D$77,'График аннуитет.'!C25))</f>
        <v>10208333.390000021</v>
      </c>
      <c r="D26" s="34">
        <f>IF(malumot!$B$77=malumot!$C$77,'График дифференц'!D25,IF(malumot!$B$77=malumot!$D$77,'График аннуитет.'!D25))</f>
        <v>1458333.33</v>
      </c>
      <c r="E26" s="34">
        <f>IF(malumot!$B$77=malumot!$C$77,'График дифференц'!E25,IF(malumot!$B$77=malumot!$D$77,'График аннуитет.'!E25))</f>
        <v>486643.77999999997</v>
      </c>
      <c r="F26" s="34">
        <f>IF(malumot!$B$77=malumot!$C$77,'График дифференц'!F25,IF(malumot!$B$77=malumot!$D$77,'График аннуитет.'!F25))</f>
        <v>1944977.11</v>
      </c>
    </row>
    <row r="27" spans="1:16">
      <c r="A27" s="18">
        <f>1+A26</f>
        <v>19</v>
      </c>
      <c r="B27" s="33">
        <f>'График аннуитет.'!B26</f>
        <v>46310</v>
      </c>
      <c r="C27" s="34">
        <f>IF(malumot!$B$77=malumot!$C$77,'График дифференц'!C26,IF(malumot!$B$77=malumot!$D$77,'График аннуитет.'!C26))</f>
        <v>8750000.060000021</v>
      </c>
      <c r="D27" s="34">
        <f>IF(malumot!$B$77=malumot!$C$77,'График дифференц'!D26,IF(malumot!$B$77=malumot!$D$77,'График аннуитет.'!D26))</f>
        <v>1458333.33</v>
      </c>
      <c r="E27" s="34">
        <f>IF(malumot!$B$77=malumot!$C$77,'График дифференц'!E26,IF(malumot!$B$77=malumot!$D$77,'График аннуитет.'!E26))</f>
        <v>431506.8</v>
      </c>
      <c r="F27" s="34">
        <f>IF(malumot!$B$77=malumot!$C$77,'График дифференц'!F26,IF(malumot!$B$77=malumot!$D$77,'График аннуитет.'!F26))</f>
        <v>1889840.1300000001</v>
      </c>
    </row>
    <row r="28" spans="1:16">
      <c r="A28" s="18">
        <f t="shared" ref="A28:A43" si="0">1+A27</f>
        <v>20</v>
      </c>
      <c r="B28" s="33">
        <f>'График аннуитет.'!B27</f>
        <v>46342</v>
      </c>
      <c r="C28" s="34">
        <f>IF(malumot!$B$77=malumot!$C$77,'График дифференц'!C27,IF(malumot!$B$77=malumot!$D$77,'График аннуитет.'!C27))</f>
        <v>7291666.7300000209</v>
      </c>
      <c r="D28" s="34">
        <f>IF(malumot!$B$77=malumot!$C$77,'График дифференц'!D27,IF(malumot!$B$77=malumot!$D$77,'График аннуитет.'!D27))</f>
        <v>1458333.33</v>
      </c>
      <c r="E28" s="34">
        <f>IF(malumot!$B$77=malumot!$C$77,'График дифференц'!E27,IF(malumot!$B$77=malumot!$D$77,'График аннуитет.'!E27))</f>
        <v>383561.6</v>
      </c>
      <c r="F28" s="34">
        <f>IF(malumot!$B$77=malumot!$C$77,'График дифференц'!F27,IF(malumot!$B$77=malumot!$D$77,'График аннуитет.'!F27))</f>
        <v>1841894.9300000002</v>
      </c>
    </row>
    <row r="29" spans="1:16">
      <c r="A29" s="18">
        <f t="shared" si="0"/>
        <v>21</v>
      </c>
      <c r="B29" s="33">
        <f>'График аннуитет.'!B28</f>
        <v>46371</v>
      </c>
      <c r="C29" s="34">
        <f>IF(malumot!$B$77=malumot!$C$77,'График дифференц'!C28,IF(malumot!$B$77=malumot!$D$77,'График аннуитет.'!C28))</f>
        <v>5833333.4000000209</v>
      </c>
      <c r="D29" s="34">
        <f>IF(malumot!$B$77=malumot!$C$77,'График дифференц'!D28,IF(malumot!$B$77=malumot!$D$77,'График аннуитет.'!D28))</f>
        <v>1458333.33</v>
      </c>
      <c r="E29" s="34">
        <f>IF(malumot!$B$77=malumot!$C$77,'График дифференц'!E28,IF(malumot!$B$77=malumot!$D$77,'График аннуитет.'!E28))</f>
        <v>278082.16000000003</v>
      </c>
      <c r="F29" s="34">
        <f>IF(malumot!$B$77=malumot!$C$77,'График дифференц'!F28,IF(malumot!$B$77=malumot!$D$77,'График аннуитет.'!F28))</f>
        <v>1736415.4900000002</v>
      </c>
    </row>
    <row r="30" spans="1:16">
      <c r="A30" s="18">
        <f t="shared" si="0"/>
        <v>22</v>
      </c>
      <c r="B30" s="33">
        <f>'График аннуитет.'!B29</f>
        <v>46402</v>
      </c>
      <c r="C30" s="34">
        <f>IF(malumot!$B$77=malumot!$C$77,'График дифференц'!C29,IF(malumot!$B$77=malumot!$D$77,'График аннуитет.'!C29))</f>
        <v>4375000.0700000208</v>
      </c>
      <c r="D30" s="34">
        <f>IF(malumot!$B$77=malumot!$C$77,'График дифференц'!D29,IF(malumot!$B$77=malumot!$D$77,'График аннуитет.'!D29))</f>
        <v>1458333.33</v>
      </c>
      <c r="E30" s="34">
        <f>IF(malumot!$B$77=malumot!$C$77,'График дифференц'!E29,IF(malumot!$B$77=malumot!$D$77,'График аннуитет.'!E29))</f>
        <v>222945.18</v>
      </c>
      <c r="F30" s="34">
        <f>IF(malumot!$B$77=malumot!$C$77,'График дифференц'!F29,IF(malumot!$B$77=malumot!$D$77,'График аннуитет.'!F29))</f>
        <v>1681278.51</v>
      </c>
    </row>
    <row r="31" spans="1:16">
      <c r="A31" s="18">
        <f t="shared" si="0"/>
        <v>23</v>
      </c>
      <c r="B31" s="33">
        <f>'График аннуитет.'!B30</f>
        <v>46433</v>
      </c>
      <c r="C31" s="34">
        <f>IF(malumot!$B$77=malumot!$C$77,'График дифференц'!C30,IF(malumot!$B$77=malumot!$D$77,'График аннуитет.'!C30))</f>
        <v>2916666.7400000207</v>
      </c>
      <c r="D31" s="34">
        <f>IF(malumot!$B$77=malumot!$C$77,'График дифференц'!D30,IF(malumot!$B$77=malumot!$D$77,'График аннуитет.'!D30))</f>
        <v>1458333.33</v>
      </c>
      <c r="E31" s="34">
        <f>IF(malumot!$B$77=malumot!$C$77,'График дифференц'!E30,IF(malumot!$B$77=malumot!$D$77,'График аннуитет.'!E30))</f>
        <v>148630.12000000002</v>
      </c>
      <c r="F31" s="34">
        <f>IF(malumot!$B$77=malumot!$C$77,'График дифференц'!F30,IF(malumot!$B$77=malumot!$D$77,'График аннуитет.'!F30))</f>
        <v>1606963.4500000002</v>
      </c>
    </row>
    <row r="32" spans="1:16">
      <c r="A32" s="18">
        <f t="shared" si="0"/>
        <v>24</v>
      </c>
      <c r="B32" s="33">
        <f>'График аннуитет.'!B31</f>
        <v>46470</v>
      </c>
      <c r="C32" s="34">
        <f>IF(malumot!$B$77=malumot!$C$77,'График дифференц'!C31,IF(malumot!$B$77=malumot!$D$77,'График аннуитет.'!C31))</f>
        <v>1458333.4100000206</v>
      </c>
      <c r="D32" s="34">
        <f>IF(malumot!$B$77=malumot!$C$77,'График дифференц'!D31,IF(malumot!$B$77=malumot!$D$77,'График аннуитет.'!D31))</f>
        <v>1458333.4100000188</v>
      </c>
      <c r="E32" s="34">
        <f>IF(malumot!$B$77=malumot!$C$77,'График дифференц'!E31,IF(malumot!$B$77=malumot!$D$77,'График аннуитет.'!E31))</f>
        <v>88698.62000000001</v>
      </c>
      <c r="F32" s="34">
        <f>IF(malumot!$B$77=malumot!$C$77,'График дифференц'!F31,IF(malumot!$B$77=malumot!$D$77,'График аннуитет.'!F31))</f>
        <v>1547032.0300000189</v>
      </c>
    </row>
    <row r="33" spans="1:6" hidden="1">
      <c r="A33" s="18">
        <f t="shared" si="0"/>
        <v>25</v>
      </c>
      <c r="B33" s="33" t="str">
        <f>IF('График аннуитет.'!B32=FALSE,"",'График аннуитет.'!B32)</f>
        <v/>
      </c>
      <c r="C33" s="34">
        <f>IF(malumot!$B$77=malumot!$C$77,'График дифференц'!C32,IF(malumot!$B$77=malumot!$D$77,'График аннуитет.'!C32))</f>
        <v>1.862645149230957E-9</v>
      </c>
      <c r="D33" s="34" t="b">
        <f>IF(malumot!$B$77=malumot!$C$77,'График дифференц'!D32,IF(malumot!$B$77=malumot!$D$77,'График аннуитет.'!D32))</f>
        <v>0</v>
      </c>
      <c r="E33" s="34" t="b">
        <f>IF(malumot!$B$77=malumot!$C$77,'График дифференц'!E32,IF(malumot!$B$77=malumot!$D$77,'График аннуитет.'!E32))</f>
        <v>0</v>
      </c>
      <c r="F33" s="34" t="b">
        <f>IF(malumot!$B$77=malumot!$C$77,'График дифференц'!F32,IF(malumot!$B$77=malumot!$D$77,'График аннуитет.'!F32))</f>
        <v>0</v>
      </c>
    </row>
    <row r="34" spans="1:6" hidden="1">
      <c r="A34" s="18">
        <f t="shared" si="0"/>
        <v>26</v>
      </c>
      <c r="B34" s="33" t="str">
        <f>IF('График аннуитет.'!B33=FALSE,"",'График аннуитет.'!B33)</f>
        <v/>
      </c>
      <c r="C34" s="34">
        <f>IF(malumot!$B$77=malumot!$C$77,'График дифференц'!C33,IF(malumot!$B$77=malumot!$D$77,'График аннуитет.'!C33))</f>
        <v>1.862645149230957E-9</v>
      </c>
      <c r="D34" s="34" t="b">
        <f>IF(malumot!$B$77=malumot!$C$77,'График дифференц'!D33,IF(malumot!$B$77=malumot!$D$77,'График аннуитет.'!D33))</f>
        <v>0</v>
      </c>
      <c r="E34" s="34" t="b">
        <f>IF(malumot!$B$77=malumot!$C$77,'График дифференц'!E33,IF(malumot!$B$77=malumot!$D$77,'График аннуитет.'!E33))</f>
        <v>0</v>
      </c>
      <c r="F34" s="34" t="b">
        <f>IF(malumot!$B$77=malumot!$C$77,'График дифференц'!F33,IF(malumot!$B$77=malumot!$D$77,'График аннуитет.'!F33))</f>
        <v>0</v>
      </c>
    </row>
    <row r="35" spans="1:6" hidden="1">
      <c r="A35" s="18">
        <f t="shared" si="0"/>
        <v>27</v>
      </c>
      <c r="B35" s="33" t="str">
        <f>IF('График аннуитет.'!B34=FALSE,"",'График аннуитет.'!B34)</f>
        <v/>
      </c>
      <c r="C35" s="34">
        <f>IF(malumot!$B$77=malumot!$C$77,'График дифференц'!C34,IF(malumot!$B$77=malumot!$D$77,'График аннуитет.'!C34))</f>
        <v>1.862645149230957E-9</v>
      </c>
      <c r="D35" s="34" t="b">
        <f>IF(malumot!$B$77=malumot!$C$77,'График дифференц'!D34,IF(malumot!$B$77=malumot!$D$77,'График аннуитет.'!D34))</f>
        <v>0</v>
      </c>
      <c r="E35" s="34" t="b">
        <f>IF(malumot!$B$77=malumot!$C$77,'График дифференц'!E34,IF(malumot!$B$77=malumot!$D$77,'График аннуитет.'!E34))</f>
        <v>0</v>
      </c>
      <c r="F35" s="34" t="b">
        <f>IF(malumot!$B$77=malumot!$C$77,'График дифференц'!F34,IF(malumot!$B$77=malumot!$D$77,'График аннуитет.'!F34))</f>
        <v>0</v>
      </c>
    </row>
    <row r="36" spans="1:6" hidden="1">
      <c r="A36" s="18">
        <f t="shared" si="0"/>
        <v>28</v>
      </c>
      <c r="B36" s="33" t="str">
        <f>IF('График аннуитет.'!B35=FALSE,"",'График аннуитет.'!B35)</f>
        <v/>
      </c>
      <c r="C36" s="34">
        <f>IF(malumot!$B$77=malumot!$C$77,'График дифференц'!C35,IF(malumot!$B$77=malumot!$D$77,'График аннуитет.'!C35))</f>
        <v>1.862645149230957E-9</v>
      </c>
      <c r="D36" s="34" t="b">
        <f>IF(malumot!$B$77=malumot!$C$77,'График дифференц'!D35,IF(malumot!$B$77=malumot!$D$77,'График аннуитет.'!D35))</f>
        <v>0</v>
      </c>
      <c r="E36" s="34" t="b">
        <f>IF(malumot!$B$77=malumot!$C$77,'График дифференц'!E35,IF(malumot!$B$77=malumot!$D$77,'График аннуитет.'!E35))</f>
        <v>0</v>
      </c>
      <c r="F36" s="34" t="b">
        <f>IF(malumot!$B$77=malumot!$C$77,'График дифференц'!F35,IF(malumot!$B$77=malumot!$D$77,'График аннуитет.'!F35))</f>
        <v>0</v>
      </c>
    </row>
    <row r="37" spans="1:6" hidden="1">
      <c r="A37" s="18">
        <f t="shared" si="0"/>
        <v>29</v>
      </c>
      <c r="B37" s="33" t="str">
        <f>IF('График аннуитет.'!B36=FALSE,"",'График аннуитет.'!B36)</f>
        <v/>
      </c>
      <c r="C37" s="34">
        <f>IF(malumot!$B$77=malumot!$C$77,'График дифференц'!C36,IF(malumot!$B$77=malumot!$D$77,'График аннуитет.'!C36))</f>
        <v>1.862645149230957E-9</v>
      </c>
      <c r="D37" s="34" t="b">
        <f>IF(malumot!$B$77=malumot!$C$77,'График дифференц'!D36,IF(malumot!$B$77=malumot!$D$77,'График аннуитет.'!D36))</f>
        <v>0</v>
      </c>
      <c r="E37" s="34" t="b">
        <f>IF(malumot!$B$77=malumot!$C$77,'График дифференц'!E36,IF(malumot!$B$77=malumot!$D$77,'График аннуитет.'!E36))</f>
        <v>0</v>
      </c>
      <c r="F37" s="34" t="b">
        <f>IF(malumot!$B$77=malumot!$C$77,'График дифференц'!F36,IF(malumot!$B$77=malumot!$D$77,'График аннуитет.'!F36))</f>
        <v>0</v>
      </c>
    </row>
    <row r="38" spans="1:6" hidden="1">
      <c r="A38" s="18">
        <f t="shared" si="0"/>
        <v>30</v>
      </c>
      <c r="B38" s="33" t="str">
        <f>IF('График аннуитет.'!B37=FALSE,"",'График аннуитет.'!B37)</f>
        <v/>
      </c>
      <c r="C38" s="34">
        <f>IF(malumot!$B$77=malumot!$C$77,'График дифференц'!C37,IF(malumot!$B$77=malumot!$D$77,'График аннуитет.'!C37))</f>
        <v>1.862645149230957E-9</v>
      </c>
      <c r="D38" s="34" t="b">
        <f>IF(malumot!$B$77=malumot!$C$77,'График дифференц'!D37,IF(malumot!$B$77=malumot!$D$77,'График аннуитет.'!D37))</f>
        <v>0</v>
      </c>
      <c r="E38" s="34" t="b">
        <f>IF(malumot!$B$77=malumot!$C$77,'График дифференц'!E37,IF(malumot!$B$77=malumot!$D$77,'График аннуитет.'!E37))</f>
        <v>0</v>
      </c>
      <c r="F38" s="34" t="b">
        <f>IF(malumot!$B$77=malumot!$C$77,'График дифференц'!F37,IF(malumot!$B$77=malumot!$D$77,'График аннуитет.'!F37))</f>
        <v>0</v>
      </c>
    </row>
    <row r="39" spans="1:6" hidden="1">
      <c r="A39" s="18">
        <f t="shared" si="0"/>
        <v>31</v>
      </c>
      <c r="B39" s="33" t="str">
        <f>IF('График аннуитет.'!B38=FALSE,"",'График аннуитет.'!B38)</f>
        <v/>
      </c>
      <c r="C39" s="34">
        <f>IF(malumot!$B$77=malumot!$C$77,'График дифференц'!C38,IF(malumot!$B$77=malumot!$D$77,'График аннуитет.'!C38))</f>
        <v>1.862645149230957E-9</v>
      </c>
      <c r="D39" s="34" t="b">
        <f>IF(malumot!$B$77=malumot!$C$77,'График дифференц'!D38,IF(malumot!$B$77=malumot!$D$77,'График аннуитет.'!D38))</f>
        <v>0</v>
      </c>
      <c r="E39" s="34" t="b">
        <f>IF(malumot!$B$77=malumot!$C$77,'График дифференц'!E38,IF(malumot!$B$77=malumot!$D$77,'График аннуитет.'!E38))</f>
        <v>0</v>
      </c>
      <c r="F39" s="34" t="b">
        <f>IF(malumot!$B$77=malumot!$C$77,'График дифференц'!F38,IF(malumot!$B$77=malumot!$D$77,'График аннуитет.'!F38))</f>
        <v>0</v>
      </c>
    </row>
    <row r="40" spans="1:6" hidden="1">
      <c r="A40" s="18">
        <f t="shared" si="0"/>
        <v>32</v>
      </c>
      <c r="B40" s="33" t="str">
        <f>IF('График аннуитет.'!B39=FALSE,"",'График аннуитет.'!B39)</f>
        <v/>
      </c>
      <c r="C40" s="34">
        <f>IF(malumot!$B$77=malumot!$C$77,'График дифференц'!C39,IF(malumot!$B$77=malumot!$D$77,'График аннуитет.'!C39))</f>
        <v>1.862645149230957E-9</v>
      </c>
      <c r="D40" s="34" t="b">
        <f>IF(malumot!$B$77=malumot!$C$77,'График дифференц'!D39,IF(malumot!$B$77=malumot!$D$77,'График аннуитет.'!D39))</f>
        <v>0</v>
      </c>
      <c r="E40" s="34" t="b">
        <f>IF(malumot!$B$77=malumot!$C$77,'График дифференц'!E39,IF(malumot!$B$77=malumot!$D$77,'График аннуитет.'!E39))</f>
        <v>0</v>
      </c>
      <c r="F40" s="34" t="b">
        <f>IF(malumot!$B$77=malumot!$C$77,'График дифференц'!F39,IF(malumot!$B$77=malumot!$D$77,'График аннуитет.'!F39))</f>
        <v>0</v>
      </c>
    </row>
    <row r="41" spans="1:6" hidden="1">
      <c r="A41" s="18">
        <f t="shared" si="0"/>
        <v>33</v>
      </c>
      <c r="B41" s="33" t="str">
        <f>IF('График аннуитет.'!B40=FALSE,"",'График аннуитет.'!B40)</f>
        <v/>
      </c>
      <c r="C41" s="34">
        <f>IF(malumot!$B$77=malumot!$C$77,'График дифференц'!C40,IF(malumot!$B$77=malumot!$D$77,'График аннуитет.'!C40))</f>
        <v>1.862645149230957E-9</v>
      </c>
      <c r="D41" s="34" t="b">
        <f>IF(malumot!$B$77=malumot!$C$77,'График дифференц'!D40,IF(malumot!$B$77=malumot!$D$77,'График аннуитет.'!D40))</f>
        <v>0</v>
      </c>
      <c r="E41" s="34" t="b">
        <f>IF(malumot!$B$77=malumot!$C$77,'График дифференц'!E40,IF(malumot!$B$77=malumot!$D$77,'График аннуитет.'!E40))</f>
        <v>0</v>
      </c>
      <c r="F41" s="34" t="b">
        <f>IF(malumot!$B$77=malumot!$C$77,'График дифференц'!F40,IF(malumot!$B$77=malumot!$D$77,'График аннуитет.'!F40))</f>
        <v>0</v>
      </c>
    </row>
    <row r="42" spans="1:6" hidden="1">
      <c r="A42" s="18">
        <f t="shared" si="0"/>
        <v>34</v>
      </c>
      <c r="B42" s="33" t="str">
        <f>IF('График аннуитет.'!B41=FALSE,"",'График аннуитет.'!B41)</f>
        <v/>
      </c>
      <c r="C42" s="34">
        <f>IF(malumot!$B$77=malumot!$C$77,'График дифференц'!C41,IF(malumot!$B$77=malumot!$D$77,'График аннуитет.'!C41))</f>
        <v>1.862645149230957E-9</v>
      </c>
      <c r="D42" s="34" t="b">
        <f>IF(malumot!$B$77=malumot!$C$77,'График дифференц'!D41,IF(malumot!$B$77=malumot!$D$77,'График аннуитет.'!D41))</f>
        <v>0</v>
      </c>
      <c r="E42" s="34" t="b">
        <f>IF(malumot!$B$77=malumot!$C$77,'График дифференц'!E41,IF(malumot!$B$77=malumot!$D$77,'График аннуитет.'!E41))</f>
        <v>0</v>
      </c>
      <c r="F42" s="34" t="b">
        <f>IF(malumot!$B$77=malumot!$C$77,'График дифференц'!F41,IF(malumot!$B$77=malumot!$D$77,'График аннуитет.'!F41))</f>
        <v>0</v>
      </c>
    </row>
    <row r="43" spans="1:6" ht="13.5" hidden="1" customHeight="1">
      <c r="A43" s="18">
        <f t="shared" si="0"/>
        <v>35</v>
      </c>
      <c r="B43" s="33" t="str">
        <f>IF('График аннуитет.'!B42=FALSE,"",'График аннуитет.'!B42)</f>
        <v/>
      </c>
      <c r="C43" s="34">
        <f>IF(malumot!$B$77=malumot!$C$77,'График дифференц'!C42,IF(malumot!$B$77=malumot!$D$77,'График аннуитет.'!C42))</f>
        <v>1.862645149230957E-9</v>
      </c>
      <c r="D43" s="34" t="b">
        <f>IF(malumot!$B$77=malumot!$C$77,'График дифференц'!D42,IF(malumot!$B$77=malumot!$D$77,'График аннуитет.'!D42))</f>
        <v>0</v>
      </c>
      <c r="E43" s="34" t="b">
        <f>IF(malumot!$B$77=malumot!$C$77,'График дифференц'!E42,IF(malumot!$B$77=malumot!$D$77,'График аннуитет.'!E42))</f>
        <v>0</v>
      </c>
      <c r="F43" s="34" t="b">
        <f>IF(malumot!$B$77=malumot!$C$77,'График дифференц'!F42,IF(malumot!$B$77=malumot!$D$77,'График аннуитет.'!F42))</f>
        <v>0</v>
      </c>
    </row>
    <row r="44" spans="1:6" ht="15.75" hidden="1" customHeight="1">
      <c r="A44" s="18">
        <f>1+A43</f>
        <v>36</v>
      </c>
      <c r="B44" s="33" t="str">
        <f>IF('График аннуитет.'!B43=FALSE,"",'График аннуитет.'!B43)</f>
        <v/>
      </c>
      <c r="C44" s="34">
        <f>IF(malumot!$B$77=malumot!$C$77,'График дифференц'!C43,IF(malumot!$B$77=malumot!$D$77,'График аннуитет.'!C43))</f>
        <v>1.862645149230957E-9</v>
      </c>
      <c r="D44" s="34" t="b">
        <f>IF(malumot!$B$77=malumot!$C$77,'График дифференц'!D43,IF(malumot!$B$77=malumot!$D$77,'График аннуитет.'!D43))</f>
        <v>0</v>
      </c>
      <c r="E44" s="34" t="b">
        <f>IF(malumot!$B$77=malumot!$C$77,'График дифференц'!E43,IF(malumot!$B$77=malumot!$D$77,'График аннуитет.'!E43))</f>
        <v>0</v>
      </c>
      <c r="F44" s="34" t="b">
        <f>IF(malumot!$B$77=malumot!$C$77,'График дифференц'!F43,IF(malumot!$B$77=malumot!$D$77,'График аннуитет.'!F43))</f>
        <v>0</v>
      </c>
    </row>
    <row r="45" spans="1:6" ht="15" customHeight="1">
      <c r="A45" s="46"/>
      <c r="B45" s="47" t="s">
        <v>209</v>
      </c>
      <c r="C45" s="48"/>
      <c r="D45" s="48">
        <f>SUM(D9:D44)</f>
        <v>35000000</v>
      </c>
      <c r="E45" s="48">
        <f t="shared" ref="E45:F45" si="1">SUM(E9:E44)</f>
        <v>21457876.010000009</v>
      </c>
      <c r="F45" s="48">
        <f t="shared" si="1"/>
        <v>56457876.010000028</v>
      </c>
    </row>
    <row r="46" spans="1:6" ht="14.25" customHeight="1">
      <c r="B46" s="35"/>
      <c r="C46" s="36"/>
      <c r="D46" s="36"/>
      <c r="E46" s="36"/>
      <c r="F46" s="36"/>
    </row>
    <row r="47" spans="1:6" ht="47.25" customHeight="1">
      <c r="A47" s="267"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67"/>
      <c r="C47" s="267"/>
      <c r="D47" s="267"/>
      <c r="E47" s="267"/>
      <c r="F47" s="267"/>
    </row>
    <row r="48" spans="1:6" ht="7.5" customHeight="1"/>
    <row r="49" spans="1:6" ht="15" customHeight="1">
      <c r="A49" s="295" t="s">
        <v>271</v>
      </c>
      <c r="B49" s="295"/>
      <c r="C49" s="295"/>
      <c r="D49" s="295" t="s">
        <v>278</v>
      </c>
      <c r="E49" s="295"/>
      <c r="F49" s="295"/>
    </row>
    <row r="50" spans="1:6" ht="11.25" customHeight="1">
      <c r="A50" s="296"/>
      <c r="B50" s="296"/>
      <c r="C50" s="296"/>
      <c r="D50" s="296"/>
      <c r="E50" s="296"/>
      <c r="F50" s="296"/>
    </row>
    <row r="51" spans="1:6" ht="30" customHeight="1">
      <c r="A51" s="269" t="str">
        <f>shartnoma!A117</f>
        <v>«CLEVER MIKROMOLIYA TASHKILOTI» MChJ</v>
      </c>
      <c r="B51" s="269"/>
      <c r="C51" s="269"/>
      <c r="D51" s="269" t="str">
        <f>shartnoma!B117</f>
        <v>XUDAYQULOV FAZLIDDIN SAIDOVICH</v>
      </c>
      <c r="E51" s="269"/>
      <c r="F51" s="269"/>
    </row>
    <row r="52" spans="1:6" ht="39" customHeight="1">
      <c r="A52" s="291" t="str">
        <f>shartnoma!A119</f>
        <v>Manzil: Toshkent shahri, Olmazor tumani, Sagbon ko'chasi, 30 boshi berk, 6-uy</v>
      </c>
      <c r="B52" s="291"/>
      <c r="C52" s="291"/>
      <c r="D52" s="291" t="str">
        <f>shartnoma!B119</f>
        <v>Manzil: SAMARQAND VILOYATI KATTAQO'RG'ON TUMANI BURGANSOY MAHALLASI</v>
      </c>
      <c r="E52" s="291"/>
      <c r="F52" s="291"/>
    </row>
    <row r="53" spans="1:6" ht="15" customHeight="1">
      <c r="A53" s="291" t="str">
        <f>shartnoma!A120</f>
        <v>h/r: №20216000705068380001</v>
      </c>
      <c r="B53" s="291"/>
      <c r="C53" s="291"/>
      <c r="D53" s="291" t="str">
        <f>shartnoma!B121</f>
        <v>Pasport: AD0901293, IIV 18215 tomonidan 10.12.2021 yilda berilgan</v>
      </c>
      <c r="E53" s="291"/>
      <c r="F53" s="291"/>
    </row>
    <row r="54" spans="1:6" ht="32.25" customHeight="1">
      <c r="A54" s="291" t="str">
        <f>shartnoma!A121</f>
        <v>MFO: №01042 в ATB “Kapitalbank” Sergeli filiali</v>
      </c>
      <c r="B54" s="291"/>
      <c r="C54" s="291"/>
      <c r="D54" s="291"/>
      <c r="E54" s="291"/>
      <c r="F54" s="291"/>
    </row>
    <row r="55" spans="1:6" ht="15" customHeight="1">
      <c r="A55" s="291" t="str">
        <f>shartnoma!A122</f>
        <v>STIR: 306365847</v>
      </c>
      <c r="B55" s="291"/>
      <c r="C55" s="291"/>
      <c r="D55" s="291" t="str">
        <f>shartnoma!B122</f>
        <v>Tel: 88 985 17 74  UZI</v>
      </c>
      <c r="E55" s="291"/>
      <c r="F55" s="291"/>
    </row>
    <row r="56" spans="1:6" ht="15" customHeight="1">
      <c r="A56" s="291" t="str">
        <f>shartnoma!A123</f>
        <v>Tel: (78) 113 31 33</v>
      </c>
      <c r="B56" s="291"/>
      <c r="C56" s="291"/>
      <c r="D56" s="291" t="str">
        <f>shartnoma!B123</f>
        <v>33 316 17 74  TURMUSH O'RTOG'I</v>
      </c>
      <c r="E56" s="291"/>
      <c r="F56" s="291"/>
    </row>
    <row r="57" spans="1:6" ht="15" customHeight="1">
      <c r="A57" s="291" t="str">
        <f>shartnoma!A124</f>
        <v>(78) 113 31 34</v>
      </c>
      <c r="B57" s="291"/>
      <c r="C57" s="291"/>
      <c r="D57" s="291" t="str">
        <f>shartnoma!B124</f>
        <v>99 771 77 40  UKASI</v>
      </c>
      <c r="E57" s="291"/>
      <c r="F57" s="291"/>
    </row>
    <row r="58" spans="1:6" ht="23.25" customHeight="1">
      <c r="A58" s="291"/>
      <c r="B58" s="291"/>
      <c r="C58" s="291"/>
      <c r="D58" s="291" t="str">
        <f>IF(shartnoma!B125=0,"",shartnoma!B125)</f>
        <v/>
      </c>
      <c r="E58" s="291"/>
      <c r="F58" s="291"/>
    </row>
    <row r="59" spans="1:6" ht="29.25" customHeight="1">
      <c r="A59" s="168"/>
      <c r="B59" s="310" t="str">
        <f>malumot!A156</f>
        <v>Xatirchi  filial boshlig'i</v>
      </c>
      <c r="C59" s="310"/>
      <c r="D59" s="269" t="str">
        <f>shartnoma!B127</f>
        <v>XUDAYQULOV .F.S     __________________</v>
      </c>
      <c r="E59" s="269"/>
      <c r="F59" s="269"/>
    </row>
    <row r="60" spans="1:6" ht="15" customHeight="1">
      <c r="A60" s="168"/>
      <c r="B60" s="310" t="str">
        <f>malumot!B156</f>
        <v>SH. Xayriyev</v>
      </c>
      <c r="C60" s="310"/>
      <c r="D60" s="269"/>
      <c r="E60" s="269"/>
      <c r="F60" s="269"/>
    </row>
    <row r="61" spans="1:6" ht="15.75">
      <c r="A61" s="14"/>
      <c r="B61" s="14"/>
      <c r="C61" s="14"/>
      <c r="D61" s="269"/>
      <c r="E61" s="269"/>
      <c r="F61" s="269"/>
    </row>
    <row r="62" spans="1:6">
      <c r="A62" s="291"/>
      <c r="B62" s="291"/>
      <c r="C62" s="291"/>
      <c r="D62" s="291"/>
      <c r="E62" s="291"/>
      <c r="F62" s="291"/>
    </row>
    <row r="63" spans="1:6">
      <c r="A63" s="292"/>
      <c r="B63" s="292"/>
      <c r="C63" s="292"/>
      <c r="D63" s="293"/>
      <c r="E63" s="293"/>
      <c r="F63" s="293"/>
    </row>
    <row r="64" spans="1:6">
      <c r="A64" s="294"/>
      <c r="B64" s="294"/>
      <c r="C64" s="294"/>
      <c r="D64" s="294"/>
      <c r="E64" s="294"/>
      <c r="F64" s="294"/>
    </row>
    <row r="65" spans="1:6">
      <c r="A65" s="290"/>
      <c r="B65" s="290"/>
      <c r="C65" s="290"/>
      <c r="D65" s="290"/>
      <c r="E65" s="290"/>
      <c r="F65" s="290"/>
    </row>
  </sheetData>
  <mergeCells count="41">
    <mergeCell ref="E2:F2"/>
    <mergeCell ref="A5:F5"/>
    <mergeCell ref="A7:A8"/>
    <mergeCell ref="B7:B8"/>
    <mergeCell ref="C7:C8"/>
    <mergeCell ref="D7:F7"/>
    <mergeCell ref="E3:F3"/>
    <mergeCell ref="A51:C51"/>
    <mergeCell ref="D51:F51"/>
    <mergeCell ref="A52:C52"/>
    <mergeCell ref="D52:F52"/>
    <mergeCell ref="A53:C53"/>
    <mergeCell ref="D53:F54"/>
    <mergeCell ref="A54:C54"/>
    <mergeCell ref="A47:F47"/>
    <mergeCell ref="A49:C49"/>
    <mergeCell ref="D49:F49"/>
    <mergeCell ref="A50:C50"/>
    <mergeCell ref="D50:F50"/>
    <mergeCell ref="A57:C57"/>
    <mergeCell ref="D57:F57"/>
    <mergeCell ref="A58:C58"/>
    <mergeCell ref="D58:F58"/>
    <mergeCell ref="A55:C55"/>
    <mergeCell ref="D55:F55"/>
    <mergeCell ref="B59:C59"/>
    <mergeCell ref="B60:C60"/>
    <mergeCell ref="H12:P24"/>
    <mergeCell ref="A65:C65"/>
    <mergeCell ref="D65:F65"/>
    <mergeCell ref="A62:C62"/>
    <mergeCell ref="D62:F62"/>
    <mergeCell ref="A63:C63"/>
    <mergeCell ref="D63:F63"/>
    <mergeCell ref="A64:C64"/>
    <mergeCell ref="D64:F64"/>
    <mergeCell ref="D59:F59"/>
    <mergeCell ref="D60:F60"/>
    <mergeCell ref="D61:F61"/>
    <mergeCell ref="A56:C56"/>
    <mergeCell ref="D56:F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D54"/>
  <sheetViews>
    <sheetView view="pageBreakPreview" zoomScaleSheetLayoutView="100" workbookViewId="0">
      <selection activeCell="D17" sqref="D17"/>
    </sheetView>
  </sheetViews>
  <sheetFormatPr defaultColWidth="9.140625" defaultRowHeight="15.75"/>
  <cols>
    <col min="1" max="1" width="20.140625" style="6" customWidth="1"/>
    <col min="2" max="2" width="18.7109375" style="6" customWidth="1"/>
    <col min="3" max="3" width="18.42578125" style="6" customWidth="1"/>
    <col min="4" max="4" width="28.7109375" style="6" customWidth="1"/>
    <col min="5" max="16384" width="9.140625" style="6"/>
  </cols>
  <sheetData>
    <row r="1" spans="1:4" ht="36.75" customHeight="1">
      <c r="C1" s="314" t="str">
        <f>malumot!B153&amp;" Ijrochi direktori"</f>
        <v>«CLEVER MIKROMOLIYA TASHKILOTI» MChJ Ijrochi direktori</v>
      </c>
      <c r="D1" s="314"/>
    </row>
    <row r="2" spans="1:4">
      <c r="C2" s="316" t="s">
        <v>400</v>
      </c>
      <c r="D2" s="316"/>
    </row>
    <row r="3" spans="1:4">
      <c r="C3" s="13"/>
      <c r="D3" s="14"/>
    </row>
    <row r="4" spans="1:4" ht="43.5" customHeight="1">
      <c r="C4" s="315" t="str">
        <f>malumot!B22&amp;" manzilida istiqomat qiluvchi"</f>
        <v>SAMARQAND VILOYATI KATTAQO'RG'ON TUMANI BURGANSOY MAHALLASI manzilida istiqomat qiluvchi</v>
      </c>
      <c r="D4" s="315"/>
    </row>
    <row r="5" spans="1:4" ht="36" customHeight="1">
      <c r="C5" s="315" t="str">
        <f>malumot!B5&amp;" tomonidan"</f>
        <v>XUDAYQULOV FAZLIDDIN SAIDOVICH tomonidan</v>
      </c>
      <c r="D5" s="315"/>
    </row>
    <row r="6" spans="1:4" ht="51" customHeight="1">
      <c r="C6" s="254" t="str">
        <f>"Pasport: "&amp;malumot!B16&amp;", "&amp;malumot!B20</f>
        <v>Pasport: AD0901293, IIV 18215 tomonidan 10.12.2021 yilda berilgan</v>
      </c>
      <c r="D6" s="254"/>
    </row>
    <row r="7" spans="1:4">
      <c r="C7" s="13"/>
      <c r="D7" s="14"/>
    </row>
    <row r="8" spans="1:4">
      <c r="A8" s="264" t="s">
        <v>401</v>
      </c>
      <c r="B8" s="264"/>
      <c r="C8" s="264"/>
      <c r="D8" s="264"/>
    </row>
    <row r="9" spans="1:4" ht="67.5" customHeight="1">
      <c r="A9" s="317" t="str">
        <f>"       Men, " &amp; malumot!B5 &amp; " sizdan " &amp; malumot!B2 &amp; " yildagi " &amp; malumot!B1 &amp; "-sonli kredit shartnomasiga asosan " &amp; malumot!B75  &amp; "(" &amp; malumot!B76 &amp; ")"  &amp; "so'm pul mablag'larini quyidagi rekvizitlar asosida o'tkazib berishingizni so'rayman: "</f>
        <v xml:space="preserve">       Men, XUDAYQULOV FAZLIDDIN SAIDOVICH sizdan 24.03.2025 yildagi №656-XT-sonli kredit shartnomasiga asosan 35000000(o'ttiz besh million so'm)so'm pul mablag'larini quyidagi rekvizitlar asosida o'tkazib berishingizni so'rayman: </v>
      </c>
      <c r="B9" s="317"/>
      <c r="C9" s="317"/>
      <c r="D9" s="317"/>
    </row>
    <row r="10" spans="1:4">
      <c r="A10" s="238" t="str">
        <f>malumot!A92</f>
        <v>Bank nomi:</v>
      </c>
      <c r="B10" s="317" t="str">
        <f>malumot!B92</f>
        <v>«Xalq baki» AT</v>
      </c>
      <c r="C10" s="317"/>
      <c r="D10" s="239"/>
    </row>
    <row r="11" spans="1:4">
      <c r="A11" s="238" t="str">
        <f>malumot!A93</f>
        <v>H/r:</v>
      </c>
      <c r="B11" s="317" t="str">
        <f>malumot!B93</f>
        <v>2312  0000  4000  1177  7300</v>
      </c>
      <c r="C11" s="317"/>
      <c r="D11" s="239"/>
    </row>
    <row r="12" spans="1:4">
      <c r="A12" s="238" t="str">
        <f>malumot!A94</f>
        <v>MFO:</v>
      </c>
      <c r="B12" s="317" t="str">
        <f>malumot!B94</f>
        <v>01125</v>
      </c>
      <c r="C12" s="317"/>
      <c r="D12" s="163"/>
    </row>
    <row r="13" spans="1:4">
      <c r="A13" s="238" t="str">
        <f>malumot!A95</f>
        <v>STIR:</v>
      </c>
      <c r="B13" s="317" t="str">
        <f>malumot!B95</f>
        <v>207215726</v>
      </c>
      <c r="C13" s="317"/>
      <c r="D13" s="163"/>
    </row>
    <row r="14" spans="1:4">
      <c r="A14" s="238" t="str">
        <f>malumot!A96</f>
        <v>Karta raqami:</v>
      </c>
      <c r="B14" s="317" t="str">
        <f>malumot!B96</f>
        <v>8600  0609  7428  3120</v>
      </c>
      <c r="C14" s="317"/>
      <c r="D14" s="163"/>
    </row>
    <row r="15" spans="1:4">
      <c r="A15" s="313"/>
      <c r="B15" s="313"/>
      <c r="C15" s="313"/>
      <c r="D15" s="313"/>
    </row>
    <row r="16" spans="1:4" ht="15.75" customHeight="1">
      <c r="A16" s="315" t="str">
        <f>malumot!B5</f>
        <v>XUDAYQULOV FAZLIDDIN SAIDOVICH</v>
      </c>
      <c r="B16" s="315"/>
      <c r="C16" s="315"/>
      <c r="D16" s="240" t="s">
        <v>416</v>
      </c>
    </row>
    <row r="17" spans="1:4">
      <c r="A17" s="241"/>
      <c r="B17" s="241"/>
      <c r="D17" s="242" t="s">
        <v>330</v>
      </c>
    </row>
    <row r="18" spans="1:4">
      <c r="A18" s="313"/>
      <c r="B18" s="313"/>
      <c r="C18" s="313"/>
      <c r="D18" s="313"/>
    </row>
    <row r="19" spans="1:4">
      <c r="A19" s="313"/>
      <c r="B19" s="313"/>
      <c r="C19" s="313"/>
      <c r="D19" s="313"/>
    </row>
    <row r="20" spans="1:4">
      <c r="A20" s="313"/>
      <c r="B20" s="313"/>
      <c r="C20" s="313"/>
      <c r="D20" s="313"/>
    </row>
    <row r="21" spans="1:4">
      <c r="A21" s="313"/>
      <c r="B21" s="313"/>
      <c r="C21" s="313"/>
      <c r="D21" s="313"/>
    </row>
    <row r="22" spans="1:4">
      <c r="A22" s="313"/>
      <c r="B22" s="313"/>
      <c r="C22" s="313"/>
      <c r="D22" s="313"/>
    </row>
    <row r="23" spans="1:4">
      <c r="A23" s="313"/>
      <c r="B23" s="313"/>
      <c r="C23" s="313"/>
      <c r="D23" s="313"/>
    </row>
    <row r="24" spans="1:4">
      <c r="A24" s="313"/>
      <c r="B24" s="313"/>
      <c r="C24" s="313"/>
      <c r="D24" s="313"/>
    </row>
    <row r="25" spans="1:4">
      <c r="A25" s="313"/>
      <c r="B25" s="313"/>
      <c r="C25" s="313"/>
      <c r="D25" s="313"/>
    </row>
    <row r="26" spans="1:4">
      <c r="A26" s="313"/>
      <c r="B26" s="313"/>
      <c r="C26" s="313"/>
      <c r="D26" s="313"/>
    </row>
    <row r="27" spans="1:4">
      <c r="A27" s="313"/>
      <c r="B27" s="313"/>
      <c r="C27" s="313"/>
      <c r="D27" s="313"/>
    </row>
    <row r="28" spans="1:4">
      <c r="A28" s="313"/>
      <c r="B28" s="313"/>
      <c r="C28" s="313"/>
      <c r="D28" s="313"/>
    </row>
    <row r="29" spans="1:4">
      <c r="A29" s="313"/>
      <c r="B29" s="313"/>
      <c r="C29" s="313"/>
      <c r="D29" s="313"/>
    </row>
    <row r="30" spans="1:4">
      <c r="A30" s="313"/>
      <c r="B30" s="313"/>
      <c r="C30" s="313"/>
      <c r="D30" s="313"/>
    </row>
    <row r="31" spans="1:4">
      <c r="A31" s="313"/>
      <c r="B31" s="313"/>
      <c r="C31" s="313"/>
      <c r="D31" s="313"/>
    </row>
    <row r="32" spans="1:4">
      <c r="A32" s="313"/>
      <c r="B32" s="313"/>
      <c r="C32" s="313"/>
      <c r="D32" s="313"/>
    </row>
    <row r="33" spans="1:4">
      <c r="A33" s="313"/>
      <c r="B33" s="313"/>
      <c r="C33" s="313"/>
      <c r="D33" s="313"/>
    </row>
    <row r="34" spans="1:4">
      <c r="A34" s="313"/>
      <c r="B34" s="313"/>
      <c r="C34" s="313"/>
      <c r="D34" s="313"/>
    </row>
    <row r="35" spans="1:4">
      <c r="A35" s="313"/>
      <c r="B35" s="313"/>
      <c r="C35" s="313"/>
      <c r="D35" s="313"/>
    </row>
    <row r="36" spans="1:4">
      <c r="A36" s="313"/>
      <c r="B36" s="313"/>
      <c r="C36" s="313"/>
      <c r="D36" s="313"/>
    </row>
    <row r="37" spans="1:4">
      <c r="A37" s="313"/>
      <c r="B37" s="313"/>
      <c r="C37" s="313"/>
      <c r="D37" s="313"/>
    </row>
    <row r="38" spans="1:4">
      <c r="A38" s="313"/>
      <c r="B38" s="313"/>
      <c r="C38" s="313"/>
      <c r="D38" s="313"/>
    </row>
    <row r="39" spans="1:4">
      <c r="A39" s="313"/>
      <c r="B39" s="313"/>
      <c r="C39" s="313"/>
      <c r="D39" s="313"/>
    </row>
    <row r="40" spans="1:4">
      <c r="A40" s="313"/>
      <c r="B40" s="313"/>
      <c r="C40" s="313"/>
      <c r="D40" s="313"/>
    </row>
    <row r="41" spans="1:4">
      <c r="A41" s="313"/>
      <c r="B41" s="313"/>
      <c r="C41" s="313"/>
      <c r="D41" s="313"/>
    </row>
    <row r="42" spans="1:4">
      <c r="A42" s="313"/>
      <c r="B42" s="313"/>
      <c r="C42" s="313"/>
      <c r="D42" s="313"/>
    </row>
    <row r="43" spans="1:4">
      <c r="A43" s="313"/>
      <c r="B43" s="313"/>
      <c r="C43" s="313"/>
      <c r="D43" s="313"/>
    </row>
    <row r="44" spans="1:4">
      <c r="A44" s="313"/>
      <c r="B44" s="313"/>
      <c r="C44" s="313"/>
      <c r="D44" s="313"/>
    </row>
    <row r="45" spans="1:4">
      <c r="A45" s="313"/>
      <c r="B45" s="313"/>
      <c r="C45" s="313"/>
      <c r="D45" s="313"/>
    </row>
    <row r="46" spans="1:4">
      <c r="A46" s="313"/>
      <c r="B46" s="313"/>
      <c r="C46" s="313"/>
      <c r="D46" s="313"/>
    </row>
    <row r="47" spans="1:4">
      <c r="A47" s="313"/>
      <c r="B47" s="313"/>
      <c r="C47" s="313"/>
      <c r="D47" s="313"/>
    </row>
    <row r="48" spans="1:4">
      <c r="A48" s="313"/>
      <c r="B48" s="313"/>
      <c r="C48" s="313"/>
      <c r="D48" s="313"/>
    </row>
    <row r="49" spans="1:4">
      <c r="A49" s="313"/>
      <c r="B49" s="313"/>
      <c r="C49" s="313"/>
      <c r="D49" s="313"/>
    </row>
    <row r="50" spans="1:4">
      <c r="A50" s="313"/>
      <c r="B50" s="313"/>
      <c r="C50" s="313"/>
      <c r="D50" s="313"/>
    </row>
    <row r="51" spans="1:4">
      <c r="A51" s="313"/>
      <c r="B51" s="313"/>
      <c r="C51" s="313"/>
      <c r="D51" s="313"/>
    </row>
    <row r="52" spans="1:4">
      <c r="A52" s="313"/>
      <c r="B52" s="313"/>
      <c r="C52" s="313"/>
      <c r="D52" s="313"/>
    </row>
    <row r="53" spans="1:4">
      <c r="A53" s="313"/>
      <c r="B53" s="313"/>
      <c r="C53" s="313"/>
      <c r="D53" s="313"/>
    </row>
    <row r="54" spans="1:4">
      <c r="A54" s="313"/>
      <c r="B54" s="313"/>
      <c r="C54" s="313"/>
      <c r="D54" s="313"/>
    </row>
  </sheetData>
  <mergeCells count="51">
    <mergeCell ref="A53:D53"/>
    <mergeCell ref="A54:D54"/>
    <mergeCell ref="C4:D4"/>
    <mergeCell ref="C6:D6"/>
    <mergeCell ref="C5:D5"/>
    <mergeCell ref="A8:D8"/>
    <mergeCell ref="A47:D47"/>
    <mergeCell ref="A48:D48"/>
    <mergeCell ref="A49:D49"/>
    <mergeCell ref="A50:D50"/>
    <mergeCell ref="A51:D51"/>
    <mergeCell ref="A52:D52"/>
    <mergeCell ref="A41:D41"/>
    <mergeCell ref="A42:D42"/>
    <mergeCell ref="A43:D43"/>
    <mergeCell ref="A44:D44"/>
    <mergeCell ref="A45:D45"/>
    <mergeCell ref="A46:D46"/>
    <mergeCell ref="A35:D35"/>
    <mergeCell ref="A36:D36"/>
    <mergeCell ref="A37:D37"/>
    <mergeCell ref="A38:D38"/>
    <mergeCell ref="A39:D39"/>
    <mergeCell ref="A40:D40"/>
    <mergeCell ref="A34:D34"/>
    <mergeCell ref="A23:D23"/>
    <mergeCell ref="A24:D24"/>
    <mergeCell ref="A25:D25"/>
    <mergeCell ref="A26:D26"/>
    <mergeCell ref="A27:D27"/>
    <mergeCell ref="A28:D28"/>
    <mergeCell ref="A29:D29"/>
    <mergeCell ref="A30:D30"/>
    <mergeCell ref="A31:D31"/>
    <mergeCell ref="A32:D32"/>
    <mergeCell ref="A33:D33"/>
    <mergeCell ref="A22:D22"/>
    <mergeCell ref="A15:D15"/>
    <mergeCell ref="C1:D1"/>
    <mergeCell ref="A16:C16"/>
    <mergeCell ref="A18:D18"/>
    <mergeCell ref="A19:D19"/>
    <mergeCell ref="A20:D20"/>
    <mergeCell ref="A21:D21"/>
    <mergeCell ref="C2:D2"/>
    <mergeCell ref="B10:C10"/>
    <mergeCell ref="B11:C11"/>
    <mergeCell ref="B12:C12"/>
    <mergeCell ref="B13:C13"/>
    <mergeCell ref="B14:C14"/>
    <mergeCell ref="A9:D9"/>
  </mergeCells>
  <pageMargins left="0.7" right="0.7" top="0.75" bottom="0.75" header="0.3" footer="0.3"/>
  <pageSetup paperSize="9" scale="8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7">
    <tabColor rgb="FF00B050"/>
  </sheetPr>
  <dimension ref="B1:G42"/>
  <sheetViews>
    <sheetView view="pageBreakPreview" topLeftCell="A6"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29" t="str">
        <f>malumot!B154</f>
        <v>«CLEVER MIKROMOLIYA TASHKILOTI» MChJ</v>
      </c>
      <c r="C2" s="330"/>
      <c r="D2" s="330"/>
      <c r="E2" s="330"/>
      <c r="F2" s="331"/>
      <c r="G2" s="41"/>
    </row>
    <row r="3" spans="2:7">
      <c r="B3" s="321"/>
      <c r="C3" s="294"/>
      <c r="D3" s="294"/>
      <c r="E3" s="294"/>
      <c r="F3" s="322"/>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1" t="s">
        <v>27</v>
      </c>
      <c r="C10" s="294"/>
      <c r="D10" s="294"/>
      <c r="E10" s="294"/>
      <c r="F10" s="322"/>
      <c r="G10" s="42"/>
    </row>
    <row r="11" spans="2:7">
      <c r="B11" s="321" t="s">
        <v>27</v>
      </c>
      <c r="C11" s="294"/>
      <c r="D11" s="294"/>
      <c r="E11" s="294"/>
      <c r="F11" s="322"/>
      <c r="G11" s="42"/>
    </row>
    <row r="12" spans="2:7" ht="135" customHeight="1">
      <c r="B12" s="332" t="str">
        <f>malumot!B5</f>
        <v>XUDAYQULOV FAZLIDDIN SAIDOVICH</v>
      </c>
      <c r="C12" s="333"/>
      <c r="D12" s="333"/>
      <c r="E12" s="333"/>
      <c r="F12" s="334"/>
      <c r="G12" s="43"/>
    </row>
    <row r="13" spans="2:7">
      <c r="B13" s="321"/>
      <c r="C13" s="294"/>
      <c r="D13" s="294"/>
      <c r="E13" s="294"/>
      <c r="F13" s="322"/>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1"/>
      <c r="C18" s="294"/>
      <c r="D18" s="294"/>
      <c r="E18" s="294"/>
      <c r="F18" s="322"/>
      <c r="G18" s="42"/>
    </row>
    <row r="19" spans="2:7" ht="20.25">
      <c r="B19" s="326" t="str">
        <f>""&amp;malumot!C64&amp;" shartnoma "&amp;malumot!B74&amp;""</f>
        <v>Mikroqarz shartnoma 24 mart 2025 y.dan №656-XT</v>
      </c>
      <c r="C19" s="327"/>
      <c r="D19" s="327"/>
      <c r="E19" s="327"/>
      <c r="F19" s="328"/>
      <c r="G19" s="42"/>
    </row>
    <row r="20" spans="2:7">
      <c r="B20" s="321"/>
      <c r="C20" s="294"/>
      <c r="D20" s="294"/>
      <c r="E20" s="294"/>
      <c r="F20" s="322"/>
      <c r="G20" s="42"/>
    </row>
    <row r="21" spans="2:7">
      <c r="B21" s="321"/>
      <c r="C21" s="294"/>
      <c r="D21" s="294"/>
      <c r="E21" s="294"/>
      <c r="F21" s="322"/>
      <c r="G21" s="42"/>
    </row>
    <row r="22" spans="2:7">
      <c r="B22" s="321"/>
      <c r="C22" s="294"/>
      <c r="D22" s="294"/>
      <c r="E22" s="294"/>
      <c r="F22" s="322"/>
      <c r="G22" s="42"/>
    </row>
    <row r="23" spans="2:7">
      <c r="B23" s="321"/>
      <c r="C23" s="294"/>
      <c r="D23" s="294"/>
      <c r="E23" s="294"/>
      <c r="F23" s="322"/>
      <c r="G23" s="42"/>
    </row>
    <row r="24" spans="2:7">
      <c r="B24" s="323" t="str">
        <f>" Foiz stavkasi: "&amp;malumot!B85&amp;"%"</f>
        <v xml:space="preserve"> Foiz stavkasi: 60%</v>
      </c>
      <c r="C24" s="324"/>
      <c r="D24" s="324"/>
      <c r="E24" s="324"/>
      <c r="F24" s="325"/>
      <c r="G24" s="42"/>
    </row>
    <row r="25" spans="2:7" ht="15" customHeight="1">
      <c r="B25" s="323" t="str">
        <f>" "&amp;malumot!C64&amp;" muddati: "&amp;malumot!B81&amp;" oy"</f>
        <v xml:space="preserve"> Mikroqarz muddati: 24 oy</v>
      </c>
      <c r="C25" s="324"/>
      <c r="D25" s="324"/>
      <c r="E25" s="324"/>
      <c r="F25" s="325"/>
      <c r="G25" s="42"/>
    </row>
    <row r="26" spans="2:7">
      <c r="B26" s="323" t="str">
        <f>" "&amp;malumot!C64&amp;" miqdori: "&amp;FIXED(malumot!B75,2)&amp;" so'm"</f>
        <v xml:space="preserve"> Mikroqarz miqdori: 35 000 000,00 so'm</v>
      </c>
      <c r="C26" s="324"/>
      <c r="D26" s="324"/>
      <c r="E26" s="324"/>
      <c r="F26" s="325"/>
      <c r="G26" s="42"/>
    </row>
    <row r="27" spans="2:7">
      <c r="B27" s="321"/>
      <c r="C27" s="294"/>
      <c r="D27" s="294"/>
      <c r="E27" s="294"/>
      <c r="F27" s="322"/>
      <c r="G27" s="42"/>
    </row>
    <row r="28" spans="2:7" hidden="1">
      <c r="G28" s="42"/>
    </row>
    <row r="29" spans="2:7">
      <c r="B29" s="321"/>
      <c r="C29" s="294"/>
      <c r="D29" s="294"/>
      <c r="E29" s="294"/>
      <c r="F29" s="322"/>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18" t="str">
        <f>"Toshkent sh., "&amp;malumot!B70&amp;""</f>
        <v>Toshkent sh., 24 mart 2025 y.</v>
      </c>
      <c r="C40" s="319"/>
      <c r="D40" s="319"/>
      <c r="E40" s="319"/>
      <c r="F40" s="320"/>
      <c r="G40" s="42"/>
    </row>
    <row r="41" spans="2:7">
      <c r="B41" s="294"/>
      <c r="C41" s="294"/>
      <c r="D41" s="294"/>
      <c r="E41" s="294"/>
      <c r="F41" s="294"/>
      <c r="G41" s="42"/>
    </row>
    <row r="42" spans="2:7">
      <c r="B42" s="294"/>
      <c r="C42" s="294"/>
      <c r="D42" s="294"/>
      <c r="E42" s="294"/>
      <c r="F42" s="294"/>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5">
    <tabColor rgb="FF00B050"/>
  </sheetPr>
  <dimension ref="A1:F43"/>
  <sheetViews>
    <sheetView view="pageBreakPreview" topLeftCell="A15"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336" t="s">
        <v>217</v>
      </c>
      <c r="B1" s="336"/>
      <c r="C1" s="336"/>
      <c r="D1" s="336"/>
      <c r="E1" s="336"/>
      <c r="F1" s="336"/>
    </row>
    <row r="2" spans="1:6" ht="35.25" customHeight="1">
      <c r="A2" s="337" t="s">
        <v>325</v>
      </c>
      <c r="B2" s="337"/>
      <c r="C2" s="337"/>
      <c r="D2" s="337"/>
      <c r="E2" s="337"/>
      <c r="F2" s="337"/>
    </row>
    <row r="3" spans="1:6">
      <c r="A3" s="336" t="s">
        <v>218</v>
      </c>
      <c r="B3" s="336"/>
      <c r="C3" s="336"/>
      <c r="D3" s="336"/>
      <c r="E3" s="336"/>
      <c r="F3" s="336"/>
    </row>
    <row r="4" spans="1:6">
      <c r="A4" s="335" t="str">
        <f>xulosa!A4:E4</f>
        <v>Mijozning to'liq ismi sharifi: XUDAYQULOV FAZLIDDIN SAIDOVICH</v>
      </c>
      <c r="B4" s="335"/>
      <c r="C4" s="335"/>
      <c r="D4" s="335"/>
      <c r="E4" s="335"/>
      <c r="F4" s="335"/>
    </row>
    <row r="5" spans="1:6">
      <c r="A5" s="335" t="str">
        <f>xulosa!A5:E5</f>
        <v>Tug'ilgan sanasi: 23.03.1974 y</v>
      </c>
      <c r="B5" s="335"/>
      <c r="C5" s="335"/>
      <c r="D5" s="335"/>
      <c r="E5" s="335"/>
      <c r="F5" s="335"/>
    </row>
    <row r="6" spans="1:6" ht="32.25" customHeight="1">
      <c r="A6" s="335" t="str">
        <f>xulosa!A6:E6</f>
        <v>Pasport seriyasi AD0901293 IIV 18215 tomonidan 10.12.2021 yilda berilgan, amal qilish muddati - 09.12.2031 y.</v>
      </c>
      <c r="B6" s="335"/>
      <c r="C6" s="335"/>
      <c r="D6" s="335"/>
      <c r="E6" s="335"/>
      <c r="F6" s="335"/>
    </row>
    <row r="7" spans="1:6">
      <c r="A7" s="335" t="str">
        <f>"Fuqaroligi: "&amp;malumot!B32&amp;""</f>
        <v>Fuqaroligi: O’zbekiston Respublikasi</v>
      </c>
      <c r="B7" s="335"/>
      <c r="C7" s="335"/>
      <c r="D7" s="335"/>
      <c r="E7" s="335"/>
      <c r="F7" s="335"/>
    </row>
    <row r="8" spans="1:6" ht="26.25" customHeight="1">
      <c r="A8" s="335" t="str">
        <f>xulosa!A7:E7</f>
        <v>Ro‘yxatdan o‘tgan manzili: SAMARQAND VILOYATI KATTAQO'RG'ON TUMANI BURGANSOY MAHALLASI, mo'ljal: 105-MAKTABGA YETMASI</v>
      </c>
      <c r="B8" s="335"/>
      <c r="C8" s="335"/>
      <c r="D8" s="335"/>
      <c r="E8" s="335"/>
      <c r="F8" s="335"/>
    </row>
    <row r="9" spans="1:6">
      <c r="A9" s="335" t="str">
        <f>IF(malumot!B23="mos keladi"," ",mijoz_anketasi!A10:F10)</f>
        <v xml:space="preserve"> </v>
      </c>
      <c r="B9" s="335"/>
      <c r="C9" s="335"/>
      <c r="D9" s="335"/>
      <c r="E9" s="335"/>
      <c r="F9" s="335"/>
    </row>
    <row r="10" spans="1:6" ht="31.5" hidden="1" customHeight="1">
      <c r="A10" s="335" t="str">
        <f>"Haqiqatdan yashash joy manzili: "&amp;malumot!B28&amp;""</f>
        <v>Haqiqatdan yashash joy manzili: SAMARQAND VILOYATI KATTAQO'RG'ON TUMANI BURGANSOY MAHALLASI</v>
      </c>
      <c r="B10" s="335"/>
      <c r="C10" s="335"/>
      <c r="D10" s="335"/>
      <c r="E10" s="335"/>
      <c r="F10" s="335"/>
    </row>
    <row r="11" spans="1:6" ht="16.5" hidden="1" customHeight="1">
      <c r="A11" s="335" t="str">
        <f>xulosa!A8:E8</f>
        <v>Ish joyi:  lavozimi Yakka tartibdagi tadbirkorda Yakka tartibdagi tadbirkor</v>
      </c>
      <c r="B11" s="335"/>
      <c r="C11" s="335"/>
      <c r="D11" s="335"/>
      <c r="E11" s="335"/>
      <c r="F11" s="335"/>
    </row>
    <row r="12" spans="1:6">
      <c r="A12" s="336" t="s">
        <v>219</v>
      </c>
      <c r="B12" s="336"/>
      <c r="C12" s="336"/>
      <c r="D12" s="336"/>
      <c r="E12" s="336"/>
      <c r="F12" s="336"/>
    </row>
    <row r="13" spans="1:6">
      <c r="A13" s="335" t="str">
        <f>"Uy telefoni raqami: "&amp;malumot!B40&amp;""</f>
        <v>Uy telefoni raqami: 88 985 17 74  UZI</v>
      </c>
      <c r="B13" s="335"/>
      <c r="C13" s="335"/>
      <c r="D13" s="335"/>
      <c r="E13" s="335"/>
      <c r="F13" s="335"/>
    </row>
    <row r="14" spans="1:6">
      <c r="A14" s="335" t="str">
        <f>"Uyali telefon raqami: "&amp;malumot!B41&amp;""</f>
        <v>Uyali telefon raqami: 33 316 17 74  TURMUSH O'RTOG'I</v>
      </c>
      <c r="B14" s="335"/>
      <c r="C14" s="335"/>
      <c r="D14" s="335"/>
      <c r="E14" s="335"/>
      <c r="F14" s="335"/>
    </row>
    <row r="15" spans="1:6">
      <c r="A15" s="335" t="str">
        <f>"Uyali telefon raqami: "&amp;malumot!B42&amp;""</f>
        <v>Uyali telefon raqami: 99 771 77 40  UKASI</v>
      </c>
      <c r="B15" s="335"/>
      <c r="C15" s="335"/>
      <c r="D15" s="335"/>
      <c r="E15" s="335"/>
      <c r="F15" s="335"/>
    </row>
    <row r="16" spans="1:6" hidden="1">
      <c r="A16" s="335" t="str">
        <f>"Uyali telefon raqami: "&amp;malumot!B42&amp;""</f>
        <v>Uyali telefon raqami: 99 771 77 40  UKASI</v>
      </c>
      <c r="B16" s="335"/>
      <c r="C16" s="335"/>
      <c r="D16" s="335"/>
      <c r="E16" s="335"/>
      <c r="F16" s="335"/>
    </row>
    <row r="17" spans="1:6">
      <c r="A17" s="335" t="str">
        <f>"Ish telefoni raqami: "&amp;malumot!B43&amp;""</f>
        <v xml:space="preserve">Ish telefoni raqami: </v>
      </c>
      <c r="B17" s="335"/>
      <c r="C17" s="335"/>
      <c r="D17" s="335"/>
      <c r="E17" s="335"/>
      <c r="F17" s="335"/>
    </row>
    <row r="18" spans="1:6">
      <c r="A18" s="336" t="s">
        <v>220</v>
      </c>
      <c r="B18" s="336"/>
      <c r="C18" s="336"/>
      <c r="D18" s="336"/>
      <c r="E18" s="336"/>
      <c r="F18" s="336"/>
    </row>
    <row r="19" spans="1:6">
      <c r="A19" s="335" t="str">
        <f>"Muassasa nomlanishi:"&amp;malumot!B58&amp;""</f>
        <v>Muassasa nomlanishi:Yakka tartibdagi tadbirkor</v>
      </c>
      <c r="B19" s="335"/>
      <c r="C19" s="335"/>
      <c r="D19" s="335"/>
      <c r="E19" s="335"/>
      <c r="F19" s="335"/>
    </row>
    <row r="20" spans="1:6">
      <c r="A20" s="335" t="str">
        <f>"Ro‘yxatdan o‘tish manzili:"&amp;malumot!B50&amp;""</f>
        <v>Ro‘yxatdan o‘tish manzili:</v>
      </c>
      <c r="B20" s="335"/>
      <c r="C20" s="335"/>
      <c r="D20" s="335"/>
      <c r="E20" s="335"/>
      <c r="F20" s="335"/>
    </row>
    <row r="21" spans="1:6">
      <c r="A21" s="335" t="str">
        <f>"Lavozimi: "&amp;malumot!B59&amp;""</f>
        <v>Lavozimi: Yakka tartibdagi tadbirkor</v>
      </c>
      <c r="B21" s="335"/>
      <c r="C21" s="335"/>
      <c r="D21" s="335"/>
      <c r="E21" s="335"/>
      <c r="F21" s="335"/>
    </row>
    <row r="22" spans="1:6">
      <c r="A22" s="336" t="s">
        <v>221</v>
      </c>
      <c r="B22" s="338"/>
      <c r="C22" s="338"/>
      <c r="D22" s="338"/>
      <c r="E22" s="338"/>
      <c r="F22" s="338"/>
    </row>
    <row r="23" spans="1:6" s="26" customFormat="1" ht="25.5">
      <c r="A23" s="25" t="s">
        <v>222</v>
      </c>
      <c r="B23" s="25" t="s">
        <v>223</v>
      </c>
      <c r="C23" s="25" t="s">
        <v>224</v>
      </c>
      <c r="D23" s="25" t="s">
        <v>225</v>
      </c>
      <c r="E23" s="25" t="s">
        <v>226</v>
      </c>
      <c r="F23" s="25" t="s">
        <v>227</v>
      </c>
    </row>
    <row r="24" spans="1:6" ht="51">
      <c r="A24" s="27" t="s">
        <v>228</v>
      </c>
      <c r="B24" s="28">
        <f>malumot!B60</f>
        <v>13000000</v>
      </c>
      <c r="C24" s="28">
        <v>0</v>
      </c>
      <c r="D24" s="28">
        <v>0</v>
      </c>
      <c r="E24" s="27" t="s">
        <v>231</v>
      </c>
      <c r="F24" s="28">
        <v>700000</v>
      </c>
    </row>
    <row r="25" spans="1:6" ht="25.5">
      <c r="A25" s="27" t="s">
        <v>229</v>
      </c>
      <c r="B25" s="28">
        <v>0</v>
      </c>
      <c r="C25" s="28">
        <v>0</v>
      </c>
      <c r="D25" s="28">
        <v>0</v>
      </c>
      <c r="E25" s="27" t="s">
        <v>232</v>
      </c>
      <c r="F25" s="28">
        <v>450000</v>
      </c>
    </row>
    <row r="26" spans="1:6" ht="28.5" customHeight="1">
      <c r="A26" s="27" t="s">
        <v>230</v>
      </c>
      <c r="B26" s="28">
        <f>malumot!B61</f>
        <v>0</v>
      </c>
      <c r="C26" s="28">
        <v>0</v>
      </c>
      <c r="D26" s="28">
        <v>0</v>
      </c>
      <c r="E26" s="27" t="s">
        <v>233</v>
      </c>
      <c r="F26" s="28">
        <v>500000</v>
      </c>
    </row>
    <row r="27" spans="1:6" s="31" customFormat="1">
      <c r="A27" s="29" t="s">
        <v>209</v>
      </c>
      <c r="B27" s="30">
        <f>B24+B25+B26</f>
        <v>13000000</v>
      </c>
      <c r="C27" s="30">
        <f t="shared" ref="C27:D27" si="0">SUM(C24:C26)</f>
        <v>0</v>
      </c>
      <c r="D27" s="30">
        <f t="shared" si="0"/>
        <v>0</v>
      </c>
      <c r="E27" s="29"/>
      <c r="F27" s="30">
        <f>F24+F25+F26</f>
        <v>1650000</v>
      </c>
    </row>
    <row r="28" spans="1:6" ht="31.5" customHeight="1">
      <c r="A28" s="335" t="str">
        <f>"Men, "&amp;malumot!B5&amp;", ushbu anketada ko‘rsatilgan barcha ma'lumotlar anketa to'ldirilgan sanada  to'g'ri va aniq ekanligini tasdiqlayman."</f>
        <v>Men, XUDAYQULOV FAZLIDDIN SAIDOVICH, ushbu anketada ko‘rsatilgan barcha ma'lumotlar anketa to'ldirilgan sanada  to'g'ri va aniq ekanligini tasdiqlayman.</v>
      </c>
      <c r="B28" s="335"/>
      <c r="C28" s="335"/>
      <c r="D28" s="335"/>
      <c r="E28" s="335"/>
      <c r="F28" s="335"/>
    </row>
    <row r="29" spans="1:6">
      <c r="A29" s="335" t="str">
        <f>"Men,  "&amp;malumot!B5&amp;", quyidagilarni tan olaman va roziman::"</f>
        <v>Men,  XUDAYQULOV FAZLIDDIN SAIDOVICH, quyidagilarni tan olaman va roziman::</v>
      </c>
      <c r="B29" s="335"/>
      <c r="C29" s="335"/>
      <c r="D29" s="335"/>
      <c r="E29" s="335"/>
      <c r="F29" s="335"/>
    </row>
    <row r="30" spans="1:6" ht="45.75" customHeight="1">
      <c r="A30" s="335" t="str">
        <f>"1.  Ushbu anketada ko‘rsatilgan har qanday ma’lumot  "&amp;malumot!B153&amp;",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35"/>
      <c r="C30" s="335"/>
      <c r="D30" s="335"/>
      <c r="E30" s="335"/>
      <c r="F30" s="335"/>
    </row>
    <row r="31" spans="1:6" ht="42.75" customHeight="1">
      <c r="A31" s="335" t="str">
        <f>"2. Mazkur anketaning "&amp;malumot!B153&amp;"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35"/>
      <c r="C31" s="335"/>
      <c r="D31" s="335"/>
      <c r="E31" s="335"/>
      <c r="F31" s="335"/>
    </row>
    <row r="32" spans="1:6" ht="71.25" customHeight="1">
      <c r="A32" s="335" t="s">
        <v>234</v>
      </c>
      <c r="B32" s="335"/>
      <c r="C32" s="335"/>
      <c r="D32" s="335"/>
      <c r="E32" s="335"/>
      <c r="F32" s="335"/>
    </row>
    <row r="33" spans="1:6">
      <c r="A33" s="335"/>
      <c r="B33" s="335"/>
      <c r="C33" s="335"/>
      <c r="D33" s="335"/>
      <c r="E33" s="335"/>
      <c r="F33" s="335"/>
    </row>
    <row r="34" spans="1:6" ht="12.75" customHeight="1">
      <c r="A34" s="338" t="s">
        <v>235</v>
      </c>
      <c r="B34" s="338"/>
      <c r="C34" s="338"/>
      <c r="D34" s="143" t="s">
        <v>157</v>
      </c>
      <c r="E34" s="338" t="s">
        <v>236</v>
      </c>
      <c r="F34" s="338"/>
    </row>
    <row r="35" spans="1:6" ht="25.5" customHeight="1">
      <c r="A35" s="339"/>
      <c r="B35" s="339"/>
      <c r="C35" s="339"/>
      <c r="D35" s="340" t="str">
        <f>malumot!B2</f>
        <v>24.03.2025</v>
      </c>
      <c r="E35" s="339"/>
      <c r="F35" s="339"/>
    </row>
    <row r="36" spans="1:6" ht="25.5" customHeight="1">
      <c r="A36" s="339"/>
      <c r="B36" s="339"/>
      <c r="C36" s="339"/>
      <c r="D36" s="340"/>
      <c r="E36" s="339"/>
      <c r="F36" s="339"/>
    </row>
    <row r="37" spans="1:6">
      <c r="A37" s="335"/>
      <c r="B37" s="335"/>
      <c r="C37" s="335"/>
      <c r="D37" s="335"/>
      <c r="E37" s="335"/>
      <c r="F37" s="335"/>
    </row>
    <row r="38" spans="1:6">
      <c r="A38" s="335"/>
      <c r="B38" s="335"/>
      <c r="C38" s="335"/>
      <c r="D38" s="335"/>
      <c r="E38" s="335"/>
      <c r="F38" s="335"/>
    </row>
    <row r="39" spans="1:6">
      <c r="A39" s="335"/>
      <c r="B39" s="335"/>
      <c r="C39" s="335"/>
      <c r="D39" s="335"/>
      <c r="E39" s="335"/>
      <c r="F39" s="335"/>
    </row>
    <row r="40" spans="1:6">
      <c r="A40" s="335"/>
      <c r="B40" s="335"/>
      <c r="C40" s="335"/>
      <c r="D40" s="335"/>
      <c r="E40" s="335"/>
      <c r="F40" s="335"/>
    </row>
    <row r="41" spans="1:6">
      <c r="A41" s="335"/>
      <c r="B41" s="335"/>
      <c r="C41" s="335"/>
      <c r="D41" s="335"/>
      <c r="E41" s="335"/>
      <c r="F41" s="335"/>
    </row>
    <row r="42" spans="1:6">
      <c r="A42" s="335"/>
      <c r="B42" s="335"/>
      <c r="C42" s="335"/>
      <c r="D42" s="335"/>
      <c r="E42" s="335"/>
      <c r="F42" s="335"/>
    </row>
    <row r="43" spans="1:6">
      <c r="A43" s="335"/>
      <c r="B43" s="335"/>
      <c r="C43" s="335"/>
      <c r="D43" s="335"/>
      <c r="E43" s="335"/>
      <c r="F43" s="335"/>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22">
    <tabColor rgb="FF00B050"/>
  </sheetPr>
  <dimension ref="A3:B11"/>
  <sheetViews>
    <sheetView view="pageBreakPreview" zoomScale="85" zoomScaleNormal="100" zoomScaleSheetLayoutView="85" workbookViewId="0">
      <selection activeCell="A5" sqref="A5:B5"/>
    </sheetView>
  </sheetViews>
  <sheetFormatPr defaultRowHeight="15"/>
  <cols>
    <col min="1" max="1" width="54.42578125" style="15" customWidth="1"/>
    <col min="2" max="2" width="32.28515625" style="15" customWidth="1"/>
  </cols>
  <sheetData>
    <row r="3" spans="1:2" ht="35.25" customHeight="1">
      <c r="A3" s="341" t="s">
        <v>214</v>
      </c>
      <c r="B3" s="341"/>
    </row>
    <row r="4" spans="1:2" ht="92.25" customHeight="1">
      <c r="A4" s="267" t="str">
        <f>"     Men, fuqaro "&amp;malumot!B5&amp;" "&amp;malumot!B155&amp;" bilan "&amp;malumot!B69&amp;" sanasidagi "&amp;malumot!B66&amp;"-sonli shartnomaning garov ta'minoti sifatida taqdim etilayotgan mulk "&amp;malumot!B131&amp;" rusumli avtotransport vositasini qonunga xilof ravishda o‘zlashtirmaslikka, yashirmaslikka, nobud qilmaslikka yoki unga shikast yetkazmaslik majburiyatini olaman."</f>
        <v xml:space="preserve">     Men, fuqaro XUDAYQULOV FAZLIDDIN SAIDOVICH «CLEVER MIKROMOLIYA TASHKILOTI» MChJ bilan 24 mart 2025 y. sanasidagi №656-XT-sonli shartnomaning garov ta'minoti sifatida taqdim etilayotgan mulk CHEVROLET DAMAS rusumli avtotransport vositasini qonunga xilof ravishda o‘zlashtirmaslikka, yashirmaslikka, nobud qilmaslikka yoki unga shikast yetkazmaslik majburiyatini olaman.</v>
      </c>
      <c r="B4" s="267"/>
    </row>
    <row r="5" spans="1:2" ht="56.25" customHeight="1">
      <c r="A5" s="342" t="s">
        <v>215</v>
      </c>
      <c r="B5" s="342"/>
    </row>
    <row r="6" spans="1:2" ht="42.75" customHeight="1"/>
    <row r="7" spans="1:2">
      <c r="A7" s="15" t="str">
        <f>malumot!B5</f>
        <v>XUDAYQULOV FAZLIDDIN SAIDOVICH</v>
      </c>
      <c r="B7" s="131" t="s">
        <v>216</v>
      </c>
    </row>
    <row r="8" spans="1:2" ht="26.25" customHeight="1"/>
    <row r="9" spans="1:2" ht="26.25" customHeight="1"/>
    <row r="10" spans="1:2" ht="26.25" customHeight="1"/>
    <row r="11" spans="1:2">
      <c r="A11" s="15" t="str">
        <f>"sana:   "&amp;TEXT(malumot!B2,"ДД.ММ.ГГГГ")&amp;" y."</f>
        <v>sana:   24.03.2025 y.</v>
      </c>
    </row>
  </sheetData>
  <mergeCells count="3">
    <mergeCell ref="A3:B3"/>
    <mergeCell ref="A4:B4"/>
    <mergeCell ref="A5:B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21">
    <tabColor rgb="FF00B050"/>
  </sheetPr>
  <dimension ref="A2:H33"/>
  <sheetViews>
    <sheetView view="pageBreakPreview" zoomScaleNormal="100" zoomScaleSheetLayoutView="100" workbookViewId="0">
      <selection activeCell="C5" sqref="C5:E5"/>
    </sheetView>
  </sheetViews>
  <sheetFormatPr defaultColWidth="9.140625" defaultRowHeight="15.75"/>
  <cols>
    <col min="1" max="2" width="17.42578125" style="118" customWidth="1"/>
    <col min="3" max="3" width="29.85546875" style="118" customWidth="1"/>
    <col min="4" max="4" width="18.140625" style="118" customWidth="1"/>
    <col min="5" max="5" width="6.5703125" style="118" customWidth="1"/>
    <col min="6" max="16384" width="9.140625" style="118"/>
  </cols>
  <sheetData>
    <row r="2" spans="1:5">
      <c r="A2" s="347" t="s">
        <v>237</v>
      </c>
      <c r="B2" s="347"/>
      <c r="C2" s="347"/>
      <c r="D2" s="347"/>
      <c r="E2" s="347"/>
    </row>
    <row r="3" spans="1:5">
      <c r="E3" s="117" t="str">
        <f>malumot!B68</f>
        <v>24 mart 2025 y.</v>
      </c>
    </row>
    <row r="5" spans="1:5" s="119" customFormat="1" ht="27" customHeight="1">
      <c r="A5" s="351" t="s">
        <v>238</v>
      </c>
      <c r="B5" s="352"/>
      <c r="C5" s="348" t="str">
        <f>malumot!B8</f>
        <v>XUDAYQULOV FAZLIDDIN SAIDOVICH</v>
      </c>
      <c r="D5" s="349"/>
      <c r="E5" s="350"/>
    </row>
    <row r="7" spans="1:5" ht="15.75" customHeight="1">
      <c r="A7" s="353" t="s">
        <v>355</v>
      </c>
      <c r="B7" s="354"/>
      <c r="C7" s="355"/>
      <c r="D7" s="120" t="s">
        <v>133</v>
      </c>
      <c r="E7" s="120"/>
    </row>
    <row r="8" spans="1:5">
      <c r="A8" s="356"/>
      <c r="B8" s="357"/>
      <c r="C8" s="358"/>
      <c r="D8" s="120" t="s">
        <v>242</v>
      </c>
      <c r="E8" s="120"/>
    </row>
    <row r="9" spans="1:5" ht="15.75" customHeight="1">
      <c r="A9" s="344" t="s">
        <v>239</v>
      </c>
      <c r="B9" s="344"/>
      <c r="C9" s="344"/>
      <c r="D9" s="120" t="s">
        <v>133</v>
      </c>
      <c r="E9" s="120"/>
    </row>
    <row r="10" spans="1:5">
      <c r="A10" s="344"/>
      <c r="B10" s="344"/>
      <c r="C10" s="344"/>
      <c r="D10" s="120" t="s">
        <v>242</v>
      </c>
      <c r="E10" s="120"/>
    </row>
    <row r="11" spans="1:5" ht="15.75" customHeight="1">
      <c r="A11" s="344" t="s">
        <v>240</v>
      </c>
      <c r="B11" s="344"/>
      <c r="C11" s="344"/>
      <c r="D11" s="120" t="s">
        <v>133</v>
      </c>
      <c r="E11" s="120"/>
    </row>
    <row r="12" spans="1:5">
      <c r="A12" s="344"/>
      <c r="B12" s="344"/>
      <c r="C12" s="344"/>
      <c r="D12" s="120" t="s">
        <v>242</v>
      </c>
      <c r="E12" s="120"/>
    </row>
    <row r="13" spans="1:5" ht="34.5" customHeight="1">
      <c r="A13" s="345" t="s">
        <v>241</v>
      </c>
      <c r="B13" s="345"/>
      <c r="C13" s="345"/>
      <c r="D13" s="345"/>
      <c r="E13" s="345"/>
    </row>
    <row r="14" spans="1:5" ht="16.5" thickBot="1">
      <c r="A14" s="346"/>
      <c r="B14" s="346"/>
      <c r="C14" s="346"/>
      <c r="D14" s="346"/>
      <c r="E14" s="346"/>
    </row>
    <row r="15" spans="1:5" ht="16.5" thickBot="1">
      <c r="A15" s="346"/>
      <c r="B15" s="346"/>
      <c r="C15" s="346"/>
      <c r="D15" s="346"/>
      <c r="E15" s="346"/>
    </row>
    <row r="16" spans="1:5" ht="16.5" thickBot="1">
      <c r="A16" s="346"/>
      <c r="B16" s="346"/>
      <c r="C16" s="346"/>
      <c r="D16" s="346"/>
      <c r="E16" s="346"/>
    </row>
    <row r="18" spans="1:8" ht="18.75" customHeight="1">
      <c r="A18" s="344" t="s">
        <v>243</v>
      </c>
      <c r="B18" s="344"/>
      <c r="C18" s="344"/>
      <c r="D18" s="120" t="s">
        <v>133</v>
      </c>
      <c r="E18" s="120"/>
    </row>
    <row r="19" spans="1:8" ht="18.75" customHeight="1">
      <c r="A19" s="344"/>
      <c r="B19" s="344"/>
      <c r="C19" s="344"/>
      <c r="D19" s="120" t="s">
        <v>242</v>
      </c>
      <c r="E19" s="120"/>
    </row>
    <row r="20" spans="1:8" ht="29.25" customHeight="1">
      <c r="A20" s="344" t="s">
        <v>244</v>
      </c>
      <c r="B20" s="344"/>
      <c r="C20" s="344"/>
      <c r="D20" s="120" t="s">
        <v>133</v>
      </c>
      <c r="E20" s="120"/>
    </row>
    <row r="21" spans="1:8" ht="29.25" customHeight="1">
      <c r="A21" s="344"/>
      <c r="B21" s="344"/>
      <c r="C21" s="344"/>
      <c r="D21" s="120" t="s">
        <v>242</v>
      </c>
      <c r="E21" s="120"/>
    </row>
    <row r="23" spans="1:8" ht="15.75" customHeight="1">
      <c r="A23" s="345" t="s">
        <v>245</v>
      </c>
      <c r="B23" s="345"/>
      <c r="C23" s="345"/>
      <c r="D23" s="345"/>
      <c r="E23" s="345"/>
    </row>
    <row r="24" spans="1:8" ht="16.5" thickBot="1">
      <c r="A24" s="346"/>
      <c r="B24" s="346"/>
      <c r="C24" s="346"/>
      <c r="D24" s="346"/>
      <c r="E24" s="346"/>
    </row>
    <row r="25" spans="1:8" ht="16.5" thickBot="1">
      <c r="A25" s="346"/>
      <c r="B25" s="346"/>
      <c r="C25" s="346"/>
      <c r="D25" s="346"/>
      <c r="E25" s="346"/>
    </row>
    <row r="26" spans="1:8" ht="16.5" thickBot="1">
      <c r="A26" s="346"/>
      <c r="B26" s="346"/>
      <c r="C26" s="346"/>
      <c r="D26" s="346"/>
      <c r="E26" s="346"/>
    </row>
    <row r="28" spans="1:8" ht="78.75" customHeight="1">
      <c r="A28" s="343" t="s">
        <v>246</v>
      </c>
      <c r="B28" s="343"/>
      <c r="C28" s="343"/>
      <c r="D28" s="343"/>
      <c r="E28" s="343"/>
    </row>
    <row r="30" spans="1:8" ht="33" customHeight="1">
      <c r="A30" s="343" t="s">
        <v>247</v>
      </c>
      <c r="B30" s="343"/>
      <c r="C30" s="343"/>
      <c r="D30" s="343"/>
      <c r="E30" s="343"/>
      <c r="F30" s="121"/>
      <c r="G30" s="121"/>
      <c r="H30" s="121"/>
    </row>
    <row r="33" spans="1:5" ht="16.5" thickBot="1">
      <c r="A33" s="122" t="str">
        <f>C5</f>
        <v>XUDAYQULOV FAZLIDDIN SAIDOVICH</v>
      </c>
      <c r="D33" s="123"/>
      <c r="E33" s="124"/>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6">
    <tabColor rgb="FF00B050"/>
  </sheetPr>
  <dimension ref="A1:E77"/>
  <sheetViews>
    <sheetView view="pageBreakPreview" zoomScaleSheetLayoutView="100" workbookViewId="0">
      <selection activeCell="O34" sqref="O34"/>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359" t="str">
        <f>""&amp;malumot!B153&amp;"ning
"&amp;malumot!A156&amp;""</f>
        <v>«CLEVER MIKROMOLIYA TASHKILOTI» MChJning
Xatirchi  filial boshlig'i</v>
      </c>
      <c r="D1" s="359"/>
    </row>
    <row r="2" spans="1:4">
      <c r="C2" s="13"/>
      <c r="D2" s="14" t="str">
        <f>""&amp;malumot!B156&amp;"ga"</f>
        <v>SH. Xayriyevga</v>
      </c>
    </row>
    <row r="4" spans="1:4">
      <c r="A4" s="264" t="str">
        <f>""&amp;malumot!C64&amp;" olish uchun Ariza"</f>
        <v>Mikroqarz olish uchun Ariza</v>
      </c>
      <c r="B4" s="264"/>
      <c r="C4" s="264"/>
      <c r="D4" s="264"/>
    </row>
    <row r="5" spans="1:4">
      <c r="A5" s="264"/>
      <c r="B5" s="264"/>
      <c r="C5" s="264"/>
      <c r="D5" s="264"/>
    </row>
    <row r="6" spans="1:4" ht="60" customHeight="1">
      <c r="A6" s="313" t="str">
        <f>""&amp;malumot!B28&amp;".-da yashovchi O‘zbekiston Respublikasi fuqarosi "&amp;malumot!B8&amp;"dan. "</f>
        <v xml:space="preserve">SAMARQAND VILOYATI KATTAQO'RG'ON TUMANI BURGANSOY MAHALLASI.-da yashovchi O‘zbekiston Respublikasi fuqarosi XUDAYQULOV FAZLIDDIN SAIDOVICHdan. </v>
      </c>
      <c r="B6" s="313"/>
      <c r="C6" s="313"/>
      <c r="D6" s="313"/>
    </row>
    <row r="7" spans="1:4" ht="15.75" customHeight="1">
      <c r="A7" s="313" t="str">
        <f>"Tug'ilgan kuni: "&amp;malumot!B15&amp;""</f>
        <v>Tug'ilgan kuni: 23.03.1974 y</v>
      </c>
      <c r="B7" s="313"/>
      <c r="C7" s="313"/>
      <c r="D7" s="313"/>
    </row>
    <row r="8" spans="1:4" ht="33" customHeight="1">
      <c r="A8" s="313" t="str">
        <f>"Pasport seriyasi: "&amp;malumot!B16&amp;" "&amp;malumot!B20&amp;""</f>
        <v>Pasport seriyasi: AD0901293 IIV 18215 tomonidan 10.12.2021 yilda berilgan</v>
      </c>
      <c r="B8" s="313"/>
      <c r="C8" s="313"/>
      <c r="D8" s="313"/>
    </row>
    <row r="9" spans="1:4" ht="16.5" customHeight="1">
      <c r="A9" s="313" t="str">
        <f>"Asosiy ish joyi : "&amp;malumot!B58&amp;""</f>
        <v>Asosiy ish joyi : Yakka tartibdagi tadbirkor</v>
      </c>
      <c r="B9" s="313"/>
      <c r="C9" s="313"/>
      <c r="D9" s="313"/>
    </row>
    <row r="10" spans="1:4" ht="15.75" customHeight="1">
      <c r="A10" s="313" t="str">
        <f>"Lavozimi: "&amp;malumot!B59&amp;""</f>
        <v>Lavozimi: Yakka tartibdagi tadbirkor</v>
      </c>
      <c r="B10" s="313"/>
      <c r="C10" s="313"/>
      <c r="D10" s="313"/>
    </row>
    <row r="11" spans="1:4">
      <c r="A11" s="313" t="str">
        <f>"O’rtacha oylik daromadi: "&amp;FIXED(malumot!B60,2)&amp;" so'm."</f>
        <v>O’rtacha oylik daromadi: 13 000 000,00 so'm.</v>
      </c>
      <c r="B11" s="313"/>
      <c r="C11" s="313"/>
      <c r="D11" s="313"/>
    </row>
    <row r="12" spans="1:4">
      <c r="A12" s="313" t="str">
        <f>"Menga quyidagi shartlarda "&amp;malumot!B65&amp;" berishingizni so’rayman:"</f>
        <v>Menga quyidagi shartlarda mikroqarz berishingizni so’rayman:</v>
      </c>
      <c r="B12" s="313"/>
      <c r="C12" s="313"/>
      <c r="D12" s="313"/>
    </row>
    <row r="13" spans="1:4">
      <c r="A13" s="313" t="str">
        <f>""&amp;malumot!C64&amp;" summasi: "&amp;FIXED(malumot!B75,2)&amp;" ("&amp;malumot!B76&amp;") so'm."</f>
        <v>Mikroqarz summasi: 35 000 000,00 (o'ttiz besh million so'm) so'm.</v>
      </c>
      <c r="B13" s="313"/>
      <c r="C13" s="313"/>
      <c r="D13" s="313"/>
    </row>
    <row r="14" spans="1:4">
      <c r="A14" s="313" t="str">
        <f>""&amp;malumot!C64&amp;" muddati: "&amp;malumot!B81&amp;" ("&amp;malumot!B82&amp;") oy."</f>
        <v>Mikroqarz muddati: 24 (yigirma to'rt) oy.</v>
      </c>
      <c r="B14" s="313"/>
      <c r="C14" s="313"/>
      <c r="D14" s="313"/>
    </row>
    <row r="15" spans="1:4" ht="17.25" customHeight="1">
      <c r="A15" s="313" t="str">
        <f>""&amp;malumot!C64&amp;"dan foydalanganlik uchun foiz stavkasi: yillik  "&amp;malumot!B85&amp;"% ("&amp;malumot!B86&amp;") foiz"</f>
        <v>Mikroqarzdan foydalanganlik uchun foiz stavkasi: yillik  60% (Oltmish) foiz</v>
      </c>
      <c r="B15" s="313"/>
      <c r="C15" s="313"/>
      <c r="D15" s="313"/>
    </row>
    <row r="16" spans="1:4">
      <c r="A16" s="313" t="str">
        <f>""&amp;malumot!C64&amp;" bo'yicha asosiy qarz va foizlarni to'lash:"</f>
        <v>Mikroqarz bo'yicha asosiy qarz va foizlarni to'lash:</v>
      </c>
      <c r="B16" s="313"/>
      <c r="C16" s="313"/>
      <c r="D16" s="313"/>
    </row>
    <row r="17" spans="1:5" ht="20.25" hidden="1" customHeight="1">
      <c r="A17" s="360" t="str">
        <f>" - "&amp;malumot!B65&amp;" shartnomasi bo'yicha har oy differensial to'lovlari amalga oshiriladi"</f>
        <v xml:space="preserve"> - mikroqarz shartnomasi bo'yicha har oy differensial to'lovlari amalga oshiriladi</v>
      </c>
      <c r="B17" s="360"/>
      <c r="C17" s="360"/>
      <c r="D17" s="360"/>
    </row>
    <row r="18" spans="1:5" ht="33.75" hidden="1" customHeight="1">
      <c r="A18" s="360" t="str">
        <f>" - "&amp;malumot!B65&amp;" shartnomasi bo'yicha har oy annuitet to'lovlari amalga oshiriladi"</f>
        <v xml:space="preserve"> - mikroqarz shartnomasi bo'yicha har oy annuitet to'lovlari amalga oshiriladi</v>
      </c>
      <c r="B18" s="360"/>
      <c r="C18" s="360"/>
      <c r="D18" s="360"/>
    </row>
    <row r="19" spans="1:5" ht="33.75" customHeight="1">
      <c r="A19" s="360" t="str">
        <f>IF(malumot!B77=malumot!C77,'Кредитная заявка'!A17:D17,IF(malumot!B77=malumot!D77,'Кредитная заявка'!A18:D18))</f>
        <v xml:space="preserve"> - mikroqarz shartnomasi bo'yicha har oy differensial to'lovlari amalga oshiriladi</v>
      </c>
      <c r="B19" s="360"/>
      <c r="C19" s="360"/>
      <c r="D19" s="360"/>
    </row>
    <row r="20" spans="1:5" ht="33.75" hidden="1" customHeight="1">
      <c r="A20" s="313" t="str">
        <f>IF(DAY(malumot!E67)&lt;15,"   ","  Oxirgi yakuniy to'lov "&amp;malumot!B65&amp;" shartnomasi tuzilgan kundan boshlab oxirgi oyning oxirgi kunida amalga oshiriladi")</f>
        <v xml:space="preserve">  Oxirgi yakuniy to'lov mikroqarz shartnomasi tuzilgan kundan boshlab oxirgi oyning oxirgi kunida amalga oshiriladi</v>
      </c>
      <c r="B20" s="313"/>
      <c r="C20" s="313"/>
      <c r="D20" s="313"/>
    </row>
    <row r="21" spans="1:5">
      <c r="A21" s="313" t="str">
        <f>""&amp;malumot!C64&amp;" ta’minoti::"</f>
        <v>Mikroqarz ta’minoti::</v>
      </c>
      <c r="B21" s="313"/>
      <c r="C21" s="313"/>
      <c r="D21" s="313"/>
    </row>
    <row r="22" spans="1:5" ht="72.75" customHeight="1">
      <c r="A22" s="360" t="str">
        <f>IF(malumot!B109="Avtotransport",A26,A23)</f>
        <v xml:space="preserve">  Egalik huquqi XUDAYKULOV MAVLUDDIN SAIDOVICHga tegishli bo'lgan garovga olingan avtomobil markasi   CHEVROLET DAMAS, rangi -  OQ BELAYA, ishlab chiqarilgan yili - 2019, davlat raqam belgisi 85O912KA, kuzov turi - YENGIL SEDAN, kuzov raqami XWB7T12YDKP150990, dvigatel raqami F8CB191310207, shassi raqami - RAKAMSIZ</v>
      </c>
      <c r="B22" s="360"/>
      <c r="C22" s="360"/>
      <c r="D22" s="360"/>
    </row>
    <row r="23" spans="1:5" ht="79.5" hidden="1" customHeight="1">
      <c r="A23" s="360" t="str">
        <f>IF(malumot!B98=malumot!C98,A25,IF(malumot!B98=malumot!D98,A24,0))</f>
        <v xml:space="preserve"> Egalik huquqi 0ga tegishli bo'lgan umumiy maydoni - 72,13  va yashash maydoni - 37,39 3 - xonali yakka tartibdagi uy-joy, SAMARQAND VILOYATI TAYLOQ TUMANI CHAROG'BON MFY YANGI TAYLOQ QISHLOG'I 6 TURAR JOY 12 QAVAT 58 XONADON </v>
      </c>
      <c r="B23" s="360"/>
      <c r="C23" s="360"/>
      <c r="D23" s="360"/>
    </row>
    <row r="24" spans="1:5" ht="96.75" hidden="1" customHeight="1">
      <c r="A24" s="360" t="str">
        <f>" - Navbatdagi garov (ipoteka) Egalik huquqi asosida  "&amp;malumot!C123&amp;"ga "&amp;malumot!C132&amp;", umumiy maydoni - "&amp;malumot!C136&amp;" va yashash maydoni - "&amp;malumot!C139&amp;", manzili: "&amp;malumot!C129&amp;"."</f>
        <v xml:space="preserve"> - Navbatdagi garov (ipoteka) Egalik huquqi asosida  0ga 3 - xonali yakka tartibdagi uy-joy, umumiy maydoni - 72,13 va yashash maydoni - 37,39, manzili: SAMARQAND VILOYATI TAYLOQ TUMANI CHAROG'BON MFY YANGI TAYLOQ QISHLOG'I 6 TURAR JOY 12 QAVAT 58 XONADON.</v>
      </c>
      <c r="B24" s="360"/>
      <c r="C24" s="360"/>
      <c r="D24" s="360"/>
      <c r="E24" s="149"/>
    </row>
    <row r="25" spans="1:5" ht="92.25" hidden="1" customHeight="1">
      <c r="A25" s="360" t="str">
        <f>" Egalik huquqi "&amp;malumot!C123&amp;"ga tegishli bo'lgan umumiy maydoni - "&amp;malumot!C136&amp;"  va yashash maydoni - "&amp;malumot!C139&amp;" "&amp;malumot!C132&amp;", "&amp;malumot!C129&amp;" "</f>
        <v xml:space="preserve"> Egalik huquqi 0ga tegishli bo'lgan umumiy maydoni - 72,13  va yashash maydoni - 37,39 3 - xonali yakka tartibdagi uy-joy, SAMARQAND VILOYATI TAYLOQ TUMANI CHAROG'BON MFY YANGI TAYLOQ QISHLOG'I 6 TURAR JOY 12 QAVAT 58 XONADON </v>
      </c>
      <c r="B25" s="360"/>
      <c r="C25" s="360"/>
      <c r="D25" s="360"/>
    </row>
    <row r="26" spans="1:5" ht="78" hidden="1" customHeight="1">
      <c r="A26" s="360" t="str">
        <f>IF(malumot!B98=malumot!C98,'Кредитная заявка'!A28:D28,IF(malumot!B98=malumot!D98,'Кредитная заявка'!A27:D27,0))</f>
        <v xml:space="preserve">  Egalik huquqi XUDAYKULOV MAVLUDDIN SAIDOVICHga tegishli bo'lgan garovga olingan avtomobil markasi   CHEVROLET DAMAS, rangi -  OQ BELAYA, ishlab chiqarilgan yili - 2019, davlat raqam belgisi 85O912KA, kuzov turi - YENGIL SEDAN, kuzov raqami XWB7T12YDKP150990, dvigatel raqami F8CB191310207, shassi raqami - RAKAMSIZ</v>
      </c>
      <c r="B26" s="360"/>
      <c r="C26" s="360"/>
      <c r="D26" s="360"/>
    </row>
    <row r="27" spans="1:5" ht="93" hidden="1" customHeight="1">
      <c r="A27" s="360" t="str">
        <f>" Egalik huquqi "&amp;malumot!B123&amp;"ga tegishli bo'lgan "&amp;malumot!B131&amp;", "&amp;malumot!B139&amp;", davlat raqam belgisi "&amp;malumot!B132&amp;", "&amp;malumot!B133&amp;", "&amp;malumot!B136&amp;" avtotransport vositasi "</f>
        <v xml:space="preserve"> Egalik huquqi XUDAYKULOV MAVLUDDIN SAIDOVICHga tegishli bo'lgan CHEVROLET DAMAS, rangi -  OQ BELAYA, ishlab chiqarilgan yili - 2019, davlat raqam belgisi 85O912KA, kuzov turi - YENGIL SEDAN, kuzov raqami XWB7T12YDKP150990, dvigatel raqami F8CB191310207, shassi raqami - RAKAMSIZ avtotransport vositasi </v>
      </c>
      <c r="B27" s="360"/>
      <c r="C27" s="360"/>
      <c r="D27" s="360"/>
    </row>
    <row r="28" spans="1:5" ht="93.75" hidden="1" customHeight="1">
      <c r="A28" s="360" t="str">
        <f>"  Egalik huquqi "&amp;malumot!B123&amp;"ga tegishli bo'lgan garovga olingan avtomobil markasi   "&amp;malumot!B131&amp;", "&amp;malumot!B139&amp;", davlat raqam belgisi "&amp;malumot!B132&amp;", "&amp;malumot!B133&amp;", "&amp;malumot!B136&amp;""</f>
        <v xml:space="preserve">  Egalik huquqi XUDAYKULOV MAVLUDDIN SAIDOVICHga tegishli bo'lgan garovga olingan avtomobil markasi   CHEVROLET DAMAS, rangi -  OQ BELAYA, ishlab chiqarilgan yili - 2019, davlat raqam belgisi 85O912KA, kuzov turi - YENGIL SEDAN, kuzov raqami XWB7T12YDKP150990, dvigatel raqami F8CB191310207, shassi raqami - RAKAMSIZ</v>
      </c>
      <c r="B28" s="360"/>
      <c r="C28" s="360"/>
      <c r="D28" s="360"/>
    </row>
    <row r="29" spans="1:5" ht="10.5" customHeight="1">
      <c r="A29" s="313"/>
      <c r="B29" s="313"/>
      <c r="C29" s="313"/>
      <c r="D29" s="313"/>
    </row>
    <row r="30" spans="1:5" ht="53.25" customHeight="1">
      <c r="A30" s="360" t="str">
        <f>"Mazkur ariza bilan "&amp;malumot!B153&amp;"ga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360"/>
      <c r="C30" s="360"/>
      <c r="D30" s="360"/>
    </row>
    <row r="31" spans="1:5" ht="15.75" customHeight="1">
      <c r="A31" s="360" t="s">
        <v>248</v>
      </c>
      <c r="B31" s="360"/>
      <c r="C31" s="360"/>
      <c r="D31" s="360"/>
    </row>
    <row r="32" spans="1:5">
      <c r="A32" s="360" t="s">
        <v>249</v>
      </c>
      <c r="B32" s="360"/>
      <c r="C32" s="360"/>
      <c r="D32" s="360"/>
    </row>
    <row r="33" spans="1:4">
      <c r="A33" s="360" t="s">
        <v>250</v>
      </c>
      <c r="B33" s="360"/>
      <c r="C33" s="360"/>
      <c r="D33" s="360"/>
    </row>
    <row r="34" spans="1:4">
      <c r="A34" s="313" t="str">
        <f>"Ariza berilgan sana: "&amp;TEXT(malumot!B2,"ДД.ММ.ГГГГ")&amp;"y."</f>
        <v>Ariza berilgan sana: 24.03.2025y.</v>
      </c>
      <c r="B34" s="313"/>
      <c r="C34" s="313"/>
      <c r="D34" s="313"/>
    </row>
    <row r="35" spans="1:4">
      <c r="A35" s="313"/>
      <c r="B35" s="313"/>
      <c r="C35" s="313"/>
      <c r="D35" s="313"/>
    </row>
    <row r="36" spans="1:4">
      <c r="A36" s="313" t="s">
        <v>251</v>
      </c>
      <c r="B36" s="313"/>
      <c r="C36" s="313"/>
      <c r="D36" s="313"/>
    </row>
    <row r="37" spans="1:4">
      <c r="A37" s="313"/>
      <c r="B37" s="313"/>
      <c r="C37" s="313"/>
      <c r="D37" s="313"/>
    </row>
    <row r="38" spans="1:4">
      <c r="A38" s="313"/>
      <c r="B38" s="313"/>
      <c r="C38" s="313"/>
      <c r="D38" s="313"/>
    </row>
    <row r="39" spans="1:4" ht="15.75" customHeight="1">
      <c r="A39" s="315" t="str">
        <f>malumot!B5</f>
        <v>XUDAYQULOV FAZLIDDIN SAIDOVICH</v>
      </c>
      <c r="B39" s="315"/>
      <c r="C39" s="315"/>
      <c r="D39" s="11" t="s">
        <v>4</v>
      </c>
    </row>
    <row r="40" spans="1:4">
      <c r="A40" s="10"/>
      <c r="B40" s="10"/>
      <c r="D40" s="12" t="s">
        <v>330</v>
      </c>
    </row>
    <row r="41" spans="1:4">
      <c r="A41" s="313"/>
      <c r="B41" s="313"/>
      <c r="C41" s="313"/>
      <c r="D41" s="313"/>
    </row>
    <row r="42" spans="1:4">
      <c r="A42" s="313"/>
      <c r="B42" s="313"/>
      <c r="C42" s="313"/>
      <c r="D42" s="313"/>
    </row>
    <row r="43" spans="1:4">
      <c r="A43" s="313"/>
      <c r="B43" s="313"/>
      <c r="C43" s="313"/>
      <c r="D43" s="313"/>
    </row>
    <row r="44" spans="1:4">
      <c r="A44" s="313"/>
      <c r="B44" s="313"/>
      <c r="C44" s="313"/>
      <c r="D44" s="313"/>
    </row>
    <row r="45" spans="1:4">
      <c r="A45" s="313"/>
      <c r="B45" s="313"/>
      <c r="C45" s="313"/>
      <c r="D45" s="313"/>
    </row>
    <row r="46" spans="1:4">
      <c r="A46" s="313"/>
      <c r="B46" s="313"/>
      <c r="C46" s="313"/>
      <c r="D46" s="313"/>
    </row>
    <row r="47" spans="1:4">
      <c r="A47" s="313"/>
      <c r="B47" s="313"/>
      <c r="C47" s="313"/>
      <c r="D47" s="313"/>
    </row>
    <row r="48" spans="1:4">
      <c r="A48" s="313"/>
      <c r="B48" s="313"/>
      <c r="C48" s="313"/>
      <c r="D48" s="313"/>
    </row>
    <row r="49" spans="1:4">
      <c r="A49" s="313"/>
      <c r="B49" s="313"/>
      <c r="C49" s="313"/>
      <c r="D49" s="313"/>
    </row>
    <row r="50" spans="1:4">
      <c r="A50" s="313"/>
      <c r="B50" s="313"/>
      <c r="C50" s="313"/>
      <c r="D50" s="313"/>
    </row>
    <row r="51" spans="1:4">
      <c r="A51" s="313"/>
      <c r="B51" s="313"/>
      <c r="C51" s="313"/>
      <c r="D51" s="313"/>
    </row>
    <row r="52" spans="1:4">
      <c r="A52" s="313"/>
      <c r="B52" s="313"/>
      <c r="C52" s="313"/>
      <c r="D52" s="313"/>
    </row>
    <row r="53" spans="1:4">
      <c r="A53" s="313"/>
      <c r="B53" s="313"/>
      <c r="C53" s="313"/>
      <c r="D53" s="313"/>
    </row>
    <row r="54" spans="1:4">
      <c r="A54" s="313"/>
      <c r="B54" s="313"/>
      <c r="C54" s="313"/>
      <c r="D54" s="313"/>
    </row>
    <row r="55" spans="1:4">
      <c r="A55" s="313"/>
      <c r="B55" s="313"/>
      <c r="C55" s="313"/>
      <c r="D55" s="313"/>
    </row>
    <row r="56" spans="1:4">
      <c r="A56" s="313"/>
      <c r="B56" s="313"/>
      <c r="C56" s="313"/>
      <c r="D56" s="313"/>
    </row>
    <row r="57" spans="1:4">
      <c r="A57" s="313"/>
      <c r="B57" s="313"/>
      <c r="C57" s="313"/>
      <c r="D57" s="313"/>
    </row>
    <row r="58" spans="1:4">
      <c r="A58" s="313"/>
      <c r="B58" s="313"/>
      <c r="C58" s="313"/>
      <c r="D58" s="313"/>
    </row>
    <row r="59" spans="1:4">
      <c r="A59" s="313"/>
      <c r="B59" s="313"/>
      <c r="C59" s="313"/>
      <c r="D59" s="313"/>
    </row>
    <row r="60" spans="1:4">
      <c r="A60" s="313"/>
      <c r="B60" s="313"/>
      <c r="C60" s="313"/>
      <c r="D60" s="313"/>
    </row>
    <row r="61" spans="1:4">
      <c r="A61" s="313"/>
      <c r="B61" s="313"/>
      <c r="C61" s="313"/>
      <c r="D61" s="313"/>
    </row>
    <row r="62" spans="1:4">
      <c r="A62" s="313"/>
      <c r="B62" s="313"/>
      <c r="C62" s="313"/>
      <c r="D62" s="313"/>
    </row>
    <row r="63" spans="1:4">
      <c r="A63" s="313"/>
      <c r="B63" s="313"/>
      <c r="C63" s="313"/>
      <c r="D63" s="313"/>
    </row>
    <row r="64" spans="1:4">
      <c r="A64" s="313"/>
      <c r="B64" s="313"/>
      <c r="C64" s="313"/>
      <c r="D64" s="313"/>
    </row>
    <row r="65" spans="1:4">
      <c r="A65" s="313"/>
      <c r="B65" s="313"/>
      <c r="C65" s="313"/>
      <c r="D65" s="313"/>
    </row>
    <row r="66" spans="1:4">
      <c r="A66" s="313"/>
      <c r="B66" s="313"/>
      <c r="C66" s="313"/>
      <c r="D66" s="313"/>
    </row>
    <row r="67" spans="1:4">
      <c r="A67" s="313"/>
      <c r="B67" s="313"/>
      <c r="C67" s="313"/>
      <c r="D67" s="313"/>
    </row>
    <row r="68" spans="1:4">
      <c r="A68" s="313"/>
      <c r="B68" s="313"/>
      <c r="C68" s="313"/>
      <c r="D68" s="313"/>
    </row>
    <row r="69" spans="1:4">
      <c r="A69" s="313"/>
      <c r="B69" s="313"/>
      <c r="C69" s="313"/>
      <c r="D69" s="313"/>
    </row>
    <row r="70" spans="1:4">
      <c r="A70" s="313"/>
      <c r="B70" s="313"/>
      <c r="C70" s="313"/>
      <c r="D70" s="313"/>
    </row>
    <row r="71" spans="1:4">
      <c r="A71" s="313"/>
      <c r="B71" s="313"/>
      <c r="C71" s="313"/>
      <c r="D71" s="313"/>
    </row>
    <row r="72" spans="1:4">
      <c r="A72" s="313"/>
      <c r="B72" s="313"/>
      <c r="C72" s="313"/>
      <c r="D72" s="313"/>
    </row>
    <row r="73" spans="1:4">
      <c r="A73" s="313"/>
      <c r="B73" s="313"/>
      <c r="C73" s="313"/>
      <c r="D73" s="313"/>
    </row>
    <row r="74" spans="1:4">
      <c r="A74" s="313"/>
      <c r="B74" s="313"/>
      <c r="C74" s="313"/>
      <c r="D74" s="313"/>
    </row>
    <row r="75" spans="1:4">
      <c r="A75" s="313"/>
      <c r="B75" s="313"/>
      <c r="C75" s="313"/>
      <c r="D75" s="313"/>
    </row>
    <row r="76" spans="1:4">
      <c r="A76" s="313"/>
      <c r="B76" s="313"/>
      <c r="C76" s="313"/>
      <c r="D76" s="313"/>
    </row>
    <row r="77" spans="1:4">
      <c r="A77" s="313"/>
      <c r="B77" s="313"/>
      <c r="C77" s="313"/>
      <c r="D77" s="313"/>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8">
    <tabColor rgb="FF00B050"/>
  </sheetPr>
  <dimension ref="A5:B28"/>
  <sheetViews>
    <sheetView view="pageBreakPreview" topLeftCell="A5" zoomScaleNormal="100" zoomScaleSheetLayoutView="100" workbookViewId="0">
      <selection activeCell="A13" sqref="A13:B13"/>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malumot!B154</f>
        <v>«CLEVER MIKROMOLIYA TASHKILOTI» MChJ</v>
      </c>
    </row>
    <row r="7" spans="1:2" ht="33" customHeight="1">
      <c r="A7" s="168"/>
      <c r="B7" s="159" t="str">
        <f>""&amp;malumot!A156&amp;" "&amp;malumot!B156&amp;"ga"</f>
        <v>Xatirchi  filial boshlig'i SH. Xayriyevga</v>
      </c>
    </row>
    <row r="8" spans="1:2">
      <c r="A8" s="150"/>
      <c r="B8" s="159" t="str">
        <f>""&amp;malumot!B117&amp;"dan"</f>
        <v>XUDAYKULOV MAVLUDDIN SAIDOVICHdan</v>
      </c>
    </row>
    <row r="9" spans="1:2" ht="15.75" hidden="1" customHeight="1">
      <c r="B9" s="7" t="str">
        <f>malumot!B117</f>
        <v>XUDAYKULOV MAVLUDDIN SAIDOVICH</v>
      </c>
    </row>
    <row r="10" spans="1:2" ht="15.75" hidden="1" customHeight="1">
      <c r="B10" s="7">
        <f>malumot!C117</f>
        <v>0</v>
      </c>
    </row>
    <row r="11" spans="1:2" ht="15.75" hidden="1" customHeight="1">
      <c r="B11" s="150" t="s">
        <v>273</v>
      </c>
    </row>
    <row r="12" spans="1:2"/>
    <row r="13" spans="1:2" ht="115.5" customHeight="1">
      <c r="A13" s="360" t="str">
        <f>IF(malumot!B109="Avtotransport",A14,A15)</f>
        <v>XUDAYQULOV FAZLIDDIN SAIDOVICH tomonidan so’ralayotgan 24 (yigirma to'rt) oy muddatga, 35 000 000 (o'ttiz besh million so'm) miqdoridagi mikroqarzning ta’minoti sifatida menga mulk huquqi asosida tegishli bo’lgan  CHEVROLET DAMAS, kuzov turi - YENGIL SEDAN, kuzov raqami XWB7T12YDKP150990, dvigatel raqami F8CB191310207, shassi raqami - RAKAMSIZ, rangi -  OQ BELAYA, ishlab chiqarilgan yili - 2019, avtotransport vositasini qabul qilishingizni so’rayman:</v>
      </c>
      <c r="B13" s="360"/>
    </row>
    <row r="14" spans="1:2" ht="124.5" hidden="1" customHeight="1">
      <c r="A14" s="360" t="str">
        <f>""&amp;malumot!B12&amp;" tomonidan so’ralayotgan "&amp;malumot!B81&amp;" ("&amp;malumot!B82&amp;") oy muddatga, "&amp;FIXED(malumot!B75,0)&amp;" ("&amp;malumot!B76&amp;") miqdoridagi "&amp;malumot!B65&amp;"ning ta’minoti sifatida menga mulk huquqi asosida tegishli bo’lgan  "&amp;malumot!B131&amp;", "&amp;malumot!B133&amp;", "&amp;malumot!B136&amp;", "&amp;malumot!B139&amp;", avtotransport vositasini qabul qilishingizni so’rayman:"</f>
        <v>XUDAYQULOV FAZLIDDIN SAIDOVICH tomonidan so’ralayotgan 24 (yigirma to'rt) oy muddatga, 35 000 000 (o'ttiz besh million so'm) miqdoridagi mikroqarzning ta’minoti sifatida menga mulk huquqi asosida tegishli bo’lgan  CHEVROLET DAMAS, kuzov turi - YENGIL SEDAN, kuzov raqami XWB7T12YDKP150990, dvigatel raqami F8CB191310207, shassi raqami - RAKAMSIZ, rangi -  OQ BELAYA, ishlab chiqarilgan yili - 2019, avtotransport vositasini qabul qilishingizni so’rayman:</v>
      </c>
      <c r="B14" s="360"/>
    </row>
    <row r="15" spans="1:2" ht="116.25" hidden="1" customHeight="1">
      <c r="A15" s="360" t="str">
        <f>""&amp;malumot!B12&amp;" tomonidan so’ralayotgan "&amp;malumot!B81&amp;" ("&amp;malumot!B82&amp;") oy muddatga, "&amp;FIXED(malumot!B75,0)&amp;" ("&amp;malumot!B76&amp;") miqdoridagi "&amp;malumot!B65&amp;"ning ta’minoti sifatida menga mulk huquqi asosida tegishli bo’lgan  "&amp;malumot!C132&amp;", umumiy maydoni "&amp;malumot!C136&amp;" va yashash maydoni "&amp;malumot!C139&amp;"  "&amp;malumot!C129&amp;" manzilda joylashgan ko'chmas mulkni qabul qilishingizni so’rayman:"</f>
        <v>XUDAYQULOV FAZLIDDIN SAIDOVICH tomonidan so’ralayotgan 24 (yigirma to'rt) oy muddatga, 35 000 000 (o'ttiz besh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60"/>
    </row>
    <row r="16" spans="1:2"/>
    <row r="17" spans="1:2"/>
    <row r="18" spans="1:2">
      <c r="B18" s="7" t="s">
        <v>272</v>
      </c>
    </row>
    <row r="19" spans="1:2" ht="18.75" customHeight="1">
      <c r="A19" s="6" t="str">
        <f>IF(malumot!B100=malumot!C100,malumot!B118,malumot!B7)</f>
        <v>XUDAYKULOV .M.S</v>
      </c>
      <c r="B19" s="56" t="str">
        <f>malumot!B2</f>
        <v>24.03.2025</v>
      </c>
    </row>
    <row r="20" spans="1:2" ht="71.25" customHeight="1">
      <c r="A20" s="317" t="str">
        <f>IF(malumot!B100=malumot!D100,CONCATENATE(A24," ",A28,A22),"")</f>
        <v/>
      </c>
      <c r="B20" s="317"/>
    </row>
    <row r="21" spans="1:2">
      <c r="A21" s="6" t="s">
        <v>27</v>
      </c>
    </row>
    <row r="22" spans="1:2" hidden="1">
      <c r="A22" s="6" t="str">
        <f>" xususiy faoliyat ko'rsatuvchi notarius tomonidan "&amp;malumot!B104&amp;" "&amp;malumot!B105&amp;" berilgan ishonchnomaga asosan "</f>
        <v xml:space="preserve"> xususiy faoliyat ko'rsatuvchi notarius tomonidan   berilgan ishonchnomaga asosan </v>
      </c>
    </row>
    <row r="24" spans="1:2" hidden="1">
      <c r="A24" s="6" t="str">
        <f>"№"&amp;malumot!B106&amp; ""</f>
        <v>№</v>
      </c>
    </row>
    <row r="25" spans="1:2" hidden="1">
      <c r="A25" s="6" t="str">
        <f>malumot!B108</f>
        <v>00.01.1900</v>
      </c>
    </row>
    <row r="26" spans="1:2" hidden="1">
      <c r="A26" s="6" t="str">
        <f>TEXT(A25,"ДД.ММ.ГГГГ")</f>
        <v>00.01.1900</v>
      </c>
    </row>
    <row r="27" spans="1:2" hidden="1">
      <c r="A27" s="6" t="s">
        <v>384</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4" t="s">
        <v>49</v>
      </c>
    </row>
    <row r="3" spans="1:5">
      <c r="A3" s="104" t="s">
        <v>50</v>
      </c>
    </row>
    <row r="6" spans="1:5" ht="20.25" customHeight="1">
      <c r="E6" s="105" t="s">
        <v>36</v>
      </c>
    </row>
    <row r="7" spans="1:5">
      <c r="E7" s="105" t="s">
        <v>51</v>
      </c>
    </row>
    <row r="9" spans="1:5" ht="107.25" customHeight="1">
      <c r="A9" s="362" t="str">
        <f>"          Между ООО «Clever Mikrokredit Tashkiloti» и "&amp;malumot!B5&amp;"  (паспорт: "&amp;malumot!B16&amp;" "&amp;malumot!B20&amp;") заключен договор микрозайма "&amp;malumot!B74&amp;", на сумму "&amp;FIXED(malumot!B75)&amp;" ("&amp;malumot!B76&amp;") сум, сроком на "&amp;malumot!B81&amp;" ("&amp;malumot!B82&amp;") месяцев. В качестве своевременного исполнения обязательств по договору Микрозайма "&amp;malumot!B74&amp;" планирует предоставить нижеследующее "&amp;IF(malumot!B109=malumot!C109,"автотранспортного средство марки "&amp;malumot!B131&amp;" принадлежащее на правах собственности "&amp;malumot!B123&amp;"","недвижимого имущества в виде "&amp;malumot!C132&amp;", общей площадью - "&amp;malumot!C136&amp;" и жилой площадью - "&amp;malumot!C139&amp;", расположенного по адресу: "&amp;malumot!C129&amp;", принадлежащее на правах собственности "&amp;malumot!C123&amp;".")</f>
        <v xml:space="preserve">          Между ООО «Clever Mikrokredit Tashkiloti» и XUDAYQULOV FAZLIDDIN SAIDOVICH  (паспорт: AD0901293 IIV 18215 tomonidan 10.12.2021 yilda berilgan) заключен договор микрозайма 24 mart 2025 y.dan №656-XT, на сумму 35 000 000,00 (o'ttiz besh million so'm) сум, сроком на 24 (yigirma to'rt) месяцев. В качестве своевременного исполнения обязательств по договору Микрозайма 24 mart 2025 y.dan №656-XT планирует предоставить нижеследующее автотранспортного средство марки CHEVROLET DAMAS принадлежащее на правах собственности XUDAYKULOV MAVLUDDIN SAIDOVICH</v>
      </c>
      <c r="B9" s="362"/>
      <c r="C9" s="362"/>
      <c r="D9" s="362"/>
      <c r="E9" s="362"/>
    </row>
    <row r="11" spans="1:5" ht="28.5">
      <c r="A11" s="39" t="str">
        <f>buyruq!A19</f>
        <v>Nomi</v>
      </c>
      <c r="B11" s="39" t="str">
        <f>buyruq!B19</f>
        <v>Kuzov turi  va kuzov raqami*</v>
      </c>
      <c r="C11" s="39" t="str">
        <f>buyruq!C19</f>
        <v>Dvigatel va shassi raqami*</v>
      </c>
      <c r="D11" s="39" t="str">
        <f>buyruq!D19</f>
        <v>Ishlab chiqarilgan yili va rangi*</v>
      </c>
      <c r="E11" s="39" t="str">
        <f>buyruq!E19</f>
        <v>Kelishilgan garov qiymati, so'm</v>
      </c>
    </row>
    <row r="12" spans="1:5" ht="73.5" customHeight="1">
      <c r="A12" s="39" t="str">
        <f>buyruq!A20</f>
        <v>CHEVROLET DAMAS</v>
      </c>
      <c r="B12" s="39" t="str">
        <f>buyruq!B20</f>
        <v>kuzov turi - YENGIL SEDAN, kuzov raqami XWB7T12YDKP150990</v>
      </c>
      <c r="C12" s="39" t="str">
        <f>buyruq!C20</f>
        <v>dvigatel raqami F8CB191310207, shassi raqami - RAKAMSIZ</v>
      </c>
      <c r="D12" s="39" t="str">
        <f>buyruq!D20</f>
        <v>rangi -  OQ BELAYA, ishlab chiqarilgan yili - 2019</v>
      </c>
      <c r="E12" s="39" t="str">
        <f>buyruq!E20</f>
        <v>52 500 000,00 
(ellik ikki million besh yuz ming so'm)</v>
      </c>
    </row>
    <row r="13" spans="1:5">
      <c r="A13" s="366" t="str">
        <f>buyruq!A21:E21</f>
        <v>-* avtotransport egasi: XUDAYKULOV MAVLUDDIN SAIDOVICH</v>
      </c>
      <c r="B13" s="366"/>
      <c r="C13" s="366"/>
      <c r="D13" s="366"/>
      <c r="E13" s="366"/>
    </row>
    <row r="14" spans="1:5">
      <c r="A14" s="366" t="str">
        <f>buyruq!A22:E22</f>
        <v>-* texnik pasport: AAG 0638366    21.12.2022</v>
      </c>
      <c r="B14" s="366"/>
      <c r="C14" s="366"/>
      <c r="D14" s="366"/>
      <c r="E14" s="366"/>
    </row>
    <row r="15" spans="1:5">
      <c r="A15" s="366" t="str">
        <f>buyruq!A23:E23</f>
        <v>-* roʻyxatdan oʻtgan manzili/garaj manzili: NAVOIY VILOYATI XATIRCHI TUMANI YANGIRABOD MAHALLASI 105-UY</v>
      </c>
      <c r="B15" s="366"/>
      <c r="C15" s="366"/>
      <c r="D15" s="366"/>
      <c r="E15" s="366"/>
    </row>
    <row r="16" spans="1:5">
      <c r="A16" s="366" t="str">
        <f>buyruq!A24:E24</f>
        <v>-* davlat raqami: 85O912KA</v>
      </c>
      <c r="B16" s="366"/>
      <c r="C16" s="366"/>
      <c r="D16" s="366"/>
      <c r="E16" s="366"/>
    </row>
    <row r="17" spans="1:5" ht="3" customHeight="1"/>
    <row r="19" spans="1:5" ht="59.25" hidden="1" customHeight="1">
      <c r="A19" s="39" t="str">
        <f>dalolatnoma!A32</f>
        <v>Наименование</v>
      </c>
      <c r="B19" s="39" t="str">
        <f>dalolatnoma!B32</f>
        <v>Полезная площадь</v>
      </c>
      <c r="C19" s="39" t="str">
        <f>dalolatnoma!C32</f>
        <v>Жилая площадь</v>
      </c>
      <c r="D19" s="39" t="str">
        <f>dalolatnoma!D32</f>
        <v>Общая площадь</v>
      </c>
      <c r="E19" s="39" t="str">
        <f>dalolatnoma!E32</f>
        <v>Согласованная залоговая стоимость, сум</v>
      </c>
    </row>
    <row r="20" spans="1:5" ht="17.25" hidden="1" customHeight="1">
      <c r="A20" s="17" t="e">
        <f>dalolatnoma!A33</f>
        <v>#REF!</v>
      </c>
      <c r="B20" s="17" t="e">
        <f>dalolatnoma!B33</f>
        <v>#REF!</v>
      </c>
      <c r="C20" s="17" t="e">
        <f>dalolatnoma!C33</f>
        <v>#REF!</v>
      </c>
      <c r="D20" s="17" t="e">
        <f>dalolatnoma!D33</f>
        <v>#REF!</v>
      </c>
      <c r="E20" s="307" t="str">
        <f>""&amp;FIXED(malumot!C142,2)&amp;" ("&amp;malumot!C143&amp;")"</f>
        <v>52 500 000,00 (ellik ikki million besh yuz ming so'm)</v>
      </c>
    </row>
    <row r="21" spans="1:5" ht="17.25" hidden="1" customHeight="1">
      <c r="A21" s="17">
        <f>dalolatnoma!A34</f>
        <v>0</v>
      </c>
      <c r="B21" s="17">
        <f>dalolatnoma!B34</f>
        <v>0</v>
      </c>
      <c r="C21" s="17">
        <f>dalolatnoma!C34</f>
        <v>0</v>
      </c>
      <c r="D21" s="17">
        <f>dalolatnoma!D34</f>
        <v>0</v>
      </c>
      <c r="E21" s="308"/>
    </row>
    <row r="22" spans="1:5" ht="17.25" hidden="1" customHeight="1">
      <c r="A22" s="17" t="e">
        <f>dalolatnoma!A35</f>
        <v>#REF!</v>
      </c>
      <c r="B22" s="17" t="e">
        <f>dalolatnoma!B35</f>
        <v>#REF!</v>
      </c>
      <c r="C22" s="17" t="e">
        <f>dalolatnoma!C35</f>
        <v>#REF!</v>
      </c>
      <c r="D22" s="17" t="e">
        <f>dalolatnoma!D35</f>
        <v>#REF!</v>
      </c>
      <c r="E22" s="308"/>
    </row>
    <row r="23" spans="1:5" ht="17.25" hidden="1" customHeight="1">
      <c r="A23" s="17" t="e">
        <f>dalolatnoma!A36</f>
        <v>#REF!</v>
      </c>
      <c r="B23" s="17" t="e">
        <f>dalolatnoma!B36</f>
        <v>#REF!</v>
      </c>
      <c r="C23" s="17" t="e">
        <f>dalolatnoma!C36</f>
        <v>#REF!</v>
      </c>
      <c r="D23" s="17" t="e">
        <f>dalolatnoma!D36</f>
        <v>#REF!</v>
      </c>
      <c r="E23" s="308"/>
    </row>
    <row r="24" spans="1:5" ht="17.25" hidden="1" customHeight="1">
      <c r="A24" s="17" t="e">
        <f>dalolatnoma!A37</f>
        <v>#REF!</v>
      </c>
      <c r="B24" s="17" t="e">
        <f>dalolatnoma!B37</f>
        <v>#REF!</v>
      </c>
      <c r="C24" s="17" t="e">
        <f>dalolatnoma!C37</f>
        <v>#REF!</v>
      </c>
      <c r="D24" s="17" t="e">
        <f>dalolatnoma!D37</f>
        <v>#REF!</v>
      </c>
      <c r="E24" s="308"/>
    </row>
    <row r="25" spans="1:5" ht="15.75" hidden="1" customHeight="1">
      <c r="A25" s="17" t="e">
        <f>dalolatnoma!A38</f>
        <v>#REF!</v>
      </c>
      <c r="B25" s="17" t="e">
        <f>dalolatnoma!B38</f>
        <v>#REF!</v>
      </c>
      <c r="C25" s="17" t="e">
        <f>dalolatnoma!C38</f>
        <v>#REF!</v>
      </c>
      <c r="D25" s="17" t="e">
        <f>dalolatnoma!D38</f>
        <v>#REF!</v>
      </c>
      <c r="E25" s="308"/>
    </row>
    <row r="26" spans="1:5" ht="17.25" hidden="1" customHeight="1">
      <c r="A26" s="17" t="e">
        <f>dalolatnoma!A39</f>
        <v>#REF!</v>
      </c>
      <c r="B26" s="17" t="e">
        <f>dalolatnoma!B39</f>
        <v>#REF!</v>
      </c>
      <c r="C26" s="17" t="e">
        <f>dalolatnoma!C39</f>
        <v>#REF!</v>
      </c>
      <c r="D26" s="17" t="e">
        <f>dalolatnoma!D39</f>
        <v>#REF!</v>
      </c>
      <c r="E26" s="308"/>
    </row>
    <row r="27" spans="1:5" ht="17.25" hidden="1" customHeight="1">
      <c r="A27" s="17" t="e">
        <f>dalolatnoma!A40</f>
        <v>#REF!</v>
      </c>
      <c r="B27" s="17" t="e">
        <f>dalolatnoma!B40</f>
        <v>#REF!</v>
      </c>
      <c r="C27" s="17" t="e">
        <f>dalolatnoma!C40</f>
        <v>#REF!</v>
      </c>
      <c r="D27" s="17" t="e">
        <f>dalolatnoma!D40</f>
        <v>#REF!</v>
      </c>
      <c r="E27" s="308"/>
    </row>
    <row r="28" spans="1:5" ht="17.25" hidden="1" customHeight="1">
      <c r="A28" s="17" t="e">
        <f>dalolatnoma!A41</f>
        <v>#REF!</v>
      </c>
      <c r="B28" s="17" t="e">
        <f>dalolatnoma!B41</f>
        <v>#REF!</v>
      </c>
      <c r="C28" s="17" t="e">
        <f>dalolatnoma!C41</f>
        <v>#REF!</v>
      </c>
      <c r="D28" s="17" t="e">
        <f>dalolatnoma!D41</f>
        <v>#REF!</v>
      </c>
      <c r="E28" s="308"/>
    </row>
    <row r="29" spans="1:5" ht="17.25" hidden="1" customHeight="1">
      <c r="A29" s="17" t="e">
        <f>dalolatnoma!A42</f>
        <v>#REF!</v>
      </c>
      <c r="B29" s="17" t="e">
        <f>dalolatnoma!B42</f>
        <v>#REF!</v>
      </c>
      <c r="C29" s="17" t="e">
        <f>dalolatnoma!C42</f>
        <v>#REF!</v>
      </c>
      <c r="D29" s="17" t="e">
        <f>dalolatnoma!D42</f>
        <v>#REF!</v>
      </c>
      <c r="E29" s="308"/>
    </row>
    <row r="30" spans="1:5" ht="17.25" hidden="1" customHeight="1">
      <c r="A30" s="17" t="e">
        <f>dalolatnoma!A43</f>
        <v>#REF!</v>
      </c>
      <c r="B30" s="17" t="e">
        <f>dalolatnoma!B43</f>
        <v>#REF!</v>
      </c>
      <c r="C30" s="17" t="e">
        <f>dalolatnoma!C43</f>
        <v>#REF!</v>
      </c>
      <c r="D30" s="17" t="e">
        <f>dalolatnoma!D43</f>
        <v>#REF!</v>
      </c>
      <c r="E30" s="309"/>
    </row>
    <row r="31" spans="1:5" ht="17.25" hidden="1" customHeight="1">
      <c r="A31" s="17" t="e">
        <f>dalolatnoma!A44</f>
        <v>#REF!</v>
      </c>
      <c r="B31" s="17" t="e">
        <f>dalolatnoma!B44</f>
        <v>#REF!</v>
      </c>
      <c r="C31" s="17" t="e">
        <f>dalolatnoma!C44</f>
        <v>#REF!</v>
      </c>
      <c r="D31" s="17" t="e">
        <f>dalolatnoma!D44</f>
        <v>#REF!</v>
      </c>
      <c r="E31" s="17" t="str">
        <f>dalolatnoma!E44</f>
        <v>52 500 000,00</v>
      </c>
    </row>
    <row r="32" spans="1:5" ht="18.75" hidden="1" customHeight="1">
      <c r="A32" s="362" t="e">
        <f ca="1">_xlfn.SINGLE(dalolatnoma!#REF!)</f>
        <v>#NAME?</v>
      </c>
      <c r="B32" s="362"/>
      <c r="C32" s="362"/>
      <c r="D32" s="362"/>
      <c r="E32" s="362"/>
    </row>
    <row r="33" spans="1:5" ht="24.75" hidden="1" customHeight="1">
      <c r="A33" s="362" t="e">
        <f ca="1">_xlfn.SINGLE(dalolatnoma!#REF!)</f>
        <v>#NAME?</v>
      </c>
      <c r="B33" s="362"/>
      <c r="C33" s="362"/>
      <c r="D33" s="362"/>
      <c r="E33" s="362"/>
    </row>
    <row r="34" spans="1:5" ht="30.75" hidden="1" customHeight="1">
      <c r="A34" s="362" t="e">
        <f ca="1">_xlfn.SINGLE(dalolatnoma!#REF!)</f>
        <v>#NAME?</v>
      </c>
      <c r="B34" s="362"/>
      <c r="C34" s="362"/>
      <c r="D34" s="362"/>
      <c r="E34" s="362"/>
    </row>
    <row r="35" spans="1:5" ht="15" hidden="1" customHeight="1">
      <c r="A35" s="362" t="e">
        <f ca="1">_xlfn.SINGLE(dalolatnoma!#REF!)</f>
        <v>#NAME?</v>
      </c>
      <c r="B35" s="362"/>
      <c r="C35" s="362"/>
      <c r="D35" s="362"/>
      <c r="E35" s="362"/>
    </row>
    <row r="36" spans="1:5">
      <c r="A36" s="22"/>
      <c r="B36" s="22"/>
      <c r="C36" s="22"/>
      <c r="D36" s="22"/>
      <c r="E36" s="22"/>
    </row>
    <row r="37" spans="1:5" s="126" customFormat="1" ht="51" customHeight="1">
      <c r="A37" s="365"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65"/>
      <c r="C37" s="365"/>
      <c r="D37" s="365"/>
      <c r="E37" s="365"/>
    </row>
    <row r="38" spans="1:5" ht="40.5" customHeight="1">
      <c r="A38" s="362" t="str">
        <f>dalolatnoma!A47:E47</f>
        <v>Shu bilan birga, garov predmetining kelishilgan garov qiymati deganda ushbu mulk garov sifatida taqdim etilgan/qabul qilingan qiymati tushuniladi.</v>
      </c>
      <c r="B38" s="362"/>
      <c r="C38" s="362"/>
      <c r="D38" s="362"/>
      <c r="E38" s="362"/>
    </row>
    <row r="39" spans="1:5" ht="39" customHeight="1">
      <c r="A39" s="362"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24 mart 2025 y.dan №656-XT, при сохранении запрета.</v>
      </c>
      <c r="B39" s="362"/>
      <c r="C39" s="362"/>
      <c r="D39" s="362"/>
      <c r="E39" s="362"/>
    </row>
    <row r="40" spans="1:5">
      <c r="A40" s="363"/>
      <c r="B40" s="363"/>
      <c r="C40" s="363"/>
      <c r="D40" s="363"/>
      <c r="E40" s="363"/>
    </row>
    <row r="41" spans="1:5">
      <c r="A41" s="364" t="s">
        <v>37</v>
      </c>
      <c r="B41" s="364"/>
      <c r="C41" s="364"/>
      <c r="D41" s="364"/>
      <c r="E41" s="364"/>
    </row>
    <row r="42" spans="1:5">
      <c r="A42" s="363"/>
      <c r="B42" s="363"/>
      <c r="C42" s="363"/>
      <c r="D42" s="363"/>
      <c r="E42" s="363"/>
    </row>
    <row r="43" spans="1:5">
      <c r="A43" s="364" t="s">
        <v>38</v>
      </c>
      <c r="B43" s="364"/>
      <c r="C43" s="364"/>
      <c r="D43" s="364"/>
      <c r="E43" s="364"/>
    </row>
    <row r="44" spans="1:5" ht="28.5" customHeight="1">
      <c r="A44" s="361" t="s">
        <v>39</v>
      </c>
      <c r="B44" s="361"/>
      <c r="C44" s="361"/>
      <c r="D44" s="361"/>
      <c r="E44" s="106"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5">
    <tabColor rgb="FF00B050"/>
  </sheetPr>
  <dimension ref="A1:I30"/>
  <sheetViews>
    <sheetView view="pageBreakPreview" topLeftCell="A10" zoomScaleNormal="100" zoomScaleSheetLayoutView="100" workbookViewId="0">
      <selection activeCell="H5" sqref="H5"/>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74" t="str">
        <f>""&amp;" "&amp;malumot!B74&amp;"-sonli "&amp;" "&amp;malumot!C64&amp;" shartnomasi bo‘yicha
 garovga qo‘yilgan mol-mulkni tekshirish bo’yicha "&amp;malumot!B5&amp;" bilan tuzilgan dalolatnomasi"</f>
        <v xml:space="preserve"> 24 mart 2025 y.dan №656-XT-sonli  Mikroqarz shartnomasi bo‘yicha
 garovga qo‘yilgan mol-mulkni tekshirish bo’yicha XUDAYQULOV FAZLIDDIN SAIDOVICH bilan tuzilgan dalolatnomasi</v>
      </c>
      <c r="B2" s="374"/>
      <c r="C2" s="374"/>
      <c r="D2" s="374"/>
      <c r="E2" s="374"/>
      <c r="F2" s="374"/>
      <c r="G2" s="374"/>
      <c r="H2" s="374"/>
      <c r="I2" s="31"/>
    </row>
    <row r="3" spans="1:9">
      <c r="A3" s="374"/>
      <c r="B3" s="374"/>
      <c r="C3" s="374"/>
      <c r="D3" s="374"/>
      <c r="E3" s="374"/>
      <c r="F3" s="374"/>
      <c r="G3" s="374"/>
      <c r="H3" s="374"/>
      <c r="I3" s="31"/>
    </row>
    <row r="5" spans="1:9">
      <c r="A5" s="24" t="s">
        <v>203</v>
      </c>
      <c r="F5" s="151"/>
      <c r="H5" s="136" t="str">
        <f>TEXT(malumot!D2,"ДД.ММ.ГГГГ")</f>
        <v>20.09.2025</v>
      </c>
    </row>
    <row r="7" spans="1:9" ht="45" customHeight="1">
      <c r="A7" s="373" t="str">
        <f>"      Men, “СLEVER MIKROMOLYA TASHKILOTI” "&amp;malumot!A156&amp;"i "&amp;malumot!B156&amp;", jismoniy shaxs "&amp;" "&amp;malumot!B5&amp;" "&amp;" "&amp;malumot!B74&amp;"-sonli "&amp;malumot!B65&amp;" shartnomasi bo‘yicha garovga qo‘yilgan mol-mulkni ko‘zdan kechirdim"</f>
        <v xml:space="preserve">      Men, “СLEVER MIKROMOLYA TASHKILOTI” Xatirchi  filial boshlig'ii SH. Xayriyev, jismoniy shaxs  XUDAYQULOV FAZLIDDIN SAIDOVICH  24 mart 2025 y.dan №656-XT-sonli mikroqarz shartnomasi bo‘yicha garovga qo‘yilgan mol-mulkni ko‘zdan kechirdim</v>
      </c>
      <c r="B7" s="373"/>
      <c r="C7" s="373"/>
      <c r="D7" s="373"/>
      <c r="E7" s="373"/>
      <c r="F7" s="373"/>
      <c r="G7" s="373"/>
      <c r="H7" s="373"/>
    </row>
    <row r="8" spans="1:9" ht="19.5" customHeight="1">
      <c r="A8" s="368" t="s">
        <v>274</v>
      </c>
      <c r="B8" s="368"/>
      <c r="C8" s="368"/>
      <c r="D8" s="368"/>
      <c r="E8" s="368"/>
      <c r="F8" s="368"/>
      <c r="G8" s="368"/>
      <c r="H8" s="368"/>
    </row>
    <row r="9" spans="1:9" s="137" customFormat="1" ht="32.25" customHeight="1">
      <c r="A9" s="369" t="str">
        <f>dalolatnoma!A20</f>
        <v>Nomi</v>
      </c>
      <c r="B9" s="370"/>
      <c r="C9" s="369" t="str">
        <f>dalolatnoma!B20</f>
        <v>Kuzov turi  va kuzov raqami*</v>
      </c>
      <c r="D9" s="370"/>
      <c r="E9" s="369" t="str">
        <f>dalolatnoma!D20</f>
        <v>Dvigatel va shassi raqami*</v>
      </c>
      <c r="F9" s="370"/>
      <c r="G9" s="369" t="str">
        <f>dalolatnoma!E20</f>
        <v>Ishlab chiqarilgan yili va rangi**</v>
      </c>
      <c r="H9" s="370"/>
    </row>
    <row r="10" spans="1:9" s="135" customFormat="1" ht="58.5" customHeight="1">
      <c r="A10" s="371" t="str">
        <f>dalolatnoma!A21</f>
        <v>CHEVROLET DAMAS</v>
      </c>
      <c r="B10" s="371"/>
      <c r="C10" s="371" t="str">
        <f>dalolatnoma!B21</f>
        <v>kuzov turi - YENGIL SEDAN, kuzov raqami XWB7T12YDKP150990</v>
      </c>
      <c r="D10" s="371"/>
      <c r="E10" s="371" t="str">
        <f>dalolatnoma!D21</f>
        <v>dvigatel raqami F8CB191310207, shassi raqami - RAKAMSIZ</v>
      </c>
      <c r="F10" s="371"/>
      <c r="G10" s="371" t="str">
        <f>dalolatnoma!E21</f>
        <v>rangi -  OQ BELAYA, ishlab chiqarilgan yili - 2019</v>
      </c>
      <c r="H10" s="371"/>
    </row>
    <row r="11" spans="1:9" ht="19.5" customHeight="1">
      <c r="A11" s="372" t="str">
        <f>dalolatnoma!A22:E22</f>
        <v>-* avtotransport egasi: XUDAYKULOV MAVLUDDIN SAIDOVICH</v>
      </c>
      <c r="B11" s="372"/>
      <c r="C11" s="372"/>
      <c r="D11" s="372"/>
      <c r="E11" s="372"/>
      <c r="F11" s="372"/>
      <c r="G11" s="372"/>
      <c r="H11" s="372"/>
    </row>
    <row r="12" spans="1:9" ht="19.5" customHeight="1">
      <c r="A12" s="372" t="str">
        <f>dalolatnoma!A23:E23</f>
        <v>-* texnik pasport: AAG 0638366    21.12.2022</v>
      </c>
      <c r="B12" s="372"/>
      <c r="C12" s="372"/>
      <c r="D12" s="372"/>
      <c r="E12" s="372"/>
      <c r="F12" s="372"/>
      <c r="G12" s="372"/>
      <c r="H12" s="372"/>
    </row>
    <row r="13" spans="1:9" ht="19.5" customHeight="1">
      <c r="A13" s="372" t="str">
        <f>dalolatnoma!A24:E24</f>
        <v>-* roʻyxatdan oʻtgan manzili/garaj manzili: NAVOIY VILOYATI XATIRCHI TUMANI YANGIRABOD MAHALLASI 105-UY</v>
      </c>
      <c r="B13" s="372"/>
      <c r="C13" s="372"/>
      <c r="D13" s="372"/>
      <c r="E13" s="372"/>
      <c r="F13" s="372"/>
      <c r="G13" s="372"/>
      <c r="H13" s="372"/>
    </row>
    <row r="14" spans="1:9" ht="19.5" customHeight="1">
      <c r="A14" s="372" t="str">
        <f>dalolatnoma!A25:E25</f>
        <v>-* davlat raqami: 85O912KA</v>
      </c>
      <c r="B14" s="372"/>
      <c r="C14" s="372"/>
      <c r="D14" s="372"/>
      <c r="E14" s="372"/>
      <c r="F14" s="372"/>
      <c r="G14" s="372"/>
      <c r="H14" s="372"/>
    </row>
    <row r="15" spans="1:9" ht="33.75" customHeight="1">
      <c r="A15" s="375" t="str">
        <f>+"Shu bilan birga, yuqoridagi mulkning kelishilgan garov qiymati "&amp;dalolatnoma!E30</f>
        <v>Shu bilan birga, yuqoridagi mulkning kelishilgan garov qiymati 52 500 000,00 
(ellik ikki million besh yuz ming so'm)</v>
      </c>
      <c r="B15" s="375"/>
      <c r="C15" s="375"/>
      <c r="D15" s="375"/>
      <c r="E15" s="375"/>
      <c r="F15" s="375"/>
      <c r="G15" s="375"/>
      <c r="H15" s="375"/>
    </row>
    <row r="17" spans="1:8" ht="27" customHeight="1">
      <c r="A17" s="367" t="s">
        <v>275</v>
      </c>
      <c r="B17" s="367"/>
      <c r="C17" s="367"/>
      <c r="D17" s="367"/>
      <c r="E17" s="367"/>
      <c r="F17" s="367"/>
      <c r="G17" s="367"/>
      <c r="H17" s="367"/>
    </row>
    <row r="21" spans="1:8" s="31" customFormat="1"/>
    <row r="22" spans="1:8" s="31" customFormat="1">
      <c r="A22" s="31" t="str">
        <f>malumot!A156</f>
        <v>Xatirchi  filial boshlig'i</v>
      </c>
      <c r="H22" s="138" t="str">
        <f>malumot!B156</f>
        <v>SH. Xayriyev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XUDAYQULOV .F.S</v>
      </c>
    </row>
    <row r="27" spans="1:8" s="31" customFormat="1"/>
    <row r="28" spans="1:8" s="31" customFormat="1"/>
    <row r="29" spans="1:8" s="31" customFormat="1"/>
    <row r="30" spans="1:8" s="31" customFormat="1"/>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6">
    <tabColor rgb="FF00B050"/>
  </sheetPr>
  <dimension ref="A1:I29"/>
  <sheetViews>
    <sheetView view="pageBreakPreview" topLeftCell="A11" zoomScale="115" zoomScaleNormal="100" zoomScaleSheetLayoutView="115" workbookViewId="0">
      <selection activeCell="P40" sqref="P40"/>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74" t="str">
        <f>""&amp;" "&amp;malumot!B74&amp;"-sonli "&amp;" "&amp;malumot!C64&amp;" shartnomasi bo‘yicha
 garovga qo‘yilgan mol-mulkni tekshirish bo’yicha "&amp;malumot!B5&amp;" bilan tuzilgan dalolatnomasi"</f>
        <v xml:space="preserve"> 24 mart 2025 y.dan №656-XT-sonli  Mikroqarz shartnomasi bo‘yicha
 garovga qo‘yilgan mol-mulkni tekshirish bo’yicha XUDAYQULOV FAZLIDDIN SAIDOVICH bilan tuzilgan dalolatnomasi</v>
      </c>
      <c r="B2" s="374"/>
      <c r="C2" s="374"/>
      <c r="D2" s="374"/>
      <c r="E2" s="374"/>
      <c r="F2" s="374"/>
      <c r="G2" s="374"/>
      <c r="H2" s="374"/>
      <c r="I2" s="31"/>
    </row>
    <row r="3" spans="1:9">
      <c r="A3" s="374"/>
      <c r="B3" s="374"/>
      <c r="C3" s="374"/>
      <c r="D3" s="374"/>
      <c r="E3" s="374"/>
      <c r="F3" s="374"/>
      <c r="G3" s="374"/>
      <c r="H3" s="374"/>
      <c r="I3" s="31"/>
    </row>
    <row r="5" spans="1:9">
      <c r="A5" s="24" t="s">
        <v>203</v>
      </c>
      <c r="H5" s="136" t="str">
        <f>TEXT(+malumot!B2+360,"ДД.ММ.ГГГГ")</f>
        <v>19.03.2026</v>
      </c>
    </row>
    <row r="7" spans="1:9" ht="45" customHeight="1">
      <c r="A7" s="373" t="str">
        <f>"      Men, "&amp;malumot!B153&amp;" "&amp;malumot!A156&amp;"i "&amp;malumot!B156&amp;", jismoniy shaxs "&amp;" "&amp;malumot!B5&amp;" "&amp;" "&amp;malumot!B74&amp;"-sonli "&amp;malumot!C64&amp;" shartnomasi bo‘yicha garovga qo‘yilgan mol-mulkni ko‘zdan kechirdim"</f>
        <v xml:space="preserve">      Men, «CLEVER MIKROMOLIYA TASHKILOTI» MChJ Xatirchi  filial boshlig'ii SH. Xayriyev, jismoniy shaxs  XUDAYQULOV FAZLIDDIN SAIDOVICH  24 mart 2025 y.dan №656-XT-sonli Mikroqarz shartnomasi bo‘yicha garovga qo‘yilgan mol-mulkni ko‘zdan kechirdim</v>
      </c>
      <c r="B7" s="373"/>
      <c r="C7" s="373"/>
      <c r="D7" s="373"/>
      <c r="E7" s="373"/>
      <c r="F7" s="373"/>
      <c r="G7" s="373"/>
      <c r="H7" s="373"/>
    </row>
    <row r="8" spans="1:9" ht="19.5" customHeight="1">
      <c r="A8" s="368" t="s">
        <v>274</v>
      </c>
      <c r="B8" s="368"/>
      <c r="C8" s="368"/>
      <c r="D8" s="368"/>
      <c r="E8" s="368"/>
      <c r="F8" s="368"/>
      <c r="G8" s="368"/>
      <c r="H8" s="368"/>
    </row>
    <row r="9" spans="1:9" s="137" customFormat="1" ht="32.25" customHeight="1">
      <c r="A9" s="369" t="str">
        <f>' Акт мониторинга 1'!A9</f>
        <v>Nomi</v>
      </c>
      <c r="B9" s="370"/>
      <c r="C9" s="369" t="str">
        <f>' Акт мониторинга 1'!C9</f>
        <v>Kuzov turi  va kuzov raqami*</v>
      </c>
      <c r="D9" s="370"/>
      <c r="E9" s="369" t="str">
        <f>' Акт мониторинга 1'!E9</f>
        <v>Dvigatel va shassi raqami*</v>
      </c>
      <c r="F9" s="370"/>
      <c r="G9" s="369" t="str">
        <f>' Акт мониторинга 1'!G9</f>
        <v>Ishlab chiqarilgan yili va rangi**</v>
      </c>
      <c r="H9" s="370"/>
    </row>
    <row r="10" spans="1:9" s="135" customFormat="1" ht="58.5" customHeight="1">
      <c r="A10" s="371" t="str">
        <f>' Акт мониторинга 1'!A10</f>
        <v>CHEVROLET DAMAS</v>
      </c>
      <c r="B10" s="371"/>
      <c r="C10" s="371" t="str">
        <f>' Акт мониторинга 1'!C10</f>
        <v>kuzov turi - YENGIL SEDAN, kuzov raqami XWB7T12YDKP150990</v>
      </c>
      <c r="D10" s="371"/>
      <c r="E10" s="371" t="str">
        <f>' Акт мониторинга 1'!E10</f>
        <v>dvigatel raqami F8CB191310207, shassi raqami - RAKAMSIZ</v>
      </c>
      <c r="F10" s="371"/>
      <c r="G10" s="371" t="str">
        <f>' Акт мониторинга 1'!G10</f>
        <v>rangi -  OQ BELAYA, ishlab chiqarilgan yili - 2019</v>
      </c>
      <c r="H10" s="371"/>
    </row>
    <row r="11" spans="1:9" ht="19.5" customHeight="1">
      <c r="A11" s="372" t="str">
        <f>dalolatnoma!A22:E22</f>
        <v>-* avtotransport egasi: XUDAYKULOV MAVLUDDIN SAIDOVICH</v>
      </c>
      <c r="B11" s="372"/>
      <c r="C11" s="372"/>
      <c r="D11" s="372"/>
      <c r="E11" s="372"/>
      <c r="F11" s="372"/>
      <c r="G11" s="372"/>
      <c r="H11" s="372"/>
    </row>
    <row r="12" spans="1:9" ht="19.5" customHeight="1">
      <c r="A12" s="372" t="str">
        <f>dalolatnoma!A23:E23</f>
        <v>-* texnik pasport: AAG 0638366    21.12.2022</v>
      </c>
      <c r="B12" s="372"/>
      <c r="C12" s="372"/>
      <c r="D12" s="372"/>
      <c r="E12" s="372"/>
      <c r="F12" s="372"/>
      <c r="G12" s="372"/>
      <c r="H12" s="372"/>
    </row>
    <row r="13" spans="1:9" ht="19.5" customHeight="1">
      <c r="A13" s="372" t="str">
        <f>dalolatnoma!A24:E24</f>
        <v>-* roʻyxatdan oʻtgan manzili/garaj manzili: NAVOIY VILOYATI XATIRCHI TUMANI YANGIRABOD MAHALLASI 105-UY</v>
      </c>
      <c r="B13" s="372"/>
      <c r="C13" s="372"/>
      <c r="D13" s="372"/>
      <c r="E13" s="372"/>
      <c r="F13" s="372"/>
      <c r="G13" s="372"/>
      <c r="H13" s="372"/>
    </row>
    <row r="14" spans="1:9" ht="19.5" customHeight="1">
      <c r="A14" s="372" t="str">
        <f>dalolatnoma!A25:E25</f>
        <v>-* davlat raqami: 85O912KA</v>
      </c>
      <c r="B14" s="372"/>
      <c r="C14" s="372"/>
      <c r="D14" s="372"/>
      <c r="E14" s="372"/>
      <c r="F14" s="372"/>
      <c r="G14" s="372"/>
      <c r="H14" s="372"/>
    </row>
    <row r="15" spans="1:9" ht="33.75" customHeight="1">
      <c r="A15" s="375" t="str">
        <f>+"Shu bilan birga, yuqoridagi mulkning kelishilgan garov qiymati "&amp;dalolatnoma!E30</f>
        <v>Shu bilan birga, yuqoridagi mulkning kelishilgan garov qiymati 52 500 000,00 
(ellik ikki million besh yuz ming so'm)</v>
      </c>
      <c r="B15" s="375"/>
      <c r="C15" s="375"/>
      <c r="D15" s="375"/>
      <c r="E15" s="375"/>
      <c r="F15" s="375"/>
      <c r="G15" s="375"/>
      <c r="H15" s="375"/>
    </row>
    <row r="17" spans="1:8" ht="35.25" customHeight="1">
      <c r="A17" s="367" t="s">
        <v>275</v>
      </c>
      <c r="B17" s="367"/>
      <c r="C17" s="367"/>
      <c r="D17" s="367"/>
      <c r="E17" s="367"/>
      <c r="F17" s="367"/>
      <c r="G17" s="367"/>
      <c r="H17" s="367"/>
    </row>
    <row r="21" spans="1:8" s="31" customFormat="1"/>
    <row r="22" spans="1:8" s="31" customFormat="1">
      <c r="A22" s="31" t="str">
        <f>malumot!A156</f>
        <v>Xatirchi  filial boshlig'i</v>
      </c>
      <c r="H22" s="138" t="str">
        <f>malumot!B156</f>
        <v>SH. Xayriyev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XUDAYQULOV .F.S</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7">
    <tabColor rgb="FF00B050"/>
  </sheetPr>
  <dimension ref="A1:I29"/>
  <sheetViews>
    <sheetView view="pageBreakPreview" topLeftCell="A7"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74" t="str">
        <f>""&amp;" "&amp;malumot!B74&amp;"-sonli "&amp;" "&amp;malumot!C64&amp;" shartnomasi bo‘yicha
 garovga qo‘yilgan mol-mulkni tekshirish bo’yicha "&amp;malumot!B5&amp;" bilan tuzilgan dalolatnomasi"</f>
        <v xml:space="preserve"> 24 mart 2025 y.dan №656-XT-sonli  Mikroqarz shartnomasi bo‘yicha
 garovga qo‘yilgan mol-mulkni tekshirish bo’yicha XUDAYQULOV FAZLIDDIN SAIDOVICH bilan tuzilgan dalolatnomasi</v>
      </c>
      <c r="B2" s="374"/>
      <c r="C2" s="374"/>
      <c r="D2" s="374"/>
      <c r="E2" s="374"/>
      <c r="F2" s="374"/>
      <c r="G2" s="374"/>
      <c r="H2" s="374"/>
      <c r="I2" s="31"/>
    </row>
    <row r="3" spans="1:9">
      <c r="A3" s="374"/>
      <c r="B3" s="374"/>
      <c r="C3" s="374"/>
      <c r="D3" s="374"/>
      <c r="E3" s="374"/>
      <c r="F3" s="374"/>
      <c r="G3" s="374"/>
      <c r="H3" s="374"/>
      <c r="I3" s="31"/>
    </row>
    <row r="5" spans="1:9">
      <c r="A5" s="24" t="s">
        <v>203</v>
      </c>
      <c r="H5" s="136" t="str">
        <f>TEXT(+malumot!B2+540,"ДД.ММ.ГГГГ")</f>
        <v>15.09.2026</v>
      </c>
    </row>
    <row r="7" spans="1:9" ht="45" customHeight="1">
      <c r="A7" s="373" t="str">
        <f>"      Men, "&amp;malumot!B153&amp;" "&amp;malumot!A156&amp;"i "&amp;malumot!B156&amp;", jismoniy shaxs "&amp;" "&amp;malumot!B5&amp;" "&amp;" "&amp;malumot!B74&amp;"-sonli "&amp;malumot!C64&amp;" shartnomasi bo‘yicha garovga qo‘yilgan mol-mulkni ko‘zdan kechirdim"</f>
        <v xml:space="preserve">      Men, «CLEVER MIKROMOLIYA TASHKILOTI» MChJ Xatirchi  filial boshlig'ii SH. Xayriyev, jismoniy shaxs  XUDAYQULOV FAZLIDDIN SAIDOVICH  24 mart 2025 y.dan №656-XT-sonli Mikroqarz shartnomasi bo‘yicha garovga qo‘yilgan mol-mulkni ko‘zdan kechirdim</v>
      </c>
      <c r="B7" s="373"/>
      <c r="C7" s="373"/>
      <c r="D7" s="373"/>
      <c r="E7" s="373"/>
      <c r="F7" s="373"/>
      <c r="G7" s="373"/>
      <c r="H7" s="373"/>
    </row>
    <row r="8" spans="1:9" ht="19.5" customHeight="1">
      <c r="A8" s="368" t="s">
        <v>274</v>
      </c>
      <c r="B8" s="368"/>
      <c r="C8" s="368"/>
      <c r="D8" s="368"/>
      <c r="E8" s="368"/>
      <c r="F8" s="368"/>
      <c r="G8" s="368"/>
      <c r="H8" s="368"/>
    </row>
    <row r="9" spans="1:9" s="137" customFormat="1" ht="32.25" customHeight="1">
      <c r="A9" s="369" t="str">
        <f>' Акт мониторинга 1'!A9</f>
        <v>Nomi</v>
      </c>
      <c r="B9" s="370"/>
      <c r="C9" s="369" t="str">
        <f>' Акт мониторинга 1'!C9</f>
        <v>Kuzov turi  va kuzov raqami*</v>
      </c>
      <c r="D9" s="370"/>
      <c r="E9" s="369" t="str">
        <f>' Акт мониторинга 1'!E9</f>
        <v>Dvigatel va shassi raqami*</v>
      </c>
      <c r="F9" s="370"/>
      <c r="G9" s="369" t="str">
        <f>' Акт мониторинга 1'!G9</f>
        <v>Ishlab chiqarilgan yili va rangi**</v>
      </c>
      <c r="H9" s="370"/>
    </row>
    <row r="10" spans="1:9" s="135" customFormat="1" ht="58.5" customHeight="1">
      <c r="A10" s="376" t="str">
        <f>' Акт мониторинга 1'!A10</f>
        <v>CHEVROLET DAMAS</v>
      </c>
      <c r="B10" s="377"/>
      <c r="C10" s="376" t="str">
        <f>' Акт мониторинга 1'!C10</f>
        <v>kuzov turi - YENGIL SEDAN, kuzov raqami XWB7T12YDKP150990</v>
      </c>
      <c r="D10" s="377"/>
      <c r="E10" s="376" t="str">
        <f>' Акт мониторинга 1'!E10</f>
        <v>dvigatel raqami F8CB191310207, shassi raqami - RAKAMSIZ</v>
      </c>
      <c r="F10" s="377"/>
      <c r="G10" s="376" t="str">
        <f>' Акт мониторинга 1'!G10</f>
        <v>rangi -  OQ BELAYA, ishlab chiqarilgan yili - 2019</v>
      </c>
      <c r="H10" s="377"/>
    </row>
    <row r="11" spans="1:9" ht="19.5" customHeight="1">
      <c r="A11" s="372" t="str">
        <f>dalolatnoma!A22:E22</f>
        <v>-* avtotransport egasi: XUDAYKULOV MAVLUDDIN SAIDOVICH</v>
      </c>
      <c r="B11" s="372"/>
      <c r="C11" s="372"/>
      <c r="D11" s="372"/>
      <c r="E11" s="372"/>
      <c r="F11" s="372"/>
      <c r="G11" s="372"/>
      <c r="H11" s="372"/>
    </row>
    <row r="12" spans="1:9" ht="19.5" customHeight="1">
      <c r="A12" s="372" t="str">
        <f>dalolatnoma!A23:E23</f>
        <v>-* texnik pasport: AAG 0638366    21.12.2022</v>
      </c>
      <c r="B12" s="372"/>
      <c r="C12" s="372"/>
      <c r="D12" s="372"/>
      <c r="E12" s="372"/>
      <c r="F12" s="372"/>
      <c r="G12" s="372"/>
      <c r="H12" s="372"/>
    </row>
    <row r="13" spans="1:9" ht="19.5" customHeight="1">
      <c r="A13" s="372" t="str">
        <f>dalolatnoma!A24:E24</f>
        <v>-* roʻyxatdan oʻtgan manzili/garaj manzili: NAVOIY VILOYATI XATIRCHI TUMANI YANGIRABOD MAHALLASI 105-UY</v>
      </c>
      <c r="B13" s="372"/>
      <c r="C13" s="372"/>
      <c r="D13" s="372"/>
      <c r="E13" s="372"/>
      <c r="F13" s="372"/>
      <c r="G13" s="372"/>
      <c r="H13" s="372"/>
    </row>
    <row r="14" spans="1:9" ht="19.5" customHeight="1">
      <c r="A14" s="372" t="str">
        <f>dalolatnoma!A25:E25</f>
        <v>-* davlat raqami: 85O912KA</v>
      </c>
      <c r="B14" s="372"/>
      <c r="C14" s="372"/>
      <c r="D14" s="372"/>
      <c r="E14" s="372"/>
      <c r="F14" s="372"/>
      <c r="G14" s="372"/>
      <c r="H14" s="372"/>
    </row>
    <row r="15" spans="1:9" ht="33.75" customHeight="1">
      <c r="A15" s="375" t="str">
        <f>+"Shu bilan birga, yuqoridagi mulkning kelishilgan garov qiymati "&amp;dalolatnoma!E30</f>
        <v>Shu bilan birga, yuqoridagi mulkning kelishilgan garov qiymati 52 500 000,00 
(ellik ikki million besh yuz ming so'm)</v>
      </c>
      <c r="B15" s="375"/>
      <c r="C15" s="375"/>
      <c r="D15" s="375"/>
      <c r="E15" s="375"/>
      <c r="F15" s="375"/>
      <c r="G15" s="375"/>
      <c r="H15" s="375"/>
    </row>
    <row r="17" spans="1:8" s="135" customFormat="1" ht="32.25" customHeight="1">
      <c r="A17" s="367" t="s">
        <v>275</v>
      </c>
      <c r="B17" s="367"/>
      <c r="C17" s="367"/>
      <c r="D17" s="367"/>
      <c r="E17" s="367"/>
      <c r="F17" s="367"/>
      <c r="G17" s="367"/>
      <c r="H17" s="367"/>
    </row>
    <row r="21" spans="1:8" s="31" customFormat="1"/>
    <row r="22" spans="1:8" s="31" customFormat="1">
      <c r="A22" s="31" t="str">
        <f>malumot!A156</f>
        <v>Xatirchi  filial boshlig'i</v>
      </c>
      <c r="H22" s="138" t="str">
        <f>malumot!B156</f>
        <v>SH. Xayriyev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XUDAYQULOV .F.S</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74" t="str">
        <f>""&amp;" "&amp;malumot!B74&amp;"-sonli "&amp;" "&amp;malumot!C64&amp;" shartnomasi bo‘yicha
 garovga qo‘yilgan mol-mulkni tekshirish bo’yicha "&amp;malumot!B5&amp;" bilan tuzilgan dalolatnomasi"</f>
        <v xml:space="preserve"> 24 mart 2025 y.dan №656-XT-sonli  Mikroqarz shartnomasi bo‘yicha
 garovga qo‘yilgan mol-mulkni tekshirish bo’yicha XUDAYQULOV FAZLIDDIN SAIDOVICH bilan tuzilgan dalolatnomasi</v>
      </c>
      <c r="B2" s="374"/>
      <c r="C2" s="374"/>
      <c r="D2" s="374"/>
      <c r="E2" s="374"/>
      <c r="F2" s="374"/>
      <c r="G2" s="374"/>
      <c r="H2" s="374"/>
      <c r="I2" s="31"/>
    </row>
    <row r="3" spans="1:9">
      <c r="A3" s="374"/>
      <c r="B3" s="374"/>
      <c r="C3" s="374"/>
      <c r="D3" s="374"/>
      <c r="E3" s="374"/>
      <c r="F3" s="374"/>
      <c r="G3" s="374"/>
      <c r="H3" s="374"/>
      <c r="I3" s="31"/>
    </row>
    <row r="5" spans="1:9">
      <c r="A5" s="24" t="s">
        <v>203</v>
      </c>
      <c r="H5" s="136" t="str">
        <f>TEXT(+malumot!B2+720,"ДД.ММ.ГГГГ")</f>
        <v>14.03.2027</v>
      </c>
    </row>
    <row r="7" spans="1:9" ht="45" customHeight="1">
      <c r="A7" s="373" t="str">
        <f>"      Men, "&amp;malumot!B153&amp;" "&amp;malumot!A156&amp;"i "&amp;malumot!B156&amp;", jismoniy shaxs "&amp;" "&amp;malumot!B5&amp;" "&amp;" "&amp;malumot!B74&amp;"-sonli "&amp;malumot!C64&amp;" shartnomasi bo‘yicha garovga qo‘yilgan mol-mulkni ko‘zdan kechirdim"</f>
        <v xml:space="preserve">      Men, «CLEVER MIKROMOLIYA TASHKILOTI» MChJ Xatirchi  filial boshlig'ii SH. Xayriyev, jismoniy shaxs  XUDAYQULOV FAZLIDDIN SAIDOVICH  24 mart 2025 y.dan №656-XT-sonli Mikroqarz shartnomasi bo‘yicha garovga qo‘yilgan mol-mulkni ko‘zdan kechirdim</v>
      </c>
      <c r="B7" s="373"/>
      <c r="C7" s="373"/>
      <c r="D7" s="373"/>
      <c r="E7" s="373"/>
      <c r="F7" s="373"/>
      <c r="G7" s="373"/>
      <c r="H7" s="373"/>
    </row>
    <row r="8" spans="1:9" ht="19.5" customHeight="1">
      <c r="A8" s="368" t="s">
        <v>274</v>
      </c>
      <c r="B8" s="368"/>
      <c r="C8" s="368"/>
      <c r="D8" s="368"/>
      <c r="E8" s="368"/>
      <c r="F8" s="368"/>
      <c r="G8" s="368"/>
      <c r="H8" s="368"/>
    </row>
    <row r="9" spans="1:9" s="137" customFormat="1" ht="32.25" customHeight="1">
      <c r="A9" s="369" t="str">
        <f>' Акт мониторинга 1'!A9</f>
        <v>Nomi</v>
      </c>
      <c r="B9" s="370"/>
      <c r="C9" s="369" t="str">
        <f>' Акт мониторинга 1'!C9</f>
        <v>Kuzov turi  va kuzov raqami*</v>
      </c>
      <c r="D9" s="370"/>
      <c r="E9" s="369" t="str">
        <f>' Акт мониторинга 1'!E9</f>
        <v>Dvigatel va shassi raqami*</v>
      </c>
      <c r="F9" s="370"/>
      <c r="G9" s="369" t="str">
        <f>' Акт мониторинга 1'!G9</f>
        <v>Ishlab chiqarilgan yili va rangi**</v>
      </c>
      <c r="H9" s="370"/>
    </row>
    <row r="10" spans="1:9" s="135" customFormat="1" ht="58.5" customHeight="1">
      <c r="A10" s="371" t="str">
        <f>' Акт мониторинга 1'!A10</f>
        <v>CHEVROLET DAMAS</v>
      </c>
      <c r="B10" s="371"/>
      <c r="C10" s="371" t="str">
        <f>' Акт мониторинга 1'!C10</f>
        <v>kuzov turi - YENGIL SEDAN, kuzov raqami XWB7T12YDKP150990</v>
      </c>
      <c r="D10" s="371"/>
      <c r="E10" s="371" t="str">
        <f>' Акт мониторинга 1'!E10</f>
        <v>dvigatel raqami F8CB191310207, shassi raqami - RAKAMSIZ</v>
      </c>
      <c r="F10" s="371"/>
      <c r="G10" s="371" t="str">
        <f>' Акт мониторинга 1'!G10</f>
        <v>rangi -  OQ BELAYA, ishlab chiqarilgan yili - 2019</v>
      </c>
      <c r="H10" s="371"/>
    </row>
    <row r="11" spans="1:9" ht="19.5" customHeight="1">
      <c r="A11" s="372" t="str">
        <f>dalolatnoma!A22:E22</f>
        <v>-* avtotransport egasi: XUDAYKULOV MAVLUDDIN SAIDOVICH</v>
      </c>
      <c r="B11" s="372"/>
      <c r="C11" s="372"/>
      <c r="D11" s="372"/>
      <c r="E11" s="372"/>
      <c r="F11" s="372"/>
      <c r="G11" s="372"/>
      <c r="H11" s="372"/>
    </row>
    <row r="12" spans="1:9" ht="19.5" customHeight="1">
      <c r="A12" s="372" t="str">
        <f>dalolatnoma!A23:E23</f>
        <v>-* texnik pasport: AAG 0638366    21.12.2022</v>
      </c>
      <c r="B12" s="372"/>
      <c r="C12" s="372"/>
      <c r="D12" s="372"/>
      <c r="E12" s="372"/>
      <c r="F12" s="372"/>
      <c r="G12" s="372"/>
      <c r="H12" s="372"/>
    </row>
    <row r="13" spans="1:9" ht="19.5" customHeight="1">
      <c r="A13" s="372" t="str">
        <f>dalolatnoma!A24:E24</f>
        <v>-* roʻyxatdan oʻtgan manzili/garaj manzili: NAVOIY VILOYATI XATIRCHI TUMANI YANGIRABOD MAHALLASI 105-UY</v>
      </c>
      <c r="B13" s="372"/>
      <c r="C13" s="372"/>
      <c r="D13" s="372"/>
      <c r="E13" s="372"/>
      <c r="F13" s="372"/>
      <c r="G13" s="372"/>
      <c r="H13" s="372"/>
    </row>
    <row r="14" spans="1:9" ht="19.5" customHeight="1">
      <c r="A14" s="372" t="str">
        <f>dalolatnoma!A25:E25</f>
        <v>-* davlat raqami: 85O912KA</v>
      </c>
      <c r="B14" s="372"/>
      <c r="C14" s="372"/>
      <c r="D14" s="372"/>
      <c r="E14" s="372"/>
      <c r="F14" s="372"/>
      <c r="G14" s="372"/>
      <c r="H14" s="372"/>
    </row>
    <row r="15" spans="1:9" ht="33.75" customHeight="1">
      <c r="A15" s="375" t="str">
        <f>+"Shu bilan birga, yuqoridagi mulkning kelishilgan garov qiymati "&amp;dalolatnoma!E30</f>
        <v>Shu bilan birga, yuqoridagi mulkning kelishilgan garov qiymati 52 500 000,00 
(ellik ikki million besh yuz ming so'm)</v>
      </c>
      <c r="B15" s="375"/>
      <c r="C15" s="375"/>
      <c r="D15" s="375"/>
      <c r="E15" s="375"/>
      <c r="F15" s="375"/>
      <c r="G15" s="375"/>
      <c r="H15" s="375"/>
    </row>
    <row r="17" spans="1:8" ht="28.5" customHeight="1">
      <c r="A17" s="367" t="s">
        <v>275</v>
      </c>
      <c r="B17" s="367"/>
      <c r="C17" s="367"/>
      <c r="D17" s="367"/>
      <c r="E17" s="367"/>
      <c r="F17" s="367"/>
      <c r="G17" s="367"/>
      <c r="H17" s="367"/>
    </row>
    <row r="21" spans="1:8" s="31" customFormat="1"/>
    <row r="22" spans="1:8" s="31" customFormat="1">
      <c r="A22" s="31" t="str">
        <f>malumot!A156</f>
        <v>Xatirchi  filial boshlig'i</v>
      </c>
      <c r="H22" s="138" t="str">
        <f>malumot!B156</f>
        <v>SH. Xayriyev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XUDAYQULOV .F.S</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12</vt:i4>
      </vt:variant>
    </vt:vector>
  </HeadingPairs>
  <TitlesOfParts>
    <vt:vector size="34"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dalolatnoma</vt:lpstr>
      <vt:lpstr>grafik</vt:lpstr>
      <vt:lpstr>ariza</vt:lpstr>
      <vt:lpstr>muqova</vt:lpstr>
      <vt:lpstr>mijoz_anketasi</vt:lpstr>
      <vt:lpstr>majburiyatnoma</vt:lpstr>
      <vt:lpstr>Анкета 2</vt:lpstr>
      <vt:lpstr>Кредитная заявка</vt:lpstr>
      <vt:lpstr>заявление залогодателя</vt:lpstr>
      <vt:lpstr>Письмо</vt:lpstr>
      <vt:lpstr> Акт мониторинга 1</vt:lpstr>
      <vt:lpstr> Акт мониторинга 2</vt:lpstr>
      <vt:lpstr> Акт мониторинга 3</vt:lpstr>
      <vt:lpstr> Акт мониторинга 4</vt:lpstr>
      <vt:lpstr>ariza!Область_печати</vt:lpstr>
      <vt:lpstr>bayonnoma!Область_печати</vt:lpstr>
      <vt:lpstr>buyruq!Область_печати</vt:lpstr>
      <vt:lpstr>dalolatnoma!Область_печати</vt:lpstr>
      <vt:lpstr>grafik!Область_печати</vt:lpstr>
      <vt:lpstr>mijoz_anketasi!Область_печати</vt:lpstr>
      <vt:lpstr>muqova!Область_печати</vt:lpstr>
      <vt:lpstr>shartnoma!Область_печати</vt:lpstr>
      <vt:lpstr>xulosa!Область_печати</vt:lpstr>
      <vt:lpstr>'График аннуитет.'!Область_печати</vt:lpstr>
      <vt:lpstr>'заявление залогодателя'!Область_печати</vt:lpstr>
      <vt:lpstr>'Кредитная заявка'!Область_печати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m.taylakov</cp:lastModifiedBy>
  <cp:lastPrinted>2025-01-06T10:54:18Z</cp:lastPrinted>
  <dcterms:created xsi:type="dcterms:W3CDTF">2015-06-05T18:19:34Z</dcterms:created>
  <dcterms:modified xsi:type="dcterms:W3CDTF">2025-03-24T07:28:28Z</dcterms:modified>
</cp:coreProperties>
</file>