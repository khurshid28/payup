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mc:AlternateContent xmlns:mc="http://schemas.openxmlformats.org/markup-compatibility/2006">
    <mc:Choice Requires="x15">
      <x15ac:absPath xmlns:x15ac="http://schemas.microsoft.com/office/spreadsheetml/2010/11/ac" url="Z:\Кредитный дела 2025\03 март\№659 СУРХАНДАРЬЕ\"/>
    </mc:Choice>
  </mc:AlternateContent>
  <xr:revisionPtr revIDLastSave="0" documentId="13_ncr:1_{5EC60A26-E0BE-4A3E-AC9C-1FE055AAADE5}" xr6:coauthVersionLast="47" xr6:coauthVersionMax="47" xr10:uidLastSave="{00000000-0000-0000-0000-000000000000}"/>
  <bookViews>
    <workbookView xWindow="-120" yWindow="-120" windowWidth="29040" windowHeight="15840" tabRatio="915" activeTab="18" xr2:uid="{00000000-000D-0000-FFFF-FFFF00000000}"/>
  </bookViews>
  <sheets>
    <sheet name="malumot" sheetId="1" r:id="rId1"/>
    <sheet name="shartnoma" sheetId="19" r:id="rId2"/>
    <sheet name="buyruq" sheetId="8" r:id="rId3"/>
    <sheet name="bayonnoma" sheetId="23" r:id="rId4"/>
    <sheet name="График дифференц" sheetId="15" state="hidden" r:id="rId5"/>
    <sheet name="Данные для послед. Залога" sheetId="21" state="hidden" r:id="rId6"/>
    <sheet name="График аннуитет." sheetId="12" state="hidden" r:id="rId7"/>
    <sheet name="xulosa" sheetId="3" r:id="rId8"/>
    <sheet name="dalolatnoma" sheetId="7" r:id="rId9"/>
    <sheet name="grafik" sheetId="16" r:id="rId10"/>
    <sheet name="ariza" sheetId="30" r:id="rId11"/>
    <sheet name="muqova" sheetId="9" r:id="rId12"/>
    <sheet name="mijoz_anketasi" sheetId="4" r:id="rId13"/>
    <sheet name="majburiyatnoma" sheetId="24" r:id="rId14"/>
    <sheet name="Анкета 2" sheetId="22" r:id="rId15"/>
    <sheet name="Кредитная заявка" sheetId="2" r:id="rId16"/>
    <sheet name="заявление залогодателя" sheetId="13" r:id="rId17"/>
    <sheet name="Письмо" sheetId="20" state="hidden" r:id="rId18"/>
    <sheet name=" Акт мониторинга 1" sheetId="26" r:id="rId19"/>
    <sheet name=" Акт мониторинга 2" sheetId="27" r:id="rId20"/>
    <sheet name=" Акт мониторинга 3" sheetId="28" r:id="rId21"/>
    <sheet name=" Акт мониторинга 4" sheetId="29" r:id="rId22"/>
  </sheets>
  <externalReferences>
    <externalReference r:id="rId23"/>
  </externalReferences>
  <definedNames>
    <definedName name="mos">'[1]Общие данные'!$C$23:$D$23</definedName>
    <definedName name="mulk">'[1]Общие данные'!$C$24:$W$24</definedName>
    <definedName name="_xlnm.Print_Area" localSheetId="10">ariza!$A$1:$D$17</definedName>
    <definedName name="_xlnm.Print_Area" localSheetId="3">bayonnoma!$A$1:$E$41</definedName>
    <definedName name="_xlnm.Print_Area" localSheetId="2">buyruq!$A$1:$E$29</definedName>
    <definedName name="_xlnm.Print_Area" localSheetId="8">dalolatnoma!$A$1:$E$63</definedName>
    <definedName name="_xlnm.Print_Area" localSheetId="9">grafik!$A$1:$F$63</definedName>
    <definedName name="_xlnm.Print_Area" localSheetId="12">mijoz_anketasi!$A$1:$F$36</definedName>
    <definedName name="_xlnm.Print_Area" localSheetId="11">muqova!$A$1:$G$42</definedName>
    <definedName name="_xlnm.Print_Area" localSheetId="1">shartnoma!$A$1:$B$133</definedName>
    <definedName name="_xlnm.Print_Area" localSheetId="7">xulosa!$A$1:$E$58</definedName>
    <definedName name="_xlnm.Print_Area" localSheetId="6">'График аннуитет.'!$A$1:$F$63</definedName>
    <definedName name="_xlnm.Print_Area" localSheetId="16">'заявление залогодателя'!$A$3:$B$20</definedName>
    <definedName name="_xlnm.Print_Area" localSheetId="15">'Кредитная заявка'!$A$1:$D$40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0" i="16" l="1"/>
  <c r="B59" i="16"/>
  <c r="E52" i="7"/>
  <c r="B37" i="23"/>
  <c r="B38" i="23"/>
  <c r="D38" i="23"/>
  <c r="B39" i="23"/>
  <c r="D39" i="23"/>
  <c r="A10" i="30"/>
  <c r="B10" i="30"/>
  <c r="A11" i="30"/>
  <c r="B11" i="30"/>
  <c r="A12" i="30"/>
  <c r="B12" i="30"/>
  <c r="A13" i="30"/>
  <c r="B13" i="30"/>
  <c r="A14" i="30"/>
  <c r="B14" i="30"/>
  <c r="C4" i="30"/>
  <c r="C5" i="30"/>
  <c r="C1" i="30"/>
  <c r="A16" i="30"/>
  <c r="A128" i="19"/>
  <c r="B54" i="3"/>
  <c r="C56" i="3"/>
  <c r="C55" i="3"/>
  <c r="C54" i="3"/>
  <c r="B56" i="3"/>
  <c r="B55" i="3"/>
  <c r="B139" i="1" l="1"/>
  <c r="B133" i="1" l="1"/>
  <c r="B65" i="1" l="1"/>
  <c r="F27" i="4"/>
  <c r="A21" i="3" s="1"/>
  <c r="D59" i="7"/>
  <c r="A126" i="19"/>
  <c r="B127" i="19"/>
  <c r="A52" i="7"/>
  <c r="B7" i="13"/>
  <c r="C1" i="2"/>
  <c r="A27" i="16"/>
  <c r="A28" i="16" s="1"/>
  <c r="A29" i="16" s="1"/>
  <c r="A30" i="16" s="1"/>
  <c r="A31" i="16" s="1"/>
  <c r="A32" i="16" s="1"/>
  <c r="A33" i="16" s="1"/>
  <c r="A34" i="16" s="1"/>
  <c r="A35" i="16" s="1"/>
  <c r="A36" i="16" s="1"/>
  <c r="A37" i="16" s="1"/>
  <c r="A38" i="16" s="1"/>
  <c r="A39" i="16" s="1"/>
  <c r="A40" i="16" s="1"/>
  <c r="A41" i="16" s="1"/>
  <c r="A42" i="16" s="1"/>
  <c r="A43" i="16" s="1"/>
  <c r="A44" i="16" s="1"/>
  <c r="A32" i="15"/>
  <c r="A33" i="15" s="1"/>
  <c r="A34" i="15" s="1"/>
  <c r="A35" i="15" s="1"/>
  <c r="A36" i="15" s="1"/>
  <c r="A37" i="15" s="1"/>
  <c r="A38" i="15" s="1"/>
  <c r="A39" i="15" s="1"/>
  <c r="A40" i="15" s="1"/>
  <c r="A41" i="15" s="1"/>
  <c r="A42" i="15" s="1"/>
  <c r="A43" i="15" s="1"/>
  <c r="A32" i="12"/>
  <c r="A33" i="12" s="1"/>
  <c r="A34" i="12" s="1"/>
  <c r="A35" i="12" s="1"/>
  <c r="A36" i="12" s="1"/>
  <c r="A37" i="12" s="1"/>
  <c r="A38" i="12" s="1"/>
  <c r="A39" i="12" s="1"/>
  <c r="A40" i="12" s="1"/>
  <c r="A41" i="12" s="1"/>
  <c r="A42" i="12" s="1"/>
  <c r="A43" i="12" s="1"/>
  <c r="C122" i="1"/>
  <c r="C128" i="1" s="1"/>
  <c r="C120" i="1"/>
  <c r="C126" i="1" s="1"/>
  <c r="C119" i="1"/>
  <c r="C125" i="1" s="1"/>
  <c r="C118" i="1"/>
  <c r="C124" i="1" s="1"/>
  <c r="C117" i="1"/>
  <c r="C123" i="1" s="1"/>
  <c r="A62" i="7"/>
  <c r="A61" i="7"/>
  <c r="F61" i="7"/>
  <c r="A25" i="7"/>
  <c r="A23" i="7"/>
  <c r="H24" i="27" l="1"/>
  <c r="A9" i="26"/>
  <c r="A9" i="29" s="1"/>
  <c r="A9" i="27" l="1"/>
  <c r="A9" i="28"/>
  <c r="I132" i="1"/>
  <c r="A48" i="3"/>
  <c r="A35" i="3"/>
  <c r="E30" i="3"/>
  <c r="A30" i="3"/>
  <c r="A33" i="3"/>
  <c r="D29" i="7" l="1"/>
  <c r="D30" i="3" s="1"/>
  <c r="F136" i="1"/>
  <c r="E139" i="1"/>
  <c r="E136" i="1"/>
  <c r="D20" i="7"/>
  <c r="E20" i="7"/>
  <c r="G9" i="26" s="1"/>
  <c r="B20" i="7"/>
  <c r="G9" i="28" l="1"/>
  <c r="G9" i="27"/>
  <c r="G9" i="29"/>
  <c r="B29" i="7"/>
  <c r="B30" i="3" s="1"/>
  <c r="C9" i="26"/>
  <c r="C29" i="7"/>
  <c r="C30" i="3" s="1"/>
  <c r="E9" i="26"/>
  <c r="E9" i="29" l="1"/>
  <c r="E9" i="28"/>
  <c r="E9" i="27"/>
  <c r="C9" i="29"/>
  <c r="C9" i="28"/>
  <c r="C9" i="27"/>
  <c r="B76" i="1"/>
  <c r="A9" i="30" s="1"/>
  <c r="H24" i="29" l="1"/>
  <c r="H24" i="28"/>
  <c r="A22" i="26"/>
  <c r="H24" i="26"/>
  <c r="A51" i="3"/>
  <c r="A37" i="3"/>
  <c r="A1" i="3"/>
  <c r="D17" i="23"/>
  <c r="E17" i="23" s="1"/>
  <c r="A1" i="23"/>
  <c r="D58" i="16"/>
  <c r="A116" i="1" l="1"/>
  <c r="A115" i="1"/>
  <c r="A114" i="1"/>
  <c r="A113" i="1"/>
  <c r="C22" i="1"/>
  <c r="H9" i="23"/>
  <c r="A57" i="16"/>
  <c r="A18" i="23" l="1"/>
  <c r="A7" i="23"/>
  <c r="B49" i="1"/>
  <c r="B59" i="1" s="1"/>
  <c r="A16" i="4" l="1"/>
  <c r="A17" i="4"/>
  <c r="A7" i="24"/>
  <c r="B27" i="1"/>
  <c r="B119" i="19" s="1"/>
  <c r="B34" i="1"/>
  <c r="B122" i="1"/>
  <c r="B128" i="1" s="1"/>
  <c r="A24" i="7" s="1"/>
  <c r="A34" i="3" s="1"/>
  <c r="B120" i="1"/>
  <c r="B119" i="1"/>
  <c r="B118" i="1"/>
  <c r="D62" i="7" s="1"/>
  <c r="B117" i="1"/>
  <c r="B8" i="13" s="1"/>
  <c r="A19" i="13" l="1"/>
  <c r="B45" i="1"/>
  <c r="B58" i="1"/>
  <c r="A63" i="7"/>
  <c r="A51" i="7"/>
  <c r="B6" i="13"/>
  <c r="D2" i="2"/>
  <c r="C76" i="1"/>
  <c r="A34" i="23"/>
  <c r="A30" i="2" l="1"/>
  <c r="A31" i="4"/>
  <c r="H77" i="19"/>
  <c r="A77" i="19" s="1"/>
  <c r="H21" i="19"/>
  <c r="A72" i="19"/>
  <c r="H68" i="19"/>
  <c r="A68" i="19" s="1"/>
  <c r="A55" i="19"/>
  <c r="A5" i="23"/>
  <c r="A15" i="19"/>
  <c r="A12" i="19"/>
  <c r="A33" i="19"/>
  <c r="B32" i="19" s="1"/>
  <c r="A31" i="19" s="1"/>
  <c r="A87" i="1"/>
  <c r="A10" i="3"/>
  <c r="A17" i="2"/>
  <c r="A18" i="2"/>
  <c r="A9" i="19"/>
  <c r="A19" i="19"/>
  <c r="A46" i="19"/>
  <c r="A70" i="19"/>
  <c r="A95" i="19"/>
  <c r="C64" i="1"/>
  <c r="C21" i="19"/>
  <c r="A51" i="19"/>
  <c r="A62" i="19"/>
  <c r="A73" i="19"/>
  <c r="C39" i="19"/>
  <c r="A39" i="19" s="1"/>
  <c r="A65" i="19"/>
  <c r="C74" i="19"/>
  <c r="A74" i="19" s="1"/>
  <c r="H17" i="19"/>
  <c r="A17" i="19" s="1"/>
  <c r="I21" i="19"/>
  <c r="A42" i="19"/>
  <c r="A59" i="19"/>
  <c r="A91" i="19"/>
  <c r="A20" i="19"/>
  <c r="C54" i="19"/>
  <c r="A54" i="19" s="1"/>
  <c r="A60" i="19"/>
  <c r="A67" i="19"/>
  <c r="A20" i="23"/>
  <c r="D64" i="1"/>
  <c r="A22" i="19" s="1"/>
  <c r="A1" i="1"/>
  <c r="A79" i="1"/>
  <c r="A85" i="1"/>
  <c r="A2" i="1"/>
  <c r="A81" i="1"/>
  <c r="A86" i="1"/>
  <c r="A75" i="1"/>
  <c r="A82" i="1"/>
  <c r="A89" i="1"/>
  <c r="A78" i="1"/>
  <c r="A84" i="1"/>
  <c r="A47" i="16" l="1"/>
  <c r="A13" i="2"/>
  <c r="A16" i="2"/>
  <c r="A21" i="2"/>
  <c r="A14" i="23"/>
  <c r="A4" i="2"/>
  <c r="B26" i="9"/>
  <c r="A22" i="23"/>
  <c r="A14" i="19"/>
  <c r="A15" i="2"/>
  <c r="A24" i="23"/>
  <c r="A21" i="23"/>
  <c r="A40" i="19"/>
  <c r="A23" i="23"/>
  <c r="B25" i="9"/>
  <c r="A21" i="19"/>
  <c r="A13" i="19"/>
  <c r="A14" i="2"/>
  <c r="A26" i="3"/>
  <c r="A61" i="19"/>
  <c r="A23" i="19"/>
  <c r="A11" i="19"/>
  <c r="B123" i="1"/>
  <c r="A22" i="7" s="1"/>
  <c r="B124" i="1"/>
  <c r="A18" i="8" l="1"/>
  <c r="A32" i="3"/>
  <c r="H7" i="23"/>
  <c r="A2" i="23" s="1"/>
  <c r="B126" i="1" l="1"/>
  <c r="B125" i="1"/>
  <c r="A120" i="19" l="1"/>
  <c r="A53" i="16" s="1"/>
  <c r="A30" i="4"/>
  <c r="B122" i="19"/>
  <c r="D55" i="16" s="1"/>
  <c r="A15" i="4"/>
  <c r="A14" i="4"/>
  <c r="A13" i="4"/>
  <c r="A7" i="3"/>
  <c r="C8" i="15"/>
  <c r="J12" i="15"/>
  <c r="A10" i="4" l="1"/>
  <c r="A9" i="4" s="1"/>
  <c r="D59" i="16"/>
  <c r="B124" i="19"/>
  <c r="D57" i="16" s="1"/>
  <c r="B123" i="19"/>
  <c r="D56" i="16" s="1"/>
  <c r="D52" i="16"/>
  <c r="B117" i="19"/>
  <c r="D51" i="16" s="1"/>
  <c r="A123" i="19" l="1"/>
  <c r="A56" i="16" s="1"/>
  <c r="A122" i="19"/>
  <c r="A55" i="16" s="1"/>
  <c r="A121" i="19"/>
  <c r="A54" i="16" s="1"/>
  <c r="A119" i="19"/>
  <c r="A52" i="16" s="1"/>
  <c r="B24" i="9" l="1"/>
  <c r="B2" i="9"/>
  <c r="A22" i="29"/>
  <c r="A22" i="28"/>
  <c r="H5" i="29"/>
  <c r="H5" i="28"/>
  <c r="H5" i="27"/>
  <c r="A22" i="27"/>
  <c r="H22" i="26"/>
  <c r="D2" i="1"/>
  <c r="H5" i="26" s="1"/>
  <c r="A24" i="13"/>
  <c r="A22" i="13"/>
  <c r="A34" i="2"/>
  <c r="A29" i="4"/>
  <c r="A28" i="4"/>
  <c r="A20" i="4"/>
  <c r="A7" i="4"/>
  <c r="A11" i="24"/>
  <c r="A14" i="7"/>
  <c r="A13" i="7"/>
  <c r="A2" i="7"/>
  <c r="A8" i="3"/>
  <c r="A5" i="3"/>
  <c r="A4" i="3"/>
  <c r="A11" i="8"/>
  <c r="A10" i="8"/>
  <c r="A9" i="8"/>
  <c r="A12" i="2"/>
  <c r="A11" i="2"/>
  <c r="A7" i="2"/>
  <c r="B170" i="1"/>
  <c r="H132" i="1"/>
  <c r="I131" i="1"/>
  <c r="F131" i="1" s="1"/>
  <c r="H131" i="1"/>
  <c r="C131" i="1"/>
  <c r="B9" i="1"/>
  <c r="B8" i="1"/>
  <c r="B142" i="1"/>
  <c r="B143" i="1" s="1"/>
  <c r="E21" i="7"/>
  <c r="B136" i="1"/>
  <c r="D21" i="7" s="1"/>
  <c r="E10" i="26" s="1"/>
  <c r="B21" i="7"/>
  <c r="C10" i="26" s="1"/>
  <c r="B11" i="1" l="1"/>
  <c r="B13" i="1" s="1"/>
  <c r="G10" i="26"/>
  <c r="D30" i="7"/>
  <c r="D31" i="3" s="1"/>
  <c r="E10" i="28"/>
  <c r="E10" i="27"/>
  <c r="E10" i="29"/>
  <c r="C10" i="28"/>
  <c r="C10" i="27"/>
  <c r="C10" i="29"/>
  <c r="C132" i="1"/>
  <c r="A17" i="7" s="1"/>
  <c r="A21" i="7"/>
  <c r="A10" i="26" s="1"/>
  <c r="C143" i="1"/>
  <c r="B144" i="1"/>
  <c r="A6" i="2"/>
  <c r="E30" i="7"/>
  <c r="E31" i="3" s="1"/>
  <c r="A48" i="7"/>
  <c r="A15" i="7"/>
  <c r="E131" i="1"/>
  <c r="A27" i="3"/>
  <c r="B9" i="13"/>
  <c r="A20" i="3"/>
  <c r="A27" i="2"/>
  <c r="A28" i="2"/>
  <c r="F132" i="1"/>
  <c r="E132" i="1"/>
  <c r="B10" i="1"/>
  <c r="A8" i="8" s="1"/>
  <c r="A28" i="3" l="1"/>
  <c r="A24" i="2"/>
  <c r="A17" i="8"/>
  <c r="G10" i="28"/>
  <c r="G10" i="29"/>
  <c r="G10" i="27"/>
  <c r="A16" i="8"/>
  <c r="A25" i="2"/>
  <c r="A16" i="7"/>
  <c r="A18" i="7" s="1"/>
  <c r="A19" i="7" s="1"/>
  <c r="A10" i="27"/>
  <c r="A10" i="28"/>
  <c r="A10" i="29"/>
  <c r="A29" i="3"/>
  <c r="A26" i="23" s="1"/>
  <c r="A38" i="3"/>
  <c r="B12" i="1"/>
  <c r="A15" i="13" l="1"/>
  <c r="A14" i="13"/>
  <c r="A21" i="4"/>
  <c r="A10" i="2"/>
  <c r="A9" i="2"/>
  <c r="A19" i="4"/>
  <c r="A13" i="13" l="1"/>
  <c r="B66" i="1"/>
  <c r="A1" i="19" s="1"/>
  <c r="H26" i="29"/>
  <c r="H26" i="28"/>
  <c r="H26" i="27"/>
  <c r="H22" i="29"/>
  <c r="H22" i="28"/>
  <c r="H22" i="27"/>
  <c r="H26" i="26"/>
  <c r="D56" i="7" l="1"/>
  <c r="A56" i="7"/>
  <c r="A132" i="19"/>
  <c r="B108" i="1"/>
  <c r="R130" i="1" l="1"/>
  <c r="R131" i="1" s="1"/>
  <c r="N132" i="1" s="1"/>
  <c r="A25" i="13"/>
  <c r="A26" i="13" s="1"/>
  <c r="A28" i="13" s="1"/>
  <c r="A20" i="13" s="1"/>
  <c r="C63" i="7" s="1"/>
  <c r="Q130" i="1"/>
  <c r="Q131" i="1" s="1"/>
  <c r="N131" i="1" s="1"/>
  <c r="B24" i="4" l="1"/>
  <c r="B67" i="1" l="1"/>
  <c r="C78" i="1" s="1"/>
  <c r="C79" i="1" s="1"/>
  <c r="C80" i="1" s="1"/>
  <c r="B79" i="1" s="1"/>
  <c r="B80" i="1" s="1"/>
  <c r="B151" i="1" l="1"/>
  <c r="B149" i="1"/>
  <c r="C18" i="1" l="1"/>
  <c r="B20" i="1" l="1"/>
  <c r="C20" i="1"/>
  <c r="A5" i="19" s="1"/>
  <c r="C121" i="1" l="1"/>
  <c r="B121" i="19"/>
  <c r="D53" i="16" s="1"/>
  <c r="C6" i="30"/>
  <c r="B121" i="1"/>
  <c r="B127" i="1" s="1"/>
  <c r="C127" i="1"/>
  <c r="A8" i="2"/>
  <c r="B27" i="23"/>
  <c r="C27" i="23"/>
  <c r="D27" i="23"/>
  <c r="E27" i="23"/>
  <c r="A27"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42" i="1"/>
  <c r="D49" i="7" l="1"/>
  <c r="E33" i="7"/>
  <c r="A38" i="20"/>
  <c r="A37" i="20"/>
  <c r="B19" i="20"/>
  <c r="C19" i="20"/>
  <c r="D19" i="20"/>
  <c r="E19" i="20"/>
  <c r="A19" i="20"/>
  <c r="L5" i="15" l="1"/>
  <c r="I8" i="15" l="1"/>
  <c r="E20" i="20"/>
  <c r="B26" i="4"/>
  <c r="B27" i="4" s="1"/>
  <c r="A33" i="20" l="1"/>
  <c r="C19" i="1"/>
  <c r="B21" i="1" l="1"/>
  <c r="A6" i="3" s="1"/>
  <c r="C21" i="1"/>
  <c r="B8" i="15"/>
  <c r="R43" i="15" s="1"/>
  <c r="C5" i="22"/>
  <c r="A33" i="22" s="1"/>
  <c r="B43" i="15" l="1"/>
  <c r="O43" i="15"/>
  <c r="P43" i="15" s="1"/>
  <c r="Q43" i="15" s="1"/>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H42" i="12" l="1"/>
  <c r="H37" i="12"/>
  <c r="H38" i="12"/>
  <c r="G38" i="12"/>
  <c r="H32" i="15"/>
  <c r="B32" i="12"/>
  <c r="B33" i="16" s="1"/>
  <c r="G39" i="12"/>
  <c r="H39" i="12"/>
  <c r="H40" i="12"/>
  <c r="G40" i="12"/>
  <c r="H43" i="15"/>
  <c r="B43" i="12"/>
  <c r="B44" i="16" s="1"/>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H32" i="12" l="1"/>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B32" i="16" s="1"/>
  <c r="H31" i="15"/>
  <c r="H25" i="15"/>
  <c r="H16" i="15"/>
  <c r="G16" i="15"/>
  <c r="G17" i="15"/>
  <c r="H17" i="15"/>
  <c r="H15" i="15"/>
  <c r="H18" i="15"/>
  <c r="G18" i="15"/>
  <c r="H13" i="15"/>
  <c r="H20" i="15"/>
  <c r="H21" i="15"/>
  <c r="G21" i="15"/>
  <c r="G23" i="15"/>
  <c r="H23" i="15"/>
  <c r="H22" i="15"/>
  <c r="G22" i="15"/>
  <c r="G14" i="15"/>
  <c r="H14" i="15"/>
  <c r="G15" i="15"/>
  <c r="G9" i="15"/>
  <c r="H19" i="15"/>
  <c r="G20" i="15"/>
  <c r="G19" i="15"/>
  <c r="D17" i="1"/>
  <c r="G32" i="12" l="1"/>
  <c r="H41" i="12"/>
  <c r="G41" i="12"/>
  <c r="G42" i="12"/>
  <c r="G10" i="15"/>
  <c r="H10" i="15"/>
  <c r="H9" i="15"/>
  <c r="G13" i="15"/>
  <c r="G12" i="15"/>
  <c r="H12" i="15"/>
  <c r="H11" i="15"/>
  <c r="G11" i="15"/>
  <c r="I67" i="1"/>
  <c r="G67" i="1"/>
  <c r="A117" i="19" l="1"/>
  <c r="A51" i="16" s="1"/>
  <c r="F67" i="1" l="1"/>
  <c r="E67" i="1"/>
  <c r="A20" i="2" s="1"/>
  <c r="C67" i="1"/>
  <c r="C65" i="1"/>
  <c r="C66" i="1" l="1"/>
  <c r="I66" i="1"/>
  <c r="G66" i="1"/>
  <c r="D67" i="1"/>
  <c r="B150" i="1" s="1"/>
  <c r="A26" i="19" s="1"/>
  <c r="H67" i="1"/>
  <c r="B69" i="1" s="1"/>
  <c r="A4" i="24" s="1"/>
  <c r="E66" i="1"/>
  <c r="F66" i="1"/>
  <c r="A30" i="19" l="1"/>
  <c r="A29" i="19"/>
  <c r="A28" i="19" s="1"/>
  <c r="A27" i="19"/>
  <c r="B68" i="1"/>
  <c r="D66" i="1"/>
  <c r="B72" i="1" s="1"/>
  <c r="H66" i="1"/>
  <c r="B73" i="1" s="1"/>
  <c r="E3" i="23" l="1"/>
  <c r="B74" i="1"/>
  <c r="E3" i="16" s="1"/>
  <c r="B70" i="1"/>
  <c r="A3" i="19" s="1"/>
  <c r="E3" i="22"/>
  <c r="B71" i="1"/>
  <c r="A8" i="19" s="1"/>
  <c r="A28" i="7" l="1"/>
  <c r="A27" i="7"/>
  <c r="A7" i="26"/>
  <c r="A7" i="28"/>
  <c r="A7" i="27"/>
  <c r="A12" i="7"/>
  <c r="A7" i="29"/>
  <c r="A11" i="7"/>
  <c r="A9" i="7"/>
  <c r="A8" i="7"/>
  <c r="B19" i="9"/>
  <c r="A2" i="27"/>
  <c r="A2" i="28"/>
  <c r="A2" i="29"/>
  <c r="A2" i="26"/>
  <c r="B171" i="1"/>
  <c r="A4" i="8" s="1"/>
  <c r="B148" i="1"/>
  <c r="E4" i="7" s="1"/>
  <c r="A39" i="20"/>
  <c r="B40" i="9"/>
  <c r="A19" i="2"/>
  <c r="D60" i="15"/>
  <c r="A58" i="15"/>
  <c r="A56" i="15"/>
  <c r="D52" i="15"/>
  <c r="D48" i="15"/>
  <c r="A48" i="15"/>
  <c r="A25" i="23" l="1"/>
  <c r="A14" i="8"/>
  <c r="A7" i="7"/>
  <c r="A10" i="7"/>
  <c r="A26" i="7"/>
  <c r="A15" i="3"/>
  <c r="H27" i="15"/>
  <c r="G27" i="15"/>
  <c r="G28" i="15"/>
  <c r="H28" i="15"/>
  <c r="G30" i="15"/>
  <c r="G31" i="15"/>
  <c r="H30" i="15"/>
  <c r="G29" i="15"/>
  <c r="H29" i="15"/>
  <c r="G26" i="15"/>
  <c r="H26" i="15"/>
  <c r="H24" i="15"/>
  <c r="G24" i="15"/>
  <c r="G25" i="15"/>
  <c r="A6" i="7" l="1"/>
  <c r="F2" i="15"/>
  <c r="B62" i="1" l="1"/>
  <c r="D55" i="15" l="1"/>
  <c r="B19" i="13" l="1"/>
  <c r="B10" i="13"/>
  <c r="D56" i="15" l="1"/>
  <c r="D54"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A34" i="20"/>
  <c r="A35" i="20"/>
  <c r="C148" i="1"/>
  <c r="A9" i="20" l="1"/>
  <c r="N129" i="1"/>
  <c r="E44" i="7"/>
  <c r="E31" i="20" s="1"/>
  <c r="A23" i="2" l="1"/>
  <c r="A32" i="20"/>
  <c r="D60" i="12"/>
  <c r="A58" i="12"/>
  <c r="A56" i="12"/>
  <c r="D52" i="12"/>
  <c r="D48" i="12"/>
  <c r="A48" i="12"/>
  <c r="C8" i="12"/>
  <c r="C9" i="16" s="1"/>
  <c r="A25" i="19" l="1"/>
  <c r="A24" i="19" l="1"/>
  <c r="B12" i="9"/>
  <c r="A12" i="8"/>
  <c r="E19" i="8"/>
  <c r="E11" i="20" s="1"/>
  <c r="D19" i="8"/>
  <c r="D11" i="20" s="1"/>
  <c r="C19" i="8"/>
  <c r="C11" i="20" s="1"/>
  <c r="B19" i="8"/>
  <c r="B11" i="20" s="1"/>
  <c r="A19" i="8"/>
  <c r="A11" i="20" s="1"/>
  <c r="D60" i="7"/>
  <c r="D28" i="23"/>
  <c r="C30" i="7"/>
  <c r="B30" i="7"/>
  <c r="A30" i="7"/>
  <c r="C28" i="23" l="1"/>
  <c r="C31" i="3"/>
  <c r="A28" i="23"/>
  <c r="A31" i="3"/>
  <c r="B28" i="23"/>
  <c r="B31" i="3"/>
  <c r="A32" i="23"/>
  <c r="A14" i="26"/>
  <c r="A14" i="29"/>
  <c r="A14" i="28"/>
  <c r="A14" i="27"/>
  <c r="A30" i="23"/>
  <c r="A12" i="27"/>
  <c r="A12" i="29"/>
  <c r="A12" i="28"/>
  <c r="A12" i="26"/>
  <c r="D20" i="8"/>
  <c r="D12" i="20" s="1"/>
  <c r="C20" i="8"/>
  <c r="C12" i="20" s="1"/>
  <c r="B20" i="8"/>
  <c r="B12" i="20" s="1"/>
  <c r="A24" i="8"/>
  <c r="A16" i="20" s="1"/>
  <c r="A20" i="8"/>
  <c r="A12" i="20" s="1"/>
  <c r="A22" i="8"/>
  <c r="A14" i="20" s="1"/>
  <c r="D35" i="4"/>
  <c r="D27" i="4"/>
  <c r="C27" i="4"/>
  <c r="A14" i="3"/>
  <c r="A42" i="3" s="1"/>
  <c r="A11" i="4"/>
  <c r="A8" i="4"/>
  <c r="A6" i="4"/>
  <c r="A5" i="4"/>
  <c r="A4" i="4"/>
  <c r="A39" i="2"/>
  <c r="A17" i="3"/>
  <c r="A45" i="3" s="1"/>
  <c r="A12" i="3"/>
  <c r="A51" i="15" l="1"/>
  <c r="A55" i="15"/>
  <c r="A60" i="15"/>
  <c r="D62" i="15"/>
  <c r="A50" i="15"/>
  <c r="A54" i="15"/>
  <c r="A53" i="15"/>
  <c r="A52" i="15"/>
  <c r="D51" i="15"/>
  <c r="D58" i="15"/>
  <c r="D50" i="15"/>
  <c r="A60" i="12"/>
  <c r="A54" i="12"/>
  <c r="A51" i="12"/>
  <c r="A55" i="12"/>
  <c r="A52" i="12"/>
  <c r="A13" i="3"/>
  <c r="A41" i="3" s="1"/>
  <c r="A53" i="12"/>
  <c r="D56" i="12"/>
  <c r="D54" i="12"/>
  <c r="D55" i="12"/>
  <c r="D51" i="12"/>
  <c r="D58" i="12"/>
  <c r="D50" i="12"/>
  <c r="A50" i="12"/>
  <c r="A40" i="3"/>
  <c r="A43" i="3"/>
  <c r="A13" i="8"/>
  <c r="A16" i="3"/>
  <c r="A44" i="3" s="1"/>
  <c r="A15" i="8"/>
  <c r="A11" i="3"/>
  <c r="A39" i="3" s="1"/>
  <c r="A26" i="2"/>
  <c r="A22" i="2" s="1"/>
  <c r="A15" i="27" l="1"/>
  <c r="A15" i="26"/>
  <c r="A15" i="29"/>
  <c r="A15" i="28"/>
  <c r="A31" i="23"/>
  <c r="A13" i="27"/>
  <c r="A13" i="28"/>
  <c r="A13" i="29"/>
  <c r="A13" i="26"/>
  <c r="A29" i="23"/>
  <c r="A11" i="29"/>
  <c r="A11" i="28"/>
  <c r="A11" i="27"/>
  <c r="A11" i="26"/>
  <c r="E28" i="23"/>
  <c r="A23" i="8"/>
  <c r="A15" i="20" s="1"/>
  <c r="A21" i="8"/>
  <c r="A13" i="20" s="1"/>
  <c r="E20" i="8"/>
  <c r="E12" i="20" s="1"/>
  <c r="A18" i="3"/>
  <c r="A16" i="23" s="1"/>
  <c r="F2" i="12"/>
  <c r="A46"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M8" i="15"/>
  <c r="F8" i="15" s="1"/>
  <c r="I10" i="15"/>
  <c r="I11" i="15" s="1"/>
  <c r="I12" i="15" s="1"/>
  <c r="I13" i="15" s="1"/>
  <c r="I14" i="15" s="1"/>
  <c r="I15" i="15" s="1"/>
  <c r="I16" i="15" s="1"/>
  <c r="L9" i="15" l="1"/>
  <c r="E9" i="15" s="1"/>
  <c r="J14" i="15"/>
  <c r="K14" i="15" s="1"/>
  <c r="J13" i="15"/>
  <c r="K13" i="15" s="1"/>
  <c r="J17" i="15"/>
  <c r="K17" i="15" s="1"/>
  <c r="I17" i="15" s="1"/>
  <c r="J18" i="15" s="1"/>
  <c r="K18" i="15" s="1"/>
  <c r="I18" i="15" s="1"/>
  <c r="J19" i="15" s="1"/>
  <c r="K19" i="15" s="1"/>
  <c r="I19" i="15" s="1"/>
  <c r="J16" i="15"/>
  <c r="K16" i="15" s="1"/>
  <c r="J15" i="15"/>
  <c r="K15" i="15" s="1"/>
  <c r="D9" i="15" l="1"/>
  <c r="C10" i="15" s="1"/>
  <c r="I20" i="15"/>
  <c r="J20" i="15"/>
  <c r="K20" i="15" s="1"/>
  <c r="L10" i="15" l="1"/>
  <c r="E10" i="15" s="1"/>
  <c r="M9" i="15"/>
  <c r="F9" i="15" s="1"/>
  <c r="J21" i="15"/>
  <c r="K21" i="15" s="1"/>
  <c r="I21" i="15" s="1"/>
  <c r="J22" i="15" s="1"/>
  <c r="K22" i="15" s="1"/>
  <c r="I22" i="15" l="1"/>
  <c r="I23" i="15" s="1"/>
  <c r="I24" i="15" s="1"/>
  <c r="D10" i="15"/>
  <c r="J25" i="15" l="1"/>
  <c r="K25" i="15" s="1"/>
  <c r="I25" i="15" s="1"/>
  <c r="I26" i="15" s="1"/>
  <c r="I27" i="15" s="1"/>
  <c r="J24" i="15"/>
  <c r="K24" i="15" s="1"/>
  <c r="J23" i="15"/>
  <c r="K23" i="15" s="1"/>
  <c r="M10" i="15"/>
  <c r="F10" i="15" s="1"/>
  <c r="C11" i="15"/>
  <c r="J27" i="15" l="1"/>
  <c r="K27" i="15" s="1"/>
  <c r="J28" i="15"/>
  <c r="K28" i="15" s="1"/>
  <c r="I28" i="15" s="1"/>
  <c r="I29" i="15" s="1"/>
  <c r="I30" i="15" s="1"/>
  <c r="J31" i="15" s="1"/>
  <c r="K31" i="15" s="1"/>
  <c r="I31" i="15" s="1"/>
  <c r="J32" i="15" s="1"/>
  <c r="K32" i="15" s="1"/>
  <c r="J26" i="15"/>
  <c r="K26" i="15" s="1"/>
  <c r="L11" i="15"/>
  <c r="E11" i="15" s="1"/>
  <c r="J29" i="15" l="1"/>
  <c r="K29" i="15" s="1"/>
  <c r="I32" i="15"/>
  <c r="I33" i="15" s="1"/>
  <c r="D11" i="15"/>
  <c r="J30" i="15"/>
  <c r="K30" i="15" s="1"/>
  <c r="J34" i="15" l="1"/>
  <c r="K34" i="15" s="1"/>
  <c r="I34" i="15" s="1"/>
  <c r="J35" i="15" s="1"/>
  <c r="K35" i="15" s="1"/>
  <c r="I35" i="15" s="1"/>
  <c r="J33" i="15"/>
  <c r="K33" i="15" s="1"/>
  <c r="M11" i="15"/>
  <c r="F11" i="15" s="1"/>
  <c r="C12" i="15"/>
  <c r="L12" i="15" l="1"/>
  <c r="E12" i="15" s="1"/>
  <c r="I36" i="15"/>
  <c r="J36" i="15"/>
  <c r="K36" i="15" s="1"/>
  <c r="D12" i="15" l="1"/>
  <c r="J37" i="15"/>
  <c r="K37" i="15" s="1"/>
  <c r="I37" i="15" s="1"/>
  <c r="C13" i="15" l="1"/>
  <c r="M12" i="15"/>
  <c r="F12" i="15" s="1"/>
  <c r="I38" i="15"/>
  <c r="J38" i="15"/>
  <c r="K38" i="15" s="1"/>
  <c r="L13" i="15" l="1"/>
  <c r="E13" i="15" s="1"/>
  <c r="J39" i="15"/>
  <c r="K39" i="15" s="1"/>
  <c r="I39" i="15" s="1"/>
  <c r="D13" i="15" l="1"/>
  <c r="J40" i="15"/>
  <c r="K40" i="15" s="1"/>
  <c r="I40" i="15" s="1"/>
  <c r="C14" i="15" l="1"/>
  <c r="M13" i="15"/>
  <c r="F13" i="15" s="1"/>
  <c r="J41" i="15"/>
  <c r="K41" i="15" s="1"/>
  <c r="I41" i="15" s="1"/>
  <c r="L14" i="15" l="1"/>
  <c r="E14" i="15" s="1"/>
  <c r="D14" i="15"/>
  <c r="J42" i="15"/>
  <c r="K42" i="15" s="1"/>
  <c r="I42" i="15" s="1"/>
  <c r="J43" i="15" s="1"/>
  <c r="K43" i="15" s="1"/>
  <c r="I43" i="15" s="1"/>
  <c r="C15" i="15" l="1"/>
  <c r="M14" i="15"/>
  <c r="F14" i="15" s="1"/>
  <c r="L15" i="15" l="1"/>
  <c r="E15" i="15" s="1"/>
  <c r="D15" i="15" l="1"/>
  <c r="M15" i="15" l="1"/>
  <c r="F15" i="15" s="1"/>
  <c r="C16" i="15"/>
  <c r="L16" i="15" l="1"/>
  <c r="E16" i="15" s="1"/>
  <c r="D16" i="15" l="1"/>
  <c r="M16" i="15" l="1"/>
  <c r="F16" i="15" s="1"/>
  <c r="C17" i="15"/>
  <c r="L17" i="15" l="1"/>
  <c r="E17" i="15" s="1"/>
  <c r="D17" i="15" l="1"/>
  <c r="M17" i="15" l="1"/>
  <c r="F17" i="15" s="1"/>
  <c r="C18" i="15"/>
  <c r="L18" i="15" l="1"/>
  <c r="E18" i="15" s="1"/>
  <c r="D18" i="15" l="1"/>
  <c r="C19" i="15" s="1"/>
  <c r="L19" i="15" s="1"/>
  <c r="E19" i="15" s="1"/>
  <c r="M18" i="15" l="1"/>
  <c r="F18" i="15" s="1"/>
  <c r="D19" i="15"/>
  <c r="M19" i="15" l="1"/>
  <c r="F19" i="15" s="1"/>
  <c r="C20" i="15"/>
  <c r="L20" i="15" l="1"/>
  <c r="E20" i="15" s="1"/>
  <c r="D20" i="15" l="1"/>
  <c r="M20" i="15" l="1"/>
  <c r="F20" i="15" s="1"/>
  <c r="C21" i="15"/>
  <c r="L21" i="15" l="1"/>
  <c r="E21" i="15" s="1"/>
  <c r="D21" i="15" l="1"/>
  <c r="M21" i="15" l="1"/>
  <c r="F21" i="15" s="1"/>
  <c r="C22" i="15"/>
  <c r="L22" i="15" l="1"/>
  <c r="E22" i="15" s="1"/>
  <c r="D22" i="15" l="1"/>
  <c r="M22" i="15" l="1"/>
  <c r="F22" i="15" s="1"/>
  <c r="C23" i="15"/>
  <c r="L23" i="15" l="1"/>
  <c r="E23" i="15" s="1"/>
  <c r="D23" i="15" l="1"/>
  <c r="M23" i="15" l="1"/>
  <c r="F23" i="15" s="1"/>
  <c r="C24" i="15"/>
  <c r="L24" i="15" l="1"/>
  <c r="E24" i="15" s="1"/>
  <c r="D24" i="15" l="1"/>
  <c r="M24" i="15" l="1"/>
  <c r="F24" i="15" s="1"/>
  <c r="C25" i="15"/>
  <c r="L25" i="15" l="1"/>
  <c r="E25" i="15" s="1"/>
  <c r="D25" i="15" l="1"/>
  <c r="M25" i="15" s="1"/>
  <c r="F25" i="15" s="1"/>
  <c r="C26" i="15" l="1"/>
  <c r="L26" i="15" s="1"/>
  <c r="D26" i="15" s="1"/>
  <c r="E26" i="15" l="1"/>
  <c r="M26" i="15" s="1"/>
  <c r="F26" i="15" s="1"/>
  <c r="C27" i="15"/>
  <c r="L27" i="15" l="1"/>
  <c r="D27" i="15" s="1"/>
  <c r="C28" i="15" s="1"/>
  <c r="E27" i="15" l="1"/>
  <c r="M27" i="15" s="1"/>
  <c r="F27" i="15" s="1"/>
  <c r="L28" i="15"/>
  <c r="D28" i="15" s="1"/>
  <c r="C29" i="15" s="1"/>
  <c r="E28" i="15" l="1"/>
  <c r="M28" i="15" s="1"/>
  <c r="F28" i="15" s="1"/>
  <c r="L29" i="15"/>
  <c r="D29" i="15" s="1"/>
  <c r="E29" i="15" l="1"/>
  <c r="M29" i="15" s="1"/>
  <c r="F29" i="15" s="1"/>
  <c r="C30" i="15"/>
  <c r="L30" i="15" l="1"/>
  <c r="D30" i="15" s="1"/>
  <c r="E30" i="15" l="1"/>
  <c r="M30" i="15" s="1"/>
  <c r="F30" i="15" s="1"/>
  <c r="C31" i="15"/>
  <c r="L31" i="15" l="1"/>
  <c r="D31" i="15" s="1"/>
  <c r="E31" i="15" l="1"/>
  <c r="M31" i="15" s="1"/>
  <c r="F31" i="15" s="1"/>
  <c r="C32" i="15"/>
  <c r="L32" i="15" l="1"/>
  <c r="E32" i="15" s="1"/>
  <c r="D32" i="15" l="1"/>
  <c r="M32" i="15" s="1"/>
  <c r="F32" i="15" s="1"/>
  <c r="C33" i="15" l="1"/>
  <c r="L33" i="15" s="1"/>
  <c r="E33" i="15" s="1"/>
  <c r="D33" i="15" l="1"/>
  <c r="M33" i="15" l="1"/>
  <c r="F33" i="15" s="1"/>
  <c r="C34" i="15"/>
  <c r="L34" i="15" l="1"/>
  <c r="E34" i="15" s="1"/>
  <c r="D34" i="15" l="1"/>
  <c r="C35" i="15" s="1"/>
  <c r="L35" i="15" s="1"/>
  <c r="E35" i="15" s="1"/>
  <c r="M34" i="15" l="1"/>
  <c r="F34" i="15" s="1"/>
  <c r="D35" i="15"/>
  <c r="M35" i="15" s="1"/>
  <c r="F35" i="15" s="1"/>
  <c r="C36" i="15" l="1"/>
  <c r="L36" i="15" s="1"/>
  <c r="E36" i="15" s="1"/>
  <c r="D36" i="15" l="1"/>
  <c r="M36" i="15" s="1"/>
  <c r="F36" i="15" s="1"/>
  <c r="C37" i="15" l="1"/>
  <c r="L37" i="15" s="1"/>
  <c r="E37" i="15" s="1"/>
  <c r="D37" i="15" l="1"/>
  <c r="M37" i="15" l="1"/>
  <c r="F37" i="15" s="1"/>
  <c r="C38" i="15"/>
  <c r="L38" i="15" l="1"/>
  <c r="D38" i="15" s="1"/>
  <c r="E38" i="15" l="1"/>
  <c r="M38" i="15" s="1"/>
  <c r="F38" i="15" s="1"/>
  <c r="C39" i="15"/>
  <c r="L39" i="15" l="1"/>
  <c r="E39" i="15" s="1"/>
  <c r="D39" i="15" l="1"/>
  <c r="M39" i="15" l="1"/>
  <c r="F39" i="15" s="1"/>
  <c r="C40" i="15"/>
  <c r="L40" i="15" l="1"/>
  <c r="E40" i="15" s="1"/>
  <c r="D40" i="15" l="1"/>
  <c r="M40" i="15" l="1"/>
  <c r="F40" i="15" s="1"/>
  <c r="C41" i="15"/>
  <c r="L41" i="15" l="1"/>
  <c r="E41" i="15" s="1"/>
  <c r="D41" i="15" l="1"/>
  <c r="C42" i="15" s="1"/>
  <c r="L42" i="15" s="1"/>
  <c r="E42" i="15" s="1"/>
  <c r="M41" i="15" l="1"/>
  <c r="F41" i="15" s="1"/>
  <c r="D42" i="15"/>
  <c r="M42" i="15" s="1"/>
  <c r="F42" i="15" s="1"/>
  <c r="C43" i="15" l="1"/>
  <c r="L43" i="15" s="1"/>
  <c r="E43" i="15" s="1"/>
  <c r="E44" i="15" s="1"/>
  <c r="D43" i="15" l="1"/>
  <c r="M43" i="15" s="1"/>
  <c r="F43" i="15" s="1"/>
  <c r="F44" i="15" s="1"/>
  <c r="D44" i="15" l="1"/>
  <c r="E10" i="16"/>
  <c r="E11" i="16"/>
  <c r="E12" i="16"/>
  <c r="E13" i="16"/>
  <c r="E14" i="16"/>
  <c r="E15" i="16"/>
  <c r="E16" i="16"/>
  <c r="E17" i="16"/>
  <c r="E18" i="16"/>
  <c r="E19" i="16"/>
  <c r="E20" i="16"/>
  <c r="E21" i="16"/>
  <c r="E22" i="16"/>
  <c r="E23" i="16"/>
  <c r="E24" i="16"/>
  <c r="E25" i="16"/>
  <c r="E26" i="16"/>
  <c r="E27" i="16"/>
  <c r="E28" i="16"/>
  <c r="E29" i="16"/>
  <c r="E30" i="16"/>
  <c r="E31" i="16"/>
  <c r="E32" i="16"/>
  <c r="E33" i="16"/>
  <c r="E34" i="16"/>
  <c r="E35" i="16"/>
  <c r="E36" i="16"/>
  <c r="E37" i="16"/>
  <c r="E38" i="16"/>
  <c r="E39" i="16"/>
  <c r="E40" i="16"/>
  <c r="E41" i="16"/>
  <c r="E42" i="16"/>
  <c r="E43" i="16"/>
  <c r="E44" i="16"/>
  <c r="F9" i="16"/>
  <c r="F10" i="16"/>
  <c r="F11" i="16"/>
  <c r="F12" i="16"/>
  <c r="F13" i="16"/>
  <c r="F14" i="16"/>
  <c r="F15" i="16"/>
  <c r="F16" i="16"/>
  <c r="F17" i="16"/>
  <c r="F18" i="16"/>
  <c r="F19" i="16"/>
  <c r="F20" i="16"/>
  <c r="F21" i="16"/>
  <c r="F22" i="16"/>
  <c r="F23" i="16"/>
  <c r="F24" i="16"/>
  <c r="F25" i="16"/>
  <c r="F26" i="16"/>
  <c r="F27" i="16"/>
  <c r="F28" i="16"/>
  <c r="F29" i="16"/>
  <c r="F30" i="16"/>
  <c r="F31" i="16"/>
  <c r="F32" i="16"/>
  <c r="F33" i="16"/>
  <c r="F34" i="16"/>
  <c r="F35" i="16"/>
  <c r="F36" i="16"/>
  <c r="F37" i="16"/>
  <c r="F38" i="16"/>
  <c r="F39" i="16"/>
  <c r="F40" i="16"/>
  <c r="F41" i="16"/>
  <c r="F42" i="16"/>
  <c r="F43" i="16"/>
  <c r="F44" i="16"/>
  <c r="D9" i="16"/>
  <c r="D10" i="16"/>
  <c r="D11" i="16"/>
  <c r="D12" i="16"/>
  <c r="D13" i="16"/>
  <c r="D14" i="16"/>
  <c r="D15" i="16"/>
  <c r="D16" i="16"/>
  <c r="D17" i="16"/>
  <c r="D18" i="16"/>
  <c r="D19" i="16"/>
  <c r="D20" i="16"/>
  <c r="D21" i="16"/>
  <c r="D22" i="16"/>
  <c r="D23" i="16"/>
  <c r="D24" i="16"/>
  <c r="D25" i="16"/>
  <c r="D26" i="16"/>
  <c r="D27" i="16"/>
  <c r="D28" i="16"/>
  <c r="D29" i="16"/>
  <c r="D30" i="16"/>
  <c r="D31" i="16"/>
  <c r="D32" i="16"/>
  <c r="D33" i="16"/>
  <c r="D34" i="16"/>
  <c r="D35" i="16"/>
  <c r="D36" i="16"/>
  <c r="D37" i="16"/>
  <c r="D38" i="16"/>
  <c r="D39" i="16"/>
  <c r="D40" i="16"/>
  <c r="D41" i="16"/>
  <c r="D42" i="16"/>
  <c r="D43" i="16"/>
  <c r="D44" i="16"/>
  <c r="C44" i="16"/>
  <c r="C43" i="16"/>
  <c r="C42" i="16"/>
  <c r="C41" i="16"/>
  <c r="C40" i="16"/>
  <c r="C39" i="16"/>
  <c r="C38" i="16"/>
  <c r="C37" i="16"/>
  <c r="C36" i="16"/>
  <c r="C35" i="16"/>
  <c r="C34" i="16"/>
  <c r="C33" i="16"/>
  <c r="C32" i="16"/>
  <c r="C31" i="16"/>
  <c r="C30" i="16"/>
  <c r="C29" i="16"/>
  <c r="C28" i="16"/>
  <c r="C27" i="16"/>
  <c r="C26" i="16"/>
  <c r="C25" i="16"/>
  <c r="C24" i="16"/>
  <c r="C23" i="16"/>
  <c r="C22" i="16"/>
  <c r="C21" i="16"/>
  <c r="C20" i="16"/>
  <c r="C19" i="16"/>
  <c r="C18" i="16"/>
  <c r="C17" i="16"/>
  <c r="C16" i="16"/>
  <c r="C15" i="16"/>
  <c r="C14" i="16"/>
  <c r="C13" i="16"/>
  <c r="C12" i="16"/>
  <c r="C11" i="16"/>
  <c r="C10" i="16"/>
  <c r="B90" i="1" l="1"/>
  <c r="F8" i="12" s="1"/>
  <c r="F45" i="16"/>
  <c r="D45" i="16"/>
  <c r="E45" i="16"/>
  <c r="C63" i="1"/>
  <c r="C60" i="1" s="1"/>
  <c r="A23" i="3" l="1"/>
  <c r="A22" i="3" s="1"/>
  <c r="A24" i="3"/>
  <c r="D8" i="12"/>
  <c r="F9" i="12"/>
  <c r="F10" i="12" l="1"/>
  <c r="C9" i="12"/>
  <c r="E9" i="12" l="1"/>
  <c r="F11" i="12"/>
  <c r="F12" i="12" l="1"/>
  <c r="D9" i="12"/>
  <c r="C10" i="12" l="1"/>
  <c r="F13" i="12"/>
  <c r="F14" i="12" l="1"/>
  <c r="E10" i="12"/>
  <c r="D10" i="12" l="1"/>
  <c r="F15" i="12"/>
  <c r="F16" i="12" l="1"/>
  <c r="C11" i="12"/>
  <c r="E11" i="12" l="1"/>
  <c r="F17" i="12"/>
  <c r="F18" i="12" l="1"/>
  <c r="D11" i="12"/>
  <c r="C12" i="12" l="1"/>
  <c r="F19" i="12"/>
  <c r="F20" i="12" l="1"/>
  <c r="E12" i="12"/>
  <c r="D12" i="12" l="1"/>
  <c r="F21" i="12"/>
  <c r="F22" i="12" l="1"/>
  <c r="C13" i="12"/>
  <c r="E13" i="12" l="1"/>
  <c r="F23" i="12"/>
  <c r="F24" i="12" l="1"/>
  <c r="D13" i="12"/>
  <c r="C14" i="12" s="1"/>
  <c r="E14" i="12" l="1"/>
  <c r="D14" i="12" s="1"/>
  <c r="C15" i="12" s="1"/>
  <c r="F25" i="12"/>
  <c r="E15" i="12" l="1"/>
  <c r="D15" i="12" s="1"/>
  <c r="C16" i="12" s="1"/>
  <c r="F26" i="12"/>
  <c r="E16" i="12" l="1"/>
  <c r="D16" i="12" s="1"/>
  <c r="C17" i="12" s="1"/>
  <c r="F27" i="12"/>
  <c r="E17" i="12" l="1"/>
  <c r="D17" i="12" s="1"/>
  <c r="C18" i="12" s="1"/>
  <c r="F28" i="12"/>
  <c r="E18" i="12" l="1"/>
  <c r="D18" i="12" s="1"/>
  <c r="C19" i="12" s="1"/>
  <c r="F29" i="12"/>
  <c r="E19" i="12" l="1"/>
  <c r="D19" i="12" s="1"/>
  <c r="C20" i="12" s="1"/>
  <c r="F30" i="12"/>
  <c r="E20" i="12" l="1"/>
  <c r="D20" i="12" s="1"/>
  <c r="C21" i="12" s="1"/>
  <c r="F31" i="12"/>
  <c r="E21" i="12" l="1"/>
  <c r="D21" i="12" s="1"/>
  <c r="C22" i="12" s="1"/>
  <c r="F32" i="12"/>
  <c r="E22" i="12" l="1"/>
  <c r="D22" i="12" s="1"/>
  <c r="C23" i="12" s="1"/>
  <c r="F33" i="12"/>
  <c r="F34" i="12" l="1"/>
  <c r="E23" i="12"/>
  <c r="D23" i="12" s="1"/>
  <c r="C24" i="12" s="1"/>
  <c r="E24" i="12" l="1"/>
  <c r="D24" i="12" s="1"/>
  <c r="C25" i="12" s="1"/>
  <c r="F35" i="12"/>
  <c r="E25" i="12" l="1"/>
  <c r="D25" i="12" s="1"/>
  <c r="C26" i="12" s="1"/>
  <c r="F36" i="12"/>
  <c r="F37" i="12" l="1"/>
  <c r="E26" i="12"/>
  <c r="D26" i="12" s="1"/>
  <c r="C27" i="12" s="1"/>
  <c r="E27" i="12" l="1"/>
  <c r="D27" i="12" s="1"/>
  <c r="C28" i="12" s="1"/>
  <c r="F38" i="12"/>
  <c r="E28" i="12" l="1"/>
  <c r="D28" i="12" s="1"/>
  <c r="C29" i="12" s="1"/>
  <c r="F39" i="12"/>
  <c r="E29" i="12" l="1"/>
  <c r="D29" i="12" s="1"/>
  <c r="C30" i="12" s="1"/>
  <c r="F40" i="12"/>
  <c r="E30" i="12" l="1"/>
  <c r="D30" i="12" s="1"/>
  <c r="C31" i="12" s="1"/>
  <c r="F41" i="12"/>
  <c r="E31" i="12" l="1"/>
  <c r="D31" i="12" s="1"/>
  <c r="C32" i="12" s="1"/>
  <c r="F42" i="12"/>
  <c r="E32" i="12" l="1"/>
  <c r="D32" i="12" s="1"/>
  <c r="C33" i="12" s="1"/>
  <c r="E33" i="12" l="1"/>
  <c r="D33" i="12" s="1"/>
  <c r="C34" i="12" s="1"/>
  <c r="E34" i="12" l="1"/>
  <c r="D34" i="12" s="1"/>
  <c r="C35" i="12" s="1"/>
  <c r="E35" i="12" l="1"/>
  <c r="D35" i="12" s="1"/>
  <c r="C36" i="12" s="1"/>
  <c r="E36" i="12" l="1"/>
  <c r="D36" i="12" s="1"/>
  <c r="C37" i="12" s="1"/>
  <c r="E37" i="12" l="1"/>
  <c r="D37" i="12" s="1"/>
  <c r="C38" i="12" s="1"/>
  <c r="E38" i="12" l="1"/>
  <c r="D38" i="12" s="1"/>
  <c r="C39" i="12" s="1"/>
  <c r="E39" i="12" l="1"/>
  <c r="D39" i="12" s="1"/>
  <c r="C40" i="12" s="1"/>
  <c r="E40" i="12" l="1"/>
  <c r="D40" i="12" s="1"/>
  <c r="C41" i="12" s="1"/>
  <c r="E41" i="12" l="1"/>
  <c r="D41" i="12" s="1"/>
  <c r="C42" i="12" s="1"/>
  <c r="E42" i="12" l="1"/>
  <c r="D42" i="12" s="1"/>
  <c r="C43" i="12" s="1"/>
  <c r="E43" i="12" l="1"/>
  <c r="E44" i="12" s="1"/>
  <c r="D43" i="12"/>
  <c r="F43" i="12" l="1"/>
  <c r="F44" i="12" s="1"/>
  <c r="D44" i="12"/>
  <c r="B39" i="1"/>
  <c r="B39"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<sst xmlns="http://schemas.openxmlformats.org/spreadsheetml/2006/main" count="610" uniqueCount="450">
  <si>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</si>
  <si>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</si>
  <si>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</si>
  <si>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</si>
  <si>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</si>
  <si>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</si>
  <si>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</si>
  <si>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</si>
  <si>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</si>
  <si>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</si>
  <si>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</si>
  <si>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</si>
  <si>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</si>
  <si>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</si>
  <si>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</si>
  <si>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</si>
  <si>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</si>
  <si>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</si>
  <si>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</si>
  <si>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</si>
  <si>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</si>
  <si>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</si>
  <si>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</si>
  <si>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</si>
  <si>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</si>
  <si>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</si>
  <si>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</si>
  <si>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</si>
  <si>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</si>
  <si>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</si>
  <si>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</si>
  <si>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</si>
  <si>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</si>
  <si>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</si>
  <si>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</si>
  <si>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</si>
  <si>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</si>
  <si>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</si>
  <si>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</si>
  <si>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</si>
  <si>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</si>
  <si>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</si>
  <si>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</si>
  <si>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</si>
  <si>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</si>
  <si>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</si>
  <si>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</si>
  <si>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</si>
  <si>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SAMARQAND VILOYATI TAYLOQ TUMANI CHAROG'BON MFY YANGI TAYLOQ QISHLOG'I 6 TURAR JOY 12 QAVAT 58 XONADON</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</si>
  <si>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</si>
  <si>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</si>
  <si>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</si>
  <si>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</si>
  <si>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</si>
  <si>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</si>
  <si>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</si>
  <si>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</si>
  <si>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</si>
  <si>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</si>
  <si>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</si>
  <si>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</si>
  <si>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</si>
  <si>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</si>
  <si>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</si>
  <si>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</si>
  <si>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</si>
  <si>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</si>
  <si>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</si>
  <si>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</si>
  <si>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</si>
  <si>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</si>
  <si>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</si>
  <si>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</si>
  <si>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</si>
  <si>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</si>
  <si>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</si>
  <si>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</si>
  <si>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</si>
  <si>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</si>
  <si>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</si>
  <si>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</si>
  <si>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</si>
  <si>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</si>
  <si>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</si>
  <si>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</si>
  <si>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</si>
  <si>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</si>
  <si>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</si>
  <si>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</si>
  <si>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</si>
  <si>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</si>
  <si>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</si>
  <si>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</si>
  <si>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</si>
  <si>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</si>
  <si>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</si>
  <si>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</si>
  <si>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</si>
  <si>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</si>
  <si>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</si>
  <si>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</si>
  <si>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</si>
  <si>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</si>
  <si>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</si>
  <si>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</si>
  <si>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</si>
  <si>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</si>
  <si>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</si>
  <si>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</si>
  <si>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</si>
  <si>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</si>
  <si>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</si>
  <si>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</si>
  <si>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</si>
  <si>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</si>
  <si>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</si>
  <si>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</si>
  <si>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</si>
  <si>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</si>
  <si>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</si>
  <si>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</si>
  <si>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</si>
  <si>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</si>
  <si>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</si>
  <si>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</si>
  <si>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</si>
  <si>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</si>
  <si>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</si>
  <si>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</si>
  <si>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</si>
  <si>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</si>
  <si>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</si>
  <si>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</si>
  <si>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</si>
  <si>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</si>
  <si>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</si>
  <si>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</si>
  <si>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</si>
  <si>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</si>
  <si>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</si>
  <si>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</si>
  <si>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</si>
  <si>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</si>
  <si>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</si>
  <si>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</si>
  <si>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</si>
  <si>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</si>
  <si>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</si>
  <si>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</si>
  <si>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</si>
  <si>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</si>
  <si>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</si>
  <si>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</si>
  <si>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</si>
  <si>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</si>
  <si>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</si>
  <si>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</si>
  <si>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</si>
  <si>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</si>
  <si>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</si>
  <si>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</si>
  <si>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</si>
  <si>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</si>
  <si>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</si>
  <si>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</si>
  <si>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</si>
  <si>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</si>
  <si>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</si>
  <si>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</si>
  <si>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</si>
  <si>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</si>
  <si>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</si>
  <si>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</si>
  <si>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</si>
  <si>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</si>
  <si>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</si>
  <si>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</si>
  <si>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</si>
  <si>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</si>
  <si>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</si>
  <si>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</si>
  <si>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</si>
  <si>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</si>
  <si>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</si>
  <si>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</si>
  <si>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</si>
  <si>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</si>
  <si>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</si>
  <si>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</si>
  <si>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</si>
  <si>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</si>
  <si>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</si>
  <si>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</si>
  <si>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</si>
  <si>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</si>
  <si>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</si>
  <si>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</si>
  <si>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</si>
  <si>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</si>
  <si>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</si>
  <si>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</si>
  <si>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</si>
  <si>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</si>
  <si>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</si>
  <si>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</si>
  <si>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</si>
  <si>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</si>
  <si>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</si>
  <si>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</si>
  <si>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</si>
  <si>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</si>
  <si>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</si>
  <si>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</si>
  <si>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</si>
  <si>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</si>
  <si>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</si>
  <si>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</si>
  <si>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</si>
  <si>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</si>
  <si>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</si>
  <si>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</si>
  <si>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</si>
  <si>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</si>
  <si>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</si>
  <si>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</si>
  <si>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</si>
  <si>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</si>
  <si>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</si>
  <si>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</si>
  <si>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</si>
  <si>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</si>
  <si>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</si>
  <si>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</si>
  <si>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</si>
  <si>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</si>
  <si>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</si>
  <si>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</si>
  <si>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</si>
  <si>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</si>
  <si>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</si>
  <si>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</si>
  <si>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</si>
  <si>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</si>
  <si>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</si>
  <si>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</si>
  <si>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</si>
  <si>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</si>
  <si>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</si>
  <si>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</si>
  <si>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</si>
  <si>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</si>
  <si>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</si>
  <si>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</si>
  <si>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</si>
  <si>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</si>
  <si>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</si>
  <si>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</si>
  <si>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</si>
  <si>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</si>
  <si>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</si>
  <si>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</si>
  <si>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</si>
  <si>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</si>
  <si>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</si>
  <si>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</si>
  <si>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</si>
  <si>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</si>
  <si>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</si>
  <si>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</si>
  <si>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</si>
  <si>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</si>
  <si>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</si>
  <si>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</si>
  <si>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</si>
  <si>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</si>
  <si>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</si>
  <si>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</si>
  <si>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</si>
  <si>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</si>
  <si>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</si>
  <si>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</si>
  <si>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</si>
  <si>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</si>
  <si>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</si>
  <si>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</si>
  <si>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</si>
  <si>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</si>
  <si>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</si>
  <si>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</si>
  <si>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</si>
  <si>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</si>
  <si>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</si>
  <si>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</si>
  <si>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</si>
  <si>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</si>
  <si>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</si>
  <si>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</si>
  <si>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</si>
  <si>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</si>
  <si>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</si>
  <si>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</si>
  <si>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</si>
  <si>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</si>
  <si>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</si>
  <si>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</si>
  <si>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</si>
  <si>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</si>
  <si>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</si>
  <si>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</si>
  <si>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</si>
  <si>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</si>
  <si>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</si>
  <si>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</si>
  <si>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</si>
  <si>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</si>
  <si>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</si>
  <si>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</si>
  <si>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</si>
  <si>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</si>
  <si>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</si>
  <si>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</si>
  <si>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</si>
  <si>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</si>
  <si>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</si>
  <si>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</si>
  <si>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</si>
  <si>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</si>
  <si>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</si>
  <si>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</si>
  <si>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</si>
  <si>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</si>
  <si>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</si>
  <si>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Ijrochi direktori</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</si>
  <si>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</si>
  <si>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</si>
  <si>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</si>
  <si>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</si>
  <si>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</si>
  <si>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</si>
  <si>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</si>
  <si>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</si>
  <si>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</si>
  <si>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</si>
  <si>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</si>
  <si>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</si>
  <si>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</si>
  <si>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27-13/555</t>
  </si>
  <si>
    <t>22.07.2022 y.</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</si>
  <si>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</si>
  <si>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</si>
  <si>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</si>
  <si>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</si>
  <si>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</si>
  <si>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</si>
  <si>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</si>
  <si>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</si>
  <si>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</si>
  <si>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</si>
  <si>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</si>
  <si>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</si>
  <si>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</si>
  <si>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</si>
  <si>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</si>
  <si>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</si>
  <si>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</si>
  <si>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</si>
  <si>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</si>
  <si>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</si>
  <si>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</si>
  <si>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</si>
  <si>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</si>
  <si>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</si>
  <si>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</si>
  <si>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</si>
  <si>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</si>
  <si>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</si>
  <si>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</si>
  <si>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</si>
  <si>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</si>
  <si>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37,39</t>
  </si>
  <si>
    <t>16.12.2020 yildan №14:13:02:01:03:1179:0006:058</t>
  </si>
  <si>
    <t>13.12.2020 yildan 1718238/R-A1419303</t>
  </si>
  <si>
    <t>№ kadastr raqami</t>
  </si>
  <si>
    <t>Foydalanishga topshirilgan yili</t>
  </si>
  <si>
    <t xml:space="preserve"> sanasidan</t>
  </si>
  <si>
    <t>`</t>
  </si>
  <si>
    <t>i</t>
  </si>
  <si>
    <t>yu</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</si>
  <si>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</si>
  <si>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60</t>
  </si>
  <si>
    <t>Oltmish</t>
  </si>
  <si>
    <t>Йиллик фойз 50 фойздан утиб кетмаслиги керак</t>
  </si>
  <si>
    <t>100</t>
  </si>
  <si>
    <t>bir yuz</t>
  </si>
  <si>
    <t>Mijoz quyidagi majburiyatlarga ega : TOSHKЕNT Sh., "KAPITALBANK" AT BANKINING YAGONA FILIALI 174 661 821.46 so`m. Ayni paytda muddati o'tgan qarzdorligi mavjud emas. O‘rtacha oylik to‘lov 6 725 664.14 so‘mni tashkil qiladi.</t>
  </si>
  <si>
    <t>o'ttiz olti</t>
  </si>
  <si>
    <t>Kreditlash bo’limi boshlig’i</t>
  </si>
  <si>
    <t>B. Mominov</t>
  </si>
  <si>
    <t>N. Abduraximov</t>
  </si>
  <si>
    <t>B. Jumanazarov</t>
  </si>
  <si>
    <t>Imzolaganlar ro'yxati:</t>
  </si>
  <si>
    <t>Ijrochi direktor:</t>
  </si>
  <si>
    <t>N.Abduraximovga</t>
  </si>
  <si>
    <t>ARIZA</t>
  </si>
  <si>
    <t xml:space="preserve"> Mikroqarz shartnomasining bir nusxasini oldim ____________</t>
  </si>
  <si>
    <t>Mijoz plastik kartasi parametrlari</t>
  </si>
  <si>
    <t>Karta raqami:</t>
  </si>
  <si>
    <t>Bank nomi:</t>
  </si>
  <si>
    <t>H/r:</t>
  </si>
  <si>
    <t>MFO:</t>
  </si>
  <si>
    <t>STIR:</t>
  </si>
  <si>
    <t>P________________</t>
  </si>
  <si>
    <t>Pardayev Abdisattor Jaylovovich</t>
  </si>
  <si>
    <t>Surxondaryo filiali boshlig'i</t>
  </si>
  <si>
    <t>A.PARDAYEV</t>
  </si>
  <si>
    <t xml:space="preserve">«Davr bank» </t>
  </si>
  <si>
    <t>2312 0000 1000 0112 1001</t>
  </si>
  <si>
    <t>01121</t>
  </si>
  <si>
    <t>207212359</t>
  </si>
  <si>
    <t>24.03.2025</t>
  </si>
  <si>
    <t>SHAYMARDANOVA SABOXAT YULDASHEVNA</t>
  </si>
  <si>
    <t>SHAYMARDANOVA S.Y.</t>
  </si>
  <si>
    <t>09.11.1976 yil</t>
  </si>
  <si>
    <t>AC 1659096</t>
  </si>
  <si>
    <t>SURXONDARYO VILOYATI JARQO'RG'ON TUMANI IIB</t>
  </si>
  <si>
    <t>SURXONDAEYO VILOYATU JARQO'RG'ON TUMANI QORAYONTOQ MFY IBN SINO KO'CHASI 114-UY</t>
  </si>
  <si>
    <t>93-763-00-67 MIJOZ</t>
  </si>
  <si>
    <t>QORAYONTOQ BEKAT</t>
  </si>
  <si>
    <t>SURXONDARYO VILOYATI JARQO'RG'ON TUMANI QORAYONTOQ MFY IBN SINO KO'CHASI 114-UY</t>
  </si>
  <si>
    <t>JARQO'RG'ON TUMANI</t>
  </si>
  <si>
    <t>93-761-09-76 TURMUSH O'RTOG'I</t>
  </si>
  <si>
    <t>94-706-67-09 UY RAQAMI</t>
  </si>
  <si>
    <t>XUDOYKULOV ALMURAT KURBONAZAROVICH</t>
  </si>
  <si>
    <t>XUDOYKULOV A.K.</t>
  </si>
  <si>
    <t>09.11.1967 y.</t>
  </si>
  <si>
    <t>AB 6443927</t>
  </si>
  <si>
    <t>SURXONDARYO VILOYATI JARQO'RG'ON TUMANI OQQURG'ON QFY QORAYONTOQ MFY IBN SINO KO'CHASI 114-UY</t>
  </si>
  <si>
    <t>SURXONDARYO VILOYATI RO' VA IOB</t>
  </si>
  <si>
    <t>AAG 3367573 24.01.2024 y.</t>
  </si>
  <si>
    <t>LADA VESTA</t>
  </si>
  <si>
    <t>75M497WA</t>
  </si>
  <si>
    <t>YENGIL SEDAN</t>
  </si>
  <si>
    <t>XTAGFL110KY258232</t>
  </si>
  <si>
    <t>3977458</t>
  </si>
  <si>
    <t>SARIQ JELTO- ORANJEVIY</t>
  </si>
  <si>
    <t>2019</t>
  </si>
  <si>
    <t>6262 7300 8771 9516</t>
  </si>
  <si>
    <t xml:space="preserve">SURXONDARYO VILOYATI JARQO'RG'ON TUMANI IIB tomonidan 10.04.2017 yilda berilgan </t>
  </si>
  <si>
    <t>RAKAMSIZ</t>
  </si>
  <si>
    <t>№659-SR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</si>
</sst>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 numFmtId="169" formatCode="dd\.mm\.yyyy"/>
    <numFmt numFmtId="170" formatCode="_-* #\ ##0.00_-;\-* #\ ##0.00_-;_-* &quot;-&quot;??_-;_-@_-"/>
  </numFmts>
  <fonts count="65">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2"/>
      <color theme="0"/>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sz val="22"/>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
      <i/>
      <sz val="11"/>
      <color rgb="FFFF0000"/>
      <name val="Arial"/>
      <family val="2"/>
      <charset val="204"/>
    </font>
    <font>
      <sz val="11"/>
      <color theme="1"/>
      <name val="Arial"/>
      <family val="2"/>
      <charset val="204"/>
    </font>
    <font>
      <sz val="11"/>
      <color theme="1"/>
      <name val="Calibri"/>
      <charset val="134"/>
      <scheme val="minor"/>
    </font>
    <font>
      <sz val="11"/>
      <color theme="1"/>
      <name val="Calibri"/>
      <charset val="204"/>
      <scheme val="minor"/>
    </font>
    <font>
      <sz val="11"/>
      <name val="Calibri"/>
      <charset val="204"/>
    </font>
    <font>
      <sz val="8"/>
      <name val="Calibri"/>
      <family val="2"/>
      <scheme val="minor"/>
    </font>
    <font>
      <b/>
      <u/>
      <sz val="12"/>
      <name val="Times New Roman"/>
      <family val="1"/>
      <charset val="204"/>
    </font>
    <font>
      <b/>
      <sz val="12"/>
      <name val="Times New Roman"/>
      <family val="1"/>
      <charset val="204"/>
    </font>
  </fonts>
  <fills count="12">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
      <left/>
      <right style="thin">
        <color indexed="64"/>
      </right>
      <top/>
      <bottom/>
      <diagonal/>
    </border>
  </borders>
  <cellStyleXfs count="1786">
    <xf numFmtId="0" fontId="0"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55" fillId="0" borderId="0">
      <alignment vertical="center"/>
    </xf>
    <xf numFmtId="0" fontId="55" fillId="0" borderId="0">
      <alignment vertical="center"/>
    </xf>
    <xf numFmtId="43" fontId="6"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41"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60" fillId="0" borderId="0"/>
    <xf numFmtId="170" fontId="59" fillId="0" borderId="0" applyFont="0" applyFill="0" applyBorder="0" applyAlignment="0" applyProtection="0"/>
    <xf numFmtId="170" fontId="59" fillId="0" borderId="0" applyFont="0" applyFill="0" applyBorder="0" applyAlignment="0" applyProtection="0"/>
    <xf numFmtId="0" fontId="60" fillId="0" borderId="0"/>
    <xf numFmtId="170" fontId="59" fillId="0" borderId="0" applyFont="0" applyFill="0" applyBorder="0" applyAlignment="0" applyProtection="0"/>
    <xf numFmtId="170" fontId="59" fillId="0" borderId="0" applyFont="0" applyFill="0" applyBorder="0" applyAlignment="0" applyProtection="0"/>
    <xf numFmtId="0" fontId="61" fillId="0" borderId="0">
      <alignment vertical="center"/>
    </xf>
    <xf numFmtId="0" fontId="60" fillId="0" borderId="0"/>
    <xf numFmtId="170" fontId="59" fillId="0" borderId="0" applyFont="0" applyFill="0" applyBorder="0" applyAlignment="0" applyProtection="0"/>
    <xf numFmtId="0" fontId="60" fillId="0" borderId="0"/>
    <xf numFmtId="0" fontId="60" fillId="0" borderId="0"/>
    <xf numFmtId="0" fontId="60" fillId="0" borderId="0"/>
    <xf numFmtId="0" fontId="60" fillId="0" borderId="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0" fontId="61" fillId="0" borderId="0">
      <alignment vertical="center"/>
    </xf>
    <xf numFmtId="170" fontId="59" fillId="0" borderId="0" applyFont="0" applyFill="0" applyBorder="0" applyAlignment="0" applyProtection="0"/>
    <xf numFmtId="0" fontId="60" fillId="0" borderId="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9" fontId="5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cellStyleXfs>
  <cellXfs count="399">
    <xf numFmtId="0" fontId="0" fillId="0" borderId="0" xfId="0"/>
    <xf numFmtId="0" fontId="7" fillId="0" borderId="1" xfId="0" applyFont="1" applyBorder="1" applyAlignment="1">
      <alignment vertical="center" wrapText="1"/>
    </xf>
    <xf numFmtId="49" fontId="7" fillId="0" borderId="1" xfId="0" applyNumberFormat="1" applyFont="1" applyBorder="1" applyAlignment="1">
      <alignment vertical="center" wrapText="1"/>
    </xf>
    <xf numFmtId="0" fontId="8" fillId="2" borderId="1" xfId="0" applyFont="1" applyFill="1" applyBorder="1" applyAlignment="1">
      <alignment vertical="center" wrapText="1"/>
    </xf>
    <xf numFmtId="165" fontId="7" fillId="0" borderId="1" xfId="0" applyNumberFormat="1" applyFont="1" applyBorder="1" applyAlignment="1">
      <alignment vertical="center" wrapText="1"/>
    </xf>
    <xf numFmtId="43" fontId="7" fillId="0" borderId="1" xfId="1" applyFont="1" applyBorder="1" applyAlignment="1">
      <alignment vertical="center" wrapText="1"/>
    </xf>
    <xf numFmtId="0" fontId="9" fillId="0" borderId="0" xfId="0" applyFont="1"/>
    <xf numFmtId="0" fontId="9" fillId="0" borderId="0" xfId="0" applyFont="1" applyAlignment="1">
      <alignment horizontal="right"/>
    </xf>
    <xf numFmtId="0" fontId="11" fillId="2" borderId="1" xfId="0" applyFont="1" applyFill="1" applyBorder="1" applyAlignment="1">
      <alignment horizontal="left" vertical="center" wrapText="1"/>
    </xf>
    <xf numFmtId="0" fontId="11" fillId="2" borderId="1" xfId="0" applyFont="1" applyFill="1" applyBorder="1" applyAlignment="1">
      <alignment horizontal="center" vertical="center" wrapText="1"/>
    </xf>
    <xf numFmtId="0" fontId="14" fillId="0" borderId="0" xfId="0" applyFont="1" applyAlignment="1" applyProtection="1">
      <alignment horizontal="center" vertical="top"/>
      <protection hidden="1"/>
    </xf>
    <xf numFmtId="0" fontId="12" fillId="0" borderId="0" xfId="0" applyFont="1" applyAlignment="1" applyProtection="1">
      <alignment horizontal="center" vertical="center"/>
      <protection hidden="1"/>
    </xf>
    <xf numFmtId="0" fontId="14" fillId="0" borderId="0" xfId="0" applyFont="1" applyAlignment="1" applyProtection="1">
      <alignment horizontal="center" vertical="center"/>
      <protection hidden="1"/>
    </xf>
    <xf numFmtId="0" fontId="10" fillId="0" borderId="0" xfId="0" applyFont="1"/>
    <xf numFmtId="0" fontId="10" fillId="0" borderId="0" xfId="0" applyFont="1" applyAlignment="1">
      <alignment horizontal="right"/>
    </xf>
    <xf numFmtId="0" fontId="15" fillId="0" borderId="0" xfId="0" applyFont="1"/>
    <xf numFmtId="0" fontId="15" fillId="0" borderId="0" xfId="0" applyFont="1" applyAlignment="1">
      <alignment horizontal="center" vertical="center" wrapText="1"/>
    </xf>
    <xf numFmtId="0" fontId="15" fillId="0" borderId="1" xfId="0" applyFont="1" applyBorder="1" applyAlignment="1">
      <alignment horizontal="center" vertical="center" wrapText="1"/>
    </xf>
    <xf numFmtId="0" fontId="15" fillId="0" borderId="1" xfId="0" applyFont="1" applyBorder="1"/>
    <xf numFmtId="0" fontId="15" fillId="0" borderId="0" xfId="0" applyFont="1" applyAlignment="1">
      <alignment horizontal="justify" vertical="top" wrapText="1"/>
    </xf>
    <xf numFmtId="0" fontId="15" fillId="0" borderId="0" xfId="0" applyFont="1" applyAlignment="1">
      <alignment wrapText="1"/>
    </xf>
    <xf numFmtId="164" fontId="7" fillId="0" borderId="1" xfId="0" applyNumberFormat="1" applyFont="1" applyBorder="1" applyAlignment="1">
      <alignment vertical="center" wrapText="1"/>
    </xf>
    <xf numFmtId="0" fontId="15" fillId="0" borderId="0" xfId="0" applyFont="1" applyAlignment="1">
      <alignment vertical="top" wrapText="1"/>
    </xf>
    <xf numFmtId="0" fontId="15" fillId="0" borderId="0" xfId="0" applyFont="1" applyAlignment="1">
      <alignment vertical="center" wrapText="1"/>
    </xf>
    <xf numFmtId="0" fontId="18" fillId="0" borderId="0" xfId="0" applyFont="1"/>
    <xf numFmtId="0" fontId="17" fillId="0" borderId="1" xfId="0" applyFont="1" applyBorder="1" applyAlignment="1">
      <alignment horizontal="center" vertical="center" wrapText="1"/>
    </xf>
    <xf numFmtId="0" fontId="17" fillId="0" borderId="0" xfId="0" applyFont="1" applyAlignment="1">
      <alignment horizontal="center" vertical="center" wrapText="1"/>
    </xf>
    <xf numFmtId="0" fontId="18" fillId="0" borderId="1" xfId="0" applyFont="1" applyBorder="1" applyAlignment="1">
      <alignment horizontal="center" vertical="top" wrapText="1"/>
    </xf>
    <xf numFmtId="43" fontId="18" fillId="0" borderId="1" xfId="1" applyFont="1" applyBorder="1" applyAlignment="1">
      <alignment horizontal="center" vertical="top" wrapText="1"/>
    </xf>
    <xf numFmtId="0" fontId="17" fillId="0" borderId="1" xfId="0" applyFont="1" applyBorder="1" applyAlignment="1">
      <alignment horizontal="center" vertical="top" wrapText="1"/>
    </xf>
    <xf numFmtId="43" fontId="17" fillId="0" borderId="1" xfId="0" applyNumberFormat="1" applyFont="1" applyBorder="1" applyAlignment="1">
      <alignment horizontal="center" vertical="top" wrapText="1"/>
    </xf>
    <xf numFmtId="0" fontId="17" fillId="0" borderId="0" xfId="0" applyFont="1"/>
    <xf numFmtId="0" fontId="9" fillId="0" borderId="0" xfId="0" applyFont="1" applyAlignment="1">
      <alignment horizontal="left"/>
    </xf>
    <xf numFmtId="14" fontId="15" fillId="0" borderId="1" xfId="0" applyNumberFormat="1" applyFont="1" applyBorder="1"/>
    <xf numFmtId="43" fontId="15" fillId="0" borderId="1" xfId="1" applyFont="1" applyBorder="1"/>
    <xf numFmtId="14" fontId="15" fillId="0" borderId="0" xfId="0" applyNumberFormat="1" applyFont="1"/>
    <xf numFmtId="43" fontId="15" fillId="0" borderId="0" xfId="1" applyFont="1" applyBorder="1"/>
    <xf numFmtId="0" fontId="16" fillId="0" borderId="0" xfId="0" applyFont="1"/>
    <xf numFmtId="0" fontId="16" fillId="0" borderId="0" xfId="0" applyFont="1" applyAlignment="1">
      <alignment horizontal="right"/>
    </xf>
    <xf numFmtId="0" fontId="16" fillId="0" borderId="1" xfId="0" applyFont="1" applyBorder="1" applyAlignment="1">
      <alignment horizontal="center" vertical="center" wrapText="1"/>
    </xf>
    <xf numFmtId="0" fontId="16" fillId="0" borderId="0" xfId="0" applyFont="1" applyAlignment="1">
      <alignment horizontal="center"/>
    </xf>
    <xf numFmtId="0" fontId="23" fillId="0" borderId="0" xfId="0" applyFont="1" applyAlignment="1">
      <alignment horizontal="center" wrapText="1"/>
    </xf>
    <xf numFmtId="0" fontId="15" fillId="0" borderId="0" xfId="0" applyFont="1" applyAlignment="1">
      <alignment horizontal="center" wrapText="1"/>
    </xf>
    <xf numFmtId="0" fontId="22" fillId="0" borderId="0" xfId="0" applyFont="1" applyAlignment="1">
      <alignment horizontal="center" wrapText="1"/>
    </xf>
    <xf numFmtId="0" fontId="15" fillId="0" borderId="8" xfId="0" applyFont="1" applyBorder="1" applyAlignment="1">
      <alignment horizontal="center" wrapText="1"/>
    </xf>
    <xf numFmtId="0" fontId="15" fillId="0" borderId="9" xfId="0" applyFont="1" applyBorder="1" applyAlignment="1">
      <alignment horizontal="center" wrapText="1"/>
    </xf>
    <xf numFmtId="0" fontId="16" fillId="0" borderId="1" xfId="0" applyFont="1" applyBorder="1"/>
    <xf numFmtId="14" fontId="16" fillId="0" borderId="1" xfId="0" applyNumberFormat="1" applyFont="1" applyBorder="1"/>
    <xf numFmtId="43" fontId="16" fillId="0" borderId="1" xfId="1" applyFont="1" applyBorder="1"/>
    <xf numFmtId="0" fontId="7" fillId="4" borderId="1" xfId="0" applyFont="1" applyFill="1" applyBorder="1" applyAlignment="1">
      <alignment vertical="center" wrapText="1"/>
    </xf>
    <xf numFmtId="0" fontId="16" fillId="0" borderId="0" xfId="0" applyFont="1" applyAlignment="1">
      <alignment horizontal="center" vertical="center" wrapText="1"/>
    </xf>
    <xf numFmtId="43" fontId="28" fillId="0" borderId="1" xfId="1" applyFont="1" applyBorder="1"/>
    <xf numFmtId="43" fontId="7" fillId="4" borderId="1" xfId="1" applyFont="1" applyFill="1" applyBorder="1" applyAlignment="1">
      <alignment vertical="center" wrapText="1"/>
    </xf>
    <xf numFmtId="0" fontId="15" fillId="0" borderId="0" xfId="0" applyFont="1" applyAlignment="1">
      <alignment horizontal="left" vertical="top" wrapText="1"/>
    </xf>
    <xf numFmtId="0" fontId="15" fillId="0" borderId="8" xfId="0" applyFont="1" applyBorder="1" applyAlignment="1">
      <alignment wrapText="1"/>
    </xf>
    <xf numFmtId="0" fontId="15" fillId="0" borderId="9" xfId="0" applyFont="1" applyBorder="1" applyAlignment="1">
      <alignment wrapText="1"/>
    </xf>
    <xf numFmtId="49" fontId="9" fillId="0" borderId="0" xfId="0" applyNumberFormat="1" applyFont="1" applyAlignment="1">
      <alignment horizontal="right"/>
    </xf>
    <xf numFmtId="49" fontId="7" fillId="4" borderId="1" xfId="0" applyNumberFormat="1" applyFont="1" applyFill="1" applyBorder="1" applyAlignment="1">
      <alignment vertical="center" wrapText="1"/>
    </xf>
    <xf numFmtId="165" fontId="27" fillId="2" borderId="1" xfId="0" applyNumberFormat="1" applyFont="1" applyFill="1" applyBorder="1" applyAlignment="1">
      <alignment vertical="center" wrapText="1"/>
    </xf>
    <xf numFmtId="165" fontId="7" fillId="2" borderId="1" xfId="0" applyNumberFormat="1" applyFont="1" applyFill="1" applyBorder="1" applyAlignment="1">
      <alignment vertical="center" wrapText="1"/>
    </xf>
    <xf numFmtId="0" fontId="7"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2" fillId="4" borderId="1" xfId="0" applyFont="1" applyFill="1" applyBorder="1"/>
    <xf numFmtId="0" fontId="10" fillId="0" borderId="0" xfId="0" applyFont="1" applyAlignment="1">
      <alignment horizontal="center" vertical="center" wrapText="1"/>
    </xf>
    <xf numFmtId="0" fontId="10" fillId="0" borderId="0" xfId="0" applyFont="1" applyAlignment="1">
      <alignment horizontal="center"/>
    </xf>
    <xf numFmtId="0" fontId="9" fillId="0" borderId="0" xfId="0" applyFont="1" applyAlignment="1">
      <alignment horizontal="center" vertical="center"/>
    </xf>
    <xf numFmtId="43" fontId="7" fillId="4" borderId="3" xfId="1" applyFont="1" applyFill="1" applyBorder="1" applyAlignment="1">
      <alignment vertical="center" wrapText="1"/>
    </xf>
    <xf numFmtId="0" fontId="8" fillId="2" borderId="1" xfId="0" applyFont="1" applyFill="1" applyBorder="1" applyAlignment="1">
      <alignment horizontal="right" vertical="center" wrapText="1"/>
    </xf>
    <xf numFmtId="0" fontId="9" fillId="0" borderId="0" xfId="0" applyFont="1" applyAlignment="1">
      <alignment vertical="top" wrapText="1"/>
    </xf>
    <xf numFmtId="0" fontId="10" fillId="0" borderId="0" xfId="0" applyFont="1" applyAlignment="1">
      <alignment horizontal="center" wrapText="1"/>
    </xf>
    <xf numFmtId="0" fontId="9" fillId="0" borderId="0" xfId="0" applyFont="1" applyAlignment="1">
      <alignment vertical="top"/>
    </xf>
    <xf numFmtId="0" fontId="7" fillId="6" borderId="1" xfId="0" applyFont="1" applyFill="1" applyBorder="1" applyAlignment="1">
      <alignment vertical="center" wrapText="1"/>
    </xf>
    <xf numFmtId="165" fontId="7" fillId="2" borderId="1" xfId="0" applyNumberFormat="1" applyFont="1" applyFill="1" applyBorder="1" applyAlignment="1">
      <alignment horizontal="left" vertical="center" wrapText="1"/>
    </xf>
    <xf numFmtId="14" fontId="7" fillId="6" borderId="1" xfId="0" applyNumberFormat="1" applyFont="1" applyFill="1" applyBorder="1" applyAlignment="1">
      <alignment vertical="center" wrapText="1"/>
    </xf>
    <xf numFmtId="165" fontId="7" fillId="6" borderId="1" xfId="0" applyNumberFormat="1" applyFont="1" applyFill="1" applyBorder="1" applyAlignment="1">
      <alignment vertical="center" wrapText="1"/>
    </xf>
    <xf numFmtId="0" fontId="7" fillId="7" borderId="1" xfId="0" applyFont="1" applyFill="1" applyBorder="1" applyAlignment="1">
      <alignment vertical="center" wrapText="1"/>
    </xf>
    <xf numFmtId="9" fontId="7" fillId="7" borderId="1" xfId="0" applyNumberFormat="1" applyFont="1" applyFill="1" applyBorder="1" applyAlignment="1">
      <alignment vertical="center" wrapText="1"/>
    </xf>
    <xf numFmtId="49" fontId="7" fillId="7" borderId="1" xfId="1" applyNumberFormat="1" applyFont="1" applyFill="1" applyBorder="1" applyAlignment="1">
      <alignment vertical="center" wrapText="1"/>
    </xf>
    <xf numFmtId="40" fontId="7" fillId="7" borderId="1" xfId="1" applyNumberFormat="1" applyFont="1" applyFill="1" applyBorder="1" applyAlignment="1">
      <alignment vertical="center" wrapText="1"/>
    </xf>
    <xf numFmtId="0" fontId="8" fillId="2" borderId="1" xfId="0" applyFont="1" applyFill="1" applyBorder="1" applyAlignment="1">
      <alignment horizontal="center" vertical="center" wrapText="1"/>
    </xf>
    <xf numFmtId="49" fontId="7" fillId="4" borderId="1" xfId="0" applyNumberFormat="1" applyFont="1" applyFill="1" applyBorder="1" applyAlignment="1">
      <alignment horizontal="left" vertical="center" wrapText="1"/>
    </xf>
    <xf numFmtId="0" fontId="35" fillId="0" borderId="0" xfId="0" applyFont="1"/>
    <xf numFmtId="0" fontId="28" fillId="0" borderId="0" xfId="0" applyFont="1"/>
    <xf numFmtId="0" fontId="35" fillId="0" borderId="0" xfId="0" applyFont="1" applyAlignment="1">
      <alignment horizontal="right"/>
    </xf>
    <xf numFmtId="164" fontId="28" fillId="0" borderId="0" xfId="0" applyNumberFormat="1" applyFont="1"/>
    <xf numFmtId="166" fontId="28" fillId="0" borderId="0" xfId="0" applyNumberFormat="1" applyFont="1"/>
    <xf numFmtId="0" fontId="28" fillId="0" borderId="1" xfId="0" applyFont="1" applyBorder="1" applyAlignment="1">
      <alignment horizontal="center" vertical="center" wrapText="1"/>
    </xf>
    <xf numFmtId="0" fontId="28" fillId="0" borderId="0" xfId="0" applyFont="1" applyAlignment="1">
      <alignment horizontal="center" vertical="center" wrapText="1"/>
    </xf>
    <xf numFmtId="0" fontId="28" fillId="0" borderId="1" xfId="0" applyFont="1" applyBorder="1"/>
    <xf numFmtId="14" fontId="28" fillId="0" borderId="1" xfId="0" applyNumberFormat="1" applyFont="1" applyBorder="1"/>
    <xf numFmtId="167" fontId="28" fillId="0" borderId="0" xfId="0" applyNumberFormat="1" applyFont="1"/>
    <xf numFmtId="0" fontId="35" fillId="0" borderId="1" xfId="0" applyFont="1" applyBorder="1"/>
    <xf numFmtId="14" fontId="35" fillId="0" borderId="1" xfId="0" applyNumberFormat="1" applyFont="1" applyBorder="1"/>
    <xf numFmtId="43" fontId="35" fillId="0" borderId="1" xfId="1" applyFont="1" applyBorder="1"/>
    <xf numFmtId="14" fontId="28" fillId="0" borderId="0" xfId="0" applyNumberFormat="1" applyFont="1"/>
    <xf numFmtId="43" fontId="28" fillId="0" borderId="0" xfId="1" applyFont="1" applyBorder="1"/>
    <xf numFmtId="14" fontId="27" fillId="5" borderId="0" xfId="0" applyNumberFormat="1" applyFont="1" applyFill="1"/>
    <xf numFmtId="0" fontId="27" fillId="5" borderId="0" xfId="0" applyFont="1" applyFill="1"/>
    <xf numFmtId="0" fontId="27" fillId="0" borderId="0" xfId="0" applyFont="1"/>
    <xf numFmtId="168" fontId="38" fillId="5" borderId="0" xfId="0" applyNumberFormat="1" applyFont="1" applyFill="1"/>
    <xf numFmtId="0" fontId="27" fillId="4" borderId="0" xfId="0" applyFont="1" applyFill="1"/>
    <xf numFmtId="1" fontId="27" fillId="5" borderId="0" xfId="0" applyNumberFormat="1" applyFont="1" applyFill="1"/>
    <xf numFmtId="49" fontId="28" fillId="0" borderId="0" xfId="0" applyNumberFormat="1" applyFont="1" applyAlignment="1">
      <alignment horizontal="right"/>
    </xf>
    <xf numFmtId="0" fontId="39" fillId="0" borderId="0" xfId="0" applyFont="1" applyAlignment="1">
      <alignment vertical="center"/>
    </xf>
    <xf numFmtId="0" fontId="40" fillId="0" borderId="0" xfId="0" applyFont="1" applyAlignment="1">
      <alignment horizontal="right" vertical="center"/>
    </xf>
    <xf numFmtId="0" fontId="40" fillId="0" borderId="0" xfId="0" applyFont="1" applyAlignment="1">
      <alignment horizontal="right" vertical="center" wrapText="1"/>
    </xf>
    <xf numFmtId="43" fontId="15" fillId="0" borderId="1" xfId="1" applyFont="1" applyBorder="1" applyAlignment="1">
      <alignment horizontal="center" vertical="top" wrapText="1"/>
    </xf>
    <xf numFmtId="0" fontId="41" fillId="7" borderId="1" xfId="0" applyFont="1" applyFill="1" applyBorder="1"/>
    <xf numFmtId="0" fontId="41"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7" fillId="4" borderId="1" xfId="0" applyFont="1" applyFill="1" applyBorder="1"/>
    <xf numFmtId="0" fontId="41"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29" fillId="0" borderId="0" xfId="0" applyFont="1" applyAlignment="1">
      <alignment horizontal="right"/>
    </xf>
    <xf numFmtId="0" fontId="29" fillId="0" borderId="0" xfId="0" applyFont="1" applyAlignment="1">
      <alignment horizontal="justify"/>
    </xf>
    <xf numFmtId="0" fontId="29" fillId="0" borderId="0" xfId="0" applyFont="1" applyAlignment="1">
      <alignment horizontal="justify" vertical="center"/>
    </xf>
    <xf numFmtId="0" fontId="29" fillId="0" borderId="1" xfId="0" applyFont="1" applyBorder="1" applyAlignment="1">
      <alignment horizontal="justify"/>
    </xf>
    <xf numFmtId="0" fontId="29" fillId="0" borderId="0" xfId="0" applyFont="1" applyAlignment="1">
      <alignment horizontal="justify" vertical="center" wrapText="1"/>
    </xf>
    <xf numFmtId="0" fontId="29" fillId="0" borderId="0" xfId="0" applyFont="1" applyAlignment="1">
      <alignment horizontal="left"/>
    </xf>
    <xf numFmtId="0" fontId="29" fillId="0" borderId="11" xfId="0" applyFont="1" applyBorder="1" applyAlignment="1">
      <alignment horizontal="center"/>
    </xf>
    <xf numFmtId="0" fontId="29" fillId="0" borderId="0" xfId="0" applyFont="1" applyAlignment="1">
      <alignment horizontal="center"/>
    </xf>
    <xf numFmtId="0" fontId="7" fillId="3" borderId="1" xfId="0" applyFont="1" applyFill="1" applyBorder="1" applyAlignment="1">
      <alignment horizontal="center" vertical="center" wrapText="1"/>
    </xf>
    <xf numFmtId="0" fontId="15" fillId="0" borderId="0" xfId="0" applyFont="1" applyAlignment="1">
      <alignment vertical="top"/>
    </xf>
    <xf numFmtId="0" fontId="16" fillId="0" borderId="0" xfId="0" applyFont="1" applyAlignment="1">
      <alignment horizontal="left" vertical="center" wrapText="1"/>
    </xf>
    <xf numFmtId="0" fontId="16" fillId="0" borderId="0" xfId="0" applyFont="1" applyAlignment="1">
      <alignment horizontal="right" vertical="center" wrapText="1"/>
    </xf>
    <xf numFmtId="0" fontId="0" fillId="0" borderId="0" xfId="0" applyAlignment="1">
      <alignment horizontal="left" vertical="center"/>
    </xf>
    <xf numFmtId="0" fontId="15" fillId="0" borderId="0" xfId="0" applyFont="1" applyAlignment="1">
      <alignment horizontal="left" vertical="center" wrapText="1"/>
    </xf>
    <xf numFmtId="0" fontId="15" fillId="0" borderId="0" xfId="0" applyFont="1" applyAlignment="1">
      <alignment horizontal="right"/>
    </xf>
    <xf numFmtId="0" fontId="8" fillId="6" borderId="1" xfId="0" applyFont="1" applyFill="1" applyBorder="1" applyAlignment="1">
      <alignment horizontal="left" vertical="center" wrapText="1"/>
    </xf>
    <xf numFmtId="0" fontId="8" fillId="6" borderId="1" xfId="0" applyFont="1" applyFill="1" applyBorder="1" applyAlignment="1">
      <alignment vertical="center" wrapText="1"/>
    </xf>
    <xf numFmtId="0" fontId="11" fillId="4" borderId="1" xfId="0" applyFont="1" applyFill="1" applyBorder="1" applyAlignment="1">
      <alignment horizontal="center" vertical="center" wrapText="1"/>
    </xf>
    <xf numFmtId="0" fontId="18" fillId="0" borderId="0" xfId="0" applyFont="1" applyAlignment="1">
      <alignment wrapText="1"/>
    </xf>
    <xf numFmtId="165" fontId="18" fillId="0" borderId="0" xfId="0" applyNumberFormat="1" applyFont="1"/>
    <xf numFmtId="0" fontId="17" fillId="0" borderId="0" xfId="0" applyFont="1" applyAlignment="1">
      <alignment vertical="center" wrapText="1"/>
    </xf>
    <xf numFmtId="0" fontId="17" fillId="0" borderId="0" xfId="0" applyFont="1" applyAlignment="1">
      <alignment horizontal="left"/>
    </xf>
    <xf numFmtId="0" fontId="10" fillId="0" borderId="0" xfId="0" applyFont="1" applyAlignment="1">
      <alignment horizontal="left"/>
    </xf>
    <xf numFmtId="0" fontId="7" fillId="4" borderId="3" xfId="0" applyFont="1" applyFill="1" applyBorder="1" applyAlignment="1">
      <alignment vertical="center" wrapText="1"/>
    </xf>
    <xf numFmtId="49" fontId="11" fillId="4" borderId="1" xfId="0" applyNumberFormat="1" applyFont="1" applyFill="1" applyBorder="1" applyAlignment="1">
      <alignment horizontal="center" vertical="center" wrapText="1"/>
    </xf>
    <xf numFmtId="164" fontId="7" fillId="4" borderId="1" xfId="0" applyNumberFormat="1" applyFont="1" applyFill="1" applyBorder="1" applyAlignment="1">
      <alignment vertical="center" wrapText="1"/>
    </xf>
    <xf numFmtId="0" fontId="18" fillId="0" borderId="0" xfId="0" applyFont="1" applyAlignment="1">
      <alignment horizontal="center" vertical="top" wrapText="1"/>
    </xf>
    <xf numFmtId="0" fontId="43" fillId="2" borderId="1" xfId="0" applyFont="1" applyFill="1" applyBorder="1" applyAlignment="1">
      <alignment vertical="center" wrapText="1"/>
    </xf>
    <xf numFmtId="0" fontId="7" fillId="9" borderId="1" xfId="0" applyFont="1" applyFill="1" applyBorder="1" applyAlignment="1">
      <alignment vertical="center" wrapText="1"/>
    </xf>
    <xf numFmtId="0" fontId="5" fillId="0" borderId="0" xfId="0" applyFont="1"/>
    <xf numFmtId="0" fontId="44" fillId="0" borderId="0" xfId="0" applyFont="1" applyAlignment="1">
      <alignment vertical="center"/>
    </xf>
    <xf numFmtId="0" fontId="45" fillId="0" borderId="0" xfId="0" applyFont="1" applyAlignment="1">
      <alignment wrapText="1"/>
    </xf>
    <xf numFmtId="0" fontId="9" fillId="0" borderId="0" xfId="0" applyFont="1" applyAlignment="1">
      <alignment wrapText="1"/>
    </xf>
    <xf numFmtId="0" fontId="47" fillId="0" borderId="0" xfId="0" applyFont="1"/>
    <xf numFmtId="0" fontId="48" fillId="0" borderId="0" xfId="0" applyFont="1"/>
    <xf numFmtId="0" fontId="10" fillId="0" borderId="0" xfId="0" applyFont="1" applyAlignment="1">
      <alignment horizontal="left" vertical="center" wrapText="1"/>
    </xf>
    <xf numFmtId="0" fontId="9" fillId="0" borderId="0" xfId="0" applyFont="1" applyAlignment="1">
      <alignment horizontal="left" vertical="top" wrapText="1"/>
    </xf>
    <xf numFmtId="0" fontId="33" fillId="0" borderId="0" xfId="0" applyFont="1" applyAlignment="1">
      <alignment horizontal="left"/>
    </xf>
    <xf numFmtId="0" fontId="10" fillId="0" borderId="0" xfId="0" applyFont="1" applyAlignment="1">
      <alignment horizontal="left" vertical="top" wrapText="1"/>
    </xf>
    <xf numFmtId="49" fontId="9" fillId="0" borderId="0" xfId="0" applyNumberFormat="1" applyFont="1" applyAlignment="1">
      <alignment horizontal="left" vertical="top" wrapText="1"/>
    </xf>
    <xf numFmtId="0" fontId="7" fillId="5" borderId="1" xfId="0" applyFont="1" applyFill="1" applyBorder="1" applyAlignment="1">
      <alignment vertical="center" wrapText="1"/>
    </xf>
    <xf numFmtId="0" fontId="15" fillId="0" borderId="0" xfId="0" applyFont="1" applyAlignment="1">
      <alignment horizontal="left"/>
    </xf>
    <xf numFmtId="0" fontId="10" fillId="0" borderId="0" xfId="0" applyFont="1" applyAlignment="1">
      <alignment horizontal="right" wrapText="1"/>
    </xf>
    <xf numFmtId="14" fontId="7" fillId="3" borderId="1" xfId="0" applyNumberFormat="1" applyFont="1" applyFill="1" applyBorder="1" applyAlignment="1">
      <alignment horizontal="center" vertical="center" wrapText="1"/>
    </xf>
    <xf numFmtId="0" fontId="50" fillId="2" borderId="1" xfId="0" applyFont="1" applyFill="1" applyBorder="1" applyAlignment="1">
      <alignment horizontal="left" vertical="center" wrapText="1"/>
    </xf>
    <xf numFmtId="0" fontId="50" fillId="2" borderId="1" xfId="0" applyFont="1" applyFill="1" applyBorder="1" applyAlignment="1">
      <alignment vertical="center" wrapText="1"/>
    </xf>
    <xf numFmtId="0" fontId="9" fillId="0" borderId="0" xfId="0" applyFont="1" applyAlignment="1">
      <alignment horizontal="center"/>
    </xf>
    <xf numFmtId="0" fontId="30" fillId="4" borderId="1" xfId="0" applyFont="1" applyFill="1" applyBorder="1" applyAlignment="1">
      <alignment vertical="center" wrapText="1"/>
    </xf>
    <xf numFmtId="0" fontId="51" fillId="4" borderId="1" xfId="0" applyFont="1" applyFill="1" applyBorder="1" applyAlignment="1">
      <alignment vertical="center" wrapText="1"/>
    </xf>
    <xf numFmtId="0" fontId="53" fillId="4" borderId="1" xfId="0" applyFont="1" applyFill="1" applyBorder="1" applyAlignment="1">
      <alignment vertical="center" wrapText="1"/>
    </xf>
    <xf numFmtId="0" fontId="52" fillId="2" borderId="1" xfId="0" applyFont="1" applyFill="1" applyBorder="1" applyAlignment="1">
      <alignment vertical="center" wrapText="1"/>
    </xf>
    <xf numFmtId="0" fontId="10" fillId="0" borderId="0" xfId="0" applyFont="1" applyAlignment="1">
      <alignment wrapText="1"/>
    </xf>
    <xf numFmtId="0" fontId="50" fillId="10" borderId="2" xfId="0" applyFont="1" applyFill="1" applyBorder="1" applyAlignment="1">
      <alignment horizontal="left" vertical="center" wrapText="1"/>
    </xf>
    <xf numFmtId="0" fontId="50" fillId="10" borderId="24" xfId="0" applyFont="1" applyFill="1" applyBorder="1" applyAlignment="1">
      <alignment horizontal="left" vertical="center" wrapText="1"/>
    </xf>
    <xf numFmtId="43" fontId="53" fillId="4" borderId="1" xfId="1" applyFont="1" applyFill="1" applyBorder="1" applyAlignment="1">
      <alignment vertical="center" wrapText="1"/>
    </xf>
    <xf numFmtId="0" fontId="15" fillId="11" borderId="0" xfId="0" applyFont="1" applyFill="1"/>
    <xf numFmtId="0" fontId="7" fillId="10" borderId="0" xfId="0" applyFont="1" applyFill="1"/>
    <xf numFmtId="164" fontId="7" fillId="10" borderId="3" xfId="0" applyNumberFormat="1" applyFont="1" applyFill="1" applyBorder="1" applyAlignment="1">
      <alignment horizontal="left" vertical="top" wrapText="1"/>
    </xf>
    <xf numFmtId="14" fontId="7" fillId="10" borderId="0" xfId="0" applyNumberFormat="1" applyFont="1" applyFill="1"/>
    <xf numFmtId="0" fontId="56" fillId="10" borderId="16" xfId="0" applyFont="1" applyFill="1" applyBorder="1"/>
    <xf numFmtId="168" fontId="8" fillId="10" borderId="0" xfId="0" applyNumberFormat="1" applyFont="1" applyFill="1"/>
    <xf numFmtId="0" fontId="7" fillId="10" borderId="19" xfId="0" applyFont="1" applyFill="1" applyBorder="1"/>
    <xf numFmtId="0" fontId="7" fillId="10" borderId="20" xfId="0" applyFont="1" applyFill="1" applyBorder="1"/>
    <xf numFmtId="0" fontId="26" fillId="0" borderId="0" xfId="0" applyFont="1" applyAlignment="1">
      <alignment horizontal="left" vertical="top" wrapText="1"/>
    </xf>
    <xf numFmtId="0" fontId="8" fillId="10" borderId="0" xfId="0" applyFont="1" applyFill="1" applyAlignment="1">
      <alignment vertical="center" wrapText="1"/>
    </xf>
    <xf numFmtId="49" fontId="7" fillId="10" borderId="0" xfId="0" applyNumberFormat="1" applyFont="1" applyFill="1"/>
    <xf numFmtId="0" fontId="7" fillId="10" borderId="0" xfId="0" applyFont="1" applyFill="1" applyAlignment="1">
      <alignment vertical="center" wrapText="1"/>
    </xf>
    <xf numFmtId="49" fontId="57" fillId="4" borderId="1" xfId="0" applyNumberFormat="1" applyFont="1" applyFill="1" applyBorder="1" applyAlignment="1">
      <alignment vertical="center" wrapText="1"/>
    </xf>
    <xf numFmtId="169" fontId="58" fillId="4" borderId="1" xfId="0" applyNumberFormat="1" applyFont="1" applyFill="1" applyBorder="1" applyAlignment="1">
      <alignment vertical="center" wrapText="1"/>
    </xf>
    <xf numFmtId="0" fontId="30" fillId="10" borderId="0" xfId="0" applyFont="1" applyFill="1"/>
    <xf numFmtId="43" fontId="7" fillId="10" borderId="0" xfId="0" applyNumberFormat="1" applyFont="1" applyFill="1"/>
    <xf numFmtId="10" fontId="30" fillId="10" borderId="0" xfId="559" applyNumberFormat="1" applyFont="1" applyFill="1" applyAlignment="1">
      <alignment horizontal="center" vertical="center"/>
    </xf>
    <xf numFmtId="0" fontId="30" fillId="10" borderId="0" xfId="0" applyFont="1" applyFill="1" applyAlignment="1">
      <alignment horizontal="center" vertical="center"/>
    </xf>
    <xf numFmtId="169" fontId="11" fillId="2" borderId="1" xfId="0" applyNumberFormat="1" applyFont="1" applyFill="1" applyBorder="1" applyAlignment="1">
      <alignment horizontal="center" vertical="center" wrapText="1"/>
    </xf>
    <xf numFmtId="11" fontId="7" fillId="4" borderId="1" xfId="0" applyNumberFormat="1" applyFont="1" applyFill="1" applyBorder="1" applyAlignment="1">
      <alignment vertical="center" wrapText="1"/>
    </xf>
    <xf numFmtId="0" fontId="7" fillId="10" borderId="1" xfId="0" applyFont="1" applyFill="1" applyBorder="1"/>
    <xf numFmtId="0" fontId="7" fillId="10" borderId="1" xfId="0" applyFont="1" applyFill="1" applyBorder="1" applyAlignment="1">
      <alignment wrapText="1"/>
    </xf>
    <xf numFmtId="0" fontId="11" fillId="10" borderId="1" xfId="0" applyFont="1" applyFill="1" applyBorder="1" applyAlignment="1">
      <alignment horizontal="center" vertical="center" wrapText="1"/>
    </xf>
    <xf numFmtId="0" fontId="7" fillId="10" borderId="1" xfId="0" applyFont="1" applyFill="1" applyBorder="1" applyAlignment="1">
      <alignment horizontal="center" vertical="center"/>
    </xf>
    <xf numFmtId="0" fontId="7" fillId="10" borderId="1" xfId="0" applyFont="1" applyFill="1" applyBorder="1" applyAlignment="1">
      <alignment horizontal="center" vertical="center" wrapText="1"/>
    </xf>
    <xf numFmtId="0" fontId="7" fillId="10" borderId="1" xfId="0" applyFont="1" applyFill="1" applyBorder="1" applyAlignment="1">
      <alignment horizontal="left" vertical="center"/>
    </xf>
    <xf numFmtId="0" fontId="7" fillId="10" borderId="1" xfId="0" applyFont="1" applyFill="1" applyBorder="1" applyAlignment="1">
      <alignment horizontal="left" vertical="center" wrapText="1"/>
    </xf>
    <xf numFmtId="0" fontId="7" fillId="10" borderId="1" xfId="0" applyFont="1" applyFill="1" applyBorder="1" applyAlignment="1">
      <alignment vertical="center" wrapText="1"/>
    </xf>
    <xf numFmtId="0" fontId="8" fillId="10" borderId="0" xfId="0" applyFont="1" applyFill="1" applyAlignment="1">
      <alignment vertical="center"/>
    </xf>
    <xf numFmtId="0" fontId="7" fillId="10" borderId="13" xfId="0" applyFont="1" applyFill="1" applyBorder="1" applyAlignment="1">
      <alignment vertical="center"/>
    </xf>
    <xf numFmtId="0" fontId="7" fillId="10" borderId="15" xfId="0" applyFont="1" applyFill="1" applyBorder="1" applyAlignment="1">
      <alignment vertical="center"/>
    </xf>
    <xf numFmtId="14" fontId="7" fillId="10" borderId="1" xfId="0" applyNumberFormat="1" applyFont="1" applyFill="1" applyBorder="1"/>
    <xf numFmtId="0" fontId="8" fillId="10" borderId="0" xfId="0" applyFont="1" applyFill="1"/>
    <xf numFmtId="49" fontId="7" fillId="10" borderId="1" xfId="0" applyNumberFormat="1" applyFont="1" applyFill="1" applyBorder="1"/>
    <xf numFmtId="0" fontId="8" fillId="10" borderId="0" xfId="0" applyFont="1" applyFill="1" applyAlignment="1">
      <alignment wrapText="1"/>
    </xf>
    <xf numFmtId="164" fontId="7" fillId="10" borderId="1" xfId="0" applyNumberFormat="1" applyFont="1" applyFill="1" applyBorder="1" applyAlignment="1">
      <alignment vertical="center" wrapText="1"/>
    </xf>
    <xf numFmtId="164" fontId="7" fillId="10" borderId="0" xfId="0" applyNumberFormat="1" applyFont="1" applyFill="1" applyAlignment="1">
      <alignment vertical="center" wrapText="1"/>
    </xf>
    <xf numFmtId="169" fontId="7" fillId="4" borderId="1" xfId="0" applyNumberFormat="1" applyFont="1" applyFill="1" applyBorder="1" applyAlignment="1">
      <alignment horizontal="left" vertical="top" wrapText="1"/>
    </xf>
    <xf numFmtId="49" fontId="30" fillId="4" borderId="1" xfId="0" applyNumberFormat="1" applyFont="1" applyFill="1" applyBorder="1" applyAlignment="1">
      <alignment vertical="center" wrapText="1"/>
    </xf>
    <xf numFmtId="0" fontId="16" fillId="0" borderId="0" xfId="0" applyFont="1" applyAlignment="1">
      <alignment horizontal="left" vertical="top" wrapText="1"/>
    </xf>
    <xf numFmtId="0" fontId="15" fillId="0" borderId="0" xfId="0" applyFont="1" applyAlignment="1">
      <alignment vertical="top" wrapText="1"/>
    </xf>
    <xf numFmtId="0" fontId="8" fillId="2" borderId="1" xfId="0" applyFont="1" applyFill="1" applyBorder="1" applyAlignment="1">
      <alignment vertical="center" wrapText="1"/>
    </xf>
    <xf numFmtId="0" fontId="7" fillId="0" borderId="1" xfId="0" applyFont="1" applyBorder="1" applyAlignment="1">
      <alignment vertical="center" wrapText="1"/>
    </xf>
    <xf numFmtId="0" fontId="8" fillId="2" borderId="1" xfId="0" applyFont="1" applyFill="1" applyBorder="1" applyAlignment="1">
      <alignment vertical="center" wrapText="1"/>
    </xf>
    <xf numFmtId="0" fontId="16" fillId="0" borderId="0" xfId="0" applyFont="1" applyAlignment="1">
      <alignment horizontal="center" vertical="center" wrapText="1"/>
    </xf>
    <xf numFmtId="0" fontId="15" fillId="0" borderId="0" xfId="0" applyFont="1" applyAlignment="1">
      <alignment vertical="top" wrapText="1"/>
    </xf>
    <xf numFmtId="0" fontId="15" fillId="0" borderId="0" xfId="0" applyFont="1" applyAlignment="1">
      <alignment horizontal="left" vertical="center" wrapText="1"/>
    </xf>
    <xf numFmtId="0" fontId="15" fillId="0" borderId="0" xfId="0" applyFont="1" applyAlignment="1">
      <alignment horizontal="justify" vertical="top" wrapText="1"/>
    </xf>
    <xf numFmtId="0" fontId="15" fillId="0" borderId="0" xfId="0" applyFont="1" applyAlignment="1">
      <alignment vertical="top" wrapText="1"/>
    </xf>
    <xf numFmtId="0" fontId="16" fillId="0" borderId="0" xfId="0" applyFont="1" applyAlignment="1">
      <alignment wrapText="1"/>
    </xf>
    <xf numFmtId="0" fontId="8" fillId="2" borderId="1" xfId="0" applyFont="1" applyFill="1" applyBorder="1" applyAlignment="1">
      <alignment vertical="center"/>
    </xf>
    <xf numFmtId="0" fontId="15" fillId="0" borderId="0" xfId="0" applyFont="1" applyAlignment="1">
      <alignment vertical="center"/>
    </xf>
    <xf numFmtId="0" fontId="15" fillId="0" borderId="0" xfId="0" applyFont="1" applyAlignment="1">
      <alignment vertical="top" wrapText="1"/>
    </xf>
    <xf numFmtId="0" fontId="16" fillId="0" borderId="0" xfId="0" applyFont="1" applyAlignment="1">
      <alignment vertical="top"/>
    </xf>
    <xf numFmtId="0" fontId="9" fillId="0" borderId="25" xfId="0" applyFont="1" applyBorder="1"/>
    <xf numFmtId="0" fontId="19" fillId="0" borderId="25" xfId="0" applyFont="1" applyBorder="1" applyAlignment="1">
      <alignment horizontal="center"/>
    </xf>
    <xf numFmtId="0" fontId="10" fillId="0" borderId="25" xfId="0" applyFont="1" applyBorder="1" applyAlignment="1">
      <alignment horizontal="center" vertical="center"/>
    </xf>
    <xf numFmtId="0" fontId="9" fillId="0" borderId="25" xfId="0" applyFont="1" applyBorder="1" applyAlignment="1">
      <alignment horizontal="left" vertical="center" wrapText="1"/>
    </xf>
    <xf numFmtId="0" fontId="9" fillId="0" borderId="25" xfId="0" applyFont="1" applyBorder="1" applyAlignment="1">
      <alignment horizontal="left"/>
    </xf>
    <xf numFmtId="0" fontId="9" fillId="0" borderId="25" xfId="0" applyFont="1" applyBorder="1" applyAlignment="1">
      <alignment horizontal="left" vertical="center"/>
    </xf>
    <xf numFmtId="0" fontId="10" fillId="0" borderId="25" xfId="0" applyFont="1" applyBorder="1" applyAlignment="1">
      <alignment horizontal="center"/>
    </xf>
    <xf numFmtId="0" fontId="9" fillId="0" borderId="25" xfId="0" applyFont="1" applyBorder="1" applyAlignment="1">
      <alignment horizontal="center"/>
    </xf>
    <xf numFmtId="0" fontId="9" fillId="0" borderId="23" xfId="0" applyFont="1" applyBorder="1"/>
    <xf numFmtId="0" fontId="10" fillId="0" borderId="14" xfId="0" applyFont="1" applyBorder="1" applyAlignment="1">
      <alignment horizontal="right"/>
    </xf>
    <xf numFmtId="0" fontId="9" fillId="0" borderId="14" xfId="0" applyFont="1" applyBorder="1"/>
    <xf numFmtId="0" fontId="9" fillId="0" borderId="15" xfId="0" applyFont="1" applyBorder="1"/>
    <xf numFmtId="0" fontId="19" fillId="0" borderId="14" xfId="0" applyFont="1" applyBorder="1" applyAlignment="1">
      <alignment horizontal="center"/>
    </xf>
    <xf numFmtId="0" fontId="10" fillId="0" borderId="14" xfId="0" applyFont="1" applyBorder="1" applyAlignment="1">
      <alignment horizontal="center" wrapText="1"/>
    </xf>
    <xf numFmtId="0" fontId="9" fillId="0" borderId="14" xfId="0" applyFont="1" applyBorder="1" applyAlignment="1">
      <alignment horizontal="left" vertical="center" wrapText="1"/>
    </xf>
    <xf numFmtId="0" fontId="9" fillId="0" borderId="14" xfId="0" applyFont="1" applyBorder="1" applyAlignment="1">
      <alignment horizontal="left" wrapText="1"/>
    </xf>
    <xf numFmtId="0" fontId="9" fillId="5" borderId="14" xfId="0" applyFont="1" applyFill="1" applyBorder="1" applyAlignment="1">
      <alignment horizontal="left" wrapText="1"/>
    </xf>
    <xf numFmtId="0" fontId="9" fillId="0" borderId="14" xfId="0" applyFont="1" applyBorder="1" applyAlignment="1">
      <alignment horizontal="left"/>
    </xf>
    <xf numFmtId="0" fontId="9" fillId="0" borderId="0" xfId="0" applyFont="1" applyBorder="1"/>
    <xf numFmtId="0" fontId="8" fillId="2"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49" fontId="8" fillId="4" borderId="1" xfId="0" applyNumberFormat="1" applyFont="1" applyFill="1" applyBorder="1" applyAlignment="1">
      <alignment vertical="center" wrapText="1"/>
    </xf>
    <xf numFmtId="49" fontId="8" fillId="4" borderId="1" xfId="0" applyNumberFormat="1" applyFont="1" applyFill="1" applyBorder="1" applyAlignment="1">
      <alignment horizontal="left" vertical="center" wrapText="1"/>
    </xf>
    <xf numFmtId="0" fontId="9" fillId="0" borderId="0" xfId="0" applyFont="1" applyFill="1" applyBorder="1" applyAlignment="1">
      <alignment horizontal="left" vertical="center" wrapText="1"/>
    </xf>
    <xf numFmtId="0" fontId="9" fillId="0" borderId="0" xfId="0" applyFont="1" applyFill="1" applyAlignment="1">
      <alignment vertical="center" wrapText="1"/>
    </xf>
    <xf numFmtId="0" fontId="63" fillId="0" borderId="0" xfId="0" applyFont="1" applyAlignment="1" applyProtection="1">
      <alignment horizontal="center" vertical="center"/>
      <protection hidden="1"/>
    </xf>
    <xf numFmtId="0" fontId="64" fillId="0" borderId="0" xfId="0" applyFont="1" applyAlignment="1" applyProtection="1">
      <alignment horizontal="center" vertical="top"/>
      <protection hidden="1"/>
    </xf>
    <xf numFmtId="0" fontId="64" fillId="0" borderId="0" xfId="0" applyFont="1" applyAlignment="1" applyProtection="1">
      <alignment horizontal="center" vertical="center"/>
      <protection hidden="1"/>
    </xf>
    <xf numFmtId="0" fontId="16" fillId="0" borderId="0" xfId="0" applyFont="1" applyBorder="1" applyAlignment="1">
      <alignment vertical="center"/>
    </xf>
    <xf numFmtId="0" fontId="46" fillId="0" borderId="0" xfId="0" applyFont="1" applyBorder="1" applyAlignment="1">
      <alignment horizontal="center" wrapText="1"/>
    </xf>
    <xf numFmtId="0" fontId="31" fillId="0" borderId="0" xfId="0" applyFont="1" applyBorder="1" applyAlignment="1">
      <alignment horizontal="center" wrapText="1"/>
    </xf>
    <xf numFmtId="0" fontId="16" fillId="0" borderId="0" xfId="0" applyFont="1" applyAlignment="1">
      <alignment horizontal="left" vertical="top" wrapText="1"/>
    </xf>
    <xf numFmtId="0" fontId="15" fillId="0" borderId="0" xfId="0" applyFont="1" applyAlignment="1">
      <alignment vertical="top" wrapText="1"/>
    </xf>
    <xf numFmtId="0" fontId="16" fillId="0" borderId="0" xfId="0" applyFont="1" applyAlignment="1"/>
    <xf numFmtId="0" fontId="15" fillId="0" borderId="0" xfId="0" applyFont="1" applyAlignment="1">
      <alignment vertical="top" wrapText="1"/>
    </xf>
    <xf numFmtId="0" fontId="16" fillId="0" borderId="0" xfId="0" applyFont="1" applyBorder="1" applyAlignment="1">
      <alignment horizontal="left" vertical="center"/>
    </xf>
    <xf numFmtId="0" fontId="35" fillId="0" borderId="0" xfId="0" applyFont="1" applyBorder="1" applyAlignment="1">
      <alignment horizontal="left" vertical="center" wrapText="1"/>
    </xf>
    <xf numFmtId="0" fontId="16" fillId="0" borderId="0" xfId="0" applyFont="1" applyBorder="1" applyAlignment="1">
      <alignment horizontal="left" vertical="center" wrapText="1"/>
    </xf>
    <xf numFmtId="0" fontId="16" fillId="0" borderId="0" xfId="0" applyFont="1" applyAlignment="1">
      <alignment vertical="top" wrapText="1"/>
    </xf>
    <xf numFmtId="0" fontId="10" fillId="0" borderId="0" xfId="0" applyFont="1" applyBorder="1" applyAlignment="1">
      <alignment horizontal="right"/>
    </xf>
    <xf numFmtId="0" fontId="10" fillId="0" borderId="0" xfId="0" applyFont="1" applyBorder="1" applyAlignment="1">
      <alignment wrapText="1"/>
    </xf>
    <xf numFmtId="0" fontId="16" fillId="0" borderId="0" xfId="0" applyFont="1" applyFill="1" applyAlignment="1"/>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10" fillId="0" borderId="0" xfId="0" applyFont="1" applyAlignment="1">
      <alignment horizontal="center" vertical="center"/>
    </xf>
    <xf numFmtId="0" fontId="9" fillId="0" borderId="0" xfId="0" applyFont="1" applyAlignment="1">
      <alignment horizontal="left" vertical="top" wrapText="1"/>
    </xf>
    <xf numFmtId="0" fontId="29" fillId="0" borderId="0" xfId="0" applyFont="1" applyAlignment="1">
      <alignment horizontal="left" vertical="top" wrapText="1"/>
    </xf>
    <xf numFmtId="49" fontId="9" fillId="0" borderId="0" xfId="0" applyNumberFormat="1" applyFont="1" applyAlignment="1">
      <alignment horizontal="left" vertical="top" wrapText="1"/>
    </xf>
    <xf numFmtId="0" fontId="10" fillId="0" borderId="0" xfId="0" applyFont="1" applyAlignment="1">
      <alignment horizontal="center" vertical="center" wrapText="1"/>
    </xf>
    <xf numFmtId="0" fontId="9" fillId="0" borderId="0" xfId="0" applyFont="1" applyAlignment="1">
      <alignment horizontal="left" wrapText="1"/>
    </xf>
    <xf numFmtId="0" fontId="9" fillId="0" borderId="0" xfId="0" applyFont="1" applyAlignment="1">
      <alignment vertical="top" wrapText="1"/>
    </xf>
    <xf numFmtId="0" fontId="29" fillId="5" borderId="0" xfId="0" applyFont="1" applyFill="1" applyAlignment="1">
      <alignment horizontal="left" vertical="top" wrapText="1"/>
    </xf>
    <xf numFmtId="0" fontId="33" fillId="0" borderId="0" xfId="0" applyFont="1" applyAlignment="1">
      <alignment horizontal="center" vertical="top" wrapText="1"/>
    </xf>
    <xf numFmtId="0" fontId="10" fillId="0" borderId="0" xfId="0" applyFont="1" applyAlignment="1">
      <alignment horizontal="center" vertical="top" wrapText="1"/>
    </xf>
    <xf numFmtId="0" fontId="33" fillId="0" borderId="0" xfId="0" applyFont="1" applyAlignment="1">
      <alignment horizontal="left"/>
    </xf>
    <xf numFmtId="0" fontId="10" fillId="0" borderId="0" xfId="0" applyFont="1" applyAlignment="1">
      <alignment horizontal="center"/>
    </xf>
    <xf numFmtId="0" fontId="10" fillId="0" borderId="0" xfId="0" applyFont="1" applyAlignment="1">
      <alignment horizontal="center" wrapText="1"/>
    </xf>
    <xf numFmtId="0" fontId="9" fillId="0" borderId="14" xfId="0" applyFont="1" applyBorder="1" applyAlignment="1">
      <alignment horizontal="right" wrapText="1"/>
    </xf>
    <xf numFmtId="0" fontId="10" fillId="0" borderId="0" xfId="0" applyFont="1" applyBorder="1" applyAlignment="1">
      <alignment horizontal="center" wrapText="1"/>
    </xf>
    <xf numFmtId="0" fontId="16" fillId="0" borderId="0" xfId="0" applyFont="1" applyAlignment="1">
      <alignment horizontal="center" vertical="top" wrapText="1"/>
    </xf>
    <xf numFmtId="0" fontId="15" fillId="0" borderId="0" xfId="0" applyFont="1" applyAlignment="1">
      <alignment horizontal="justify" vertical="top" wrapText="1"/>
    </xf>
    <xf numFmtId="0" fontId="15" fillId="0" borderId="0" xfId="0" applyFont="1" applyAlignment="1">
      <alignment horizontal="left" vertical="top" wrapText="1"/>
    </xf>
    <xf numFmtId="0" fontId="28" fillId="0" borderId="0" xfId="0" applyFont="1" applyBorder="1" applyAlignment="1">
      <alignment horizontal="left" vertical="top" wrapText="1"/>
    </xf>
    <xf numFmtId="0" fontId="28" fillId="0" borderId="0" xfId="0" applyFont="1" applyBorder="1" applyAlignment="1">
      <alignment horizontal="left" vertical="center" wrapText="1"/>
    </xf>
    <xf numFmtId="0" fontId="15" fillId="0" borderId="0" xfId="0" applyFont="1" applyBorder="1" applyAlignment="1">
      <alignment horizontal="left" vertical="center" wrapText="1"/>
    </xf>
    <xf numFmtId="0" fontId="15" fillId="0" borderId="0" xfId="0" applyFont="1" applyAlignment="1">
      <alignment horizontal="left" vertical="center" wrapText="1"/>
    </xf>
    <xf numFmtId="0" fontId="46" fillId="0" borderId="0" xfId="0" applyFont="1" applyAlignment="1">
      <alignment horizontal="justify" vertical="top" wrapText="1"/>
    </xf>
    <xf numFmtId="0" fontId="16" fillId="0" borderId="0" xfId="0" applyFont="1" applyAlignment="1">
      <alignment horizontal="center" vertical="center" wrapText="1"/>
    </xf>
    <xf numFmtId="0" fontId="35" fillId="0" borderId="0" xfId="0" applyFont="1" applyAlignment="1">
      <alignment horizontal="center" vertical="center" wrapText="1"/>
    </xf>
    <xf numFmtId="0" fontId="28" fillId="0" borderId="0" xfId="0" applyFont="1" applyAlignment="1">
      <alignment horizontal="center"/>
    </xf>
    <xf numFmtId="0" fontId="28" fillId="0" borderId="0" xfId="0" applyFont="1" applyAlignment="1">
      <alignment horizontal="center" vertical="top" wrapText="1"/>
    </xf>
    <xf numFmtId="0" fontId="28" fillId="0" borderId="0" xfId="0" applyFont="1" applyAlignment="1">
      <alignment horizontal="left" wrapText="1"/>
    </xf>
    <xf numFmtId="0" fontId="37" fillId="0" borderId="0" xfId="0" applyFont="1" applyAlignment="1">
      <alignment horizontal="center" vertical="top" wrapText="1"/>
    </xf>
    <xf numFmtId="0" fontId="28" fillId="0" borderId="0" xfId="0" applyFont="1" applyAlignment="1">
      <alignment horizontal="center" wrapText="1"/>
    </xf>
    <xf numFmtId="0" fontId="35" fillId="0" borderId="0" xfId="0" applyFont="1" applyAlignment="1">
      <alignment horizontal="center" vertical="top" wrapText="1"/>
    </xf>
    <xf numFmtId="0" fontId="28" fillId="0" borderId="0" xfId="0" applyFont="1" applyAlignment="1">
      <alignment horizontal="justify" vertical="top" wrapText="1"/>
    </xf>
    <xf numFmtId="0" fontId="36" fillId="0" borderId="0" xfId="0" applyFont="1" applyAlignment="1">
      <alignment horizontal="center" vertical="center" wrapText="1"/>
    </xf>
    <xf numFmtId="0" fontId="35" fillId="0" borderId="0" xfId="0" applyFont="1" applyAlignment="1">
      <alignment horizontal="center" wrapText="1"/>
    </xf>
    <xf numFmtId="0" fontId="35" fillId="0" borderId="0" xfId="0" applyFont="1" applyAlignment="1">
      <alignment horizontal="right"/>
    </xf>
    <xf numFmtId="0" fontId="35" fillId="0" borderId="0" xfId="0" applyFont="1" applyAlignment="1">
      <alignment horizontal="center"/>
    </xf>
    <xf numFmtId="0" fontId="28" fillId="0" borderId="1" xfId="0" applyFont="1" applyBorder="1" applyAlignment="1">
      <alignment horizontal="center" vertical="center"/>
    </xf>
    <xf numFmtId="0" fontId="28" fillId="0" borderId="1" xfId="0" applyFont="1" applyBorder="1" applyAlignment="1">
      <alignment horizontal="center" vertical="center" wrapText="1"/>
    </xf>
    <xf numFmtId="0" fontId="28" fillId="0" borderId="1" xfId="0" applyFont="1" applyBorder="1" applyAlignment="1">
      <alignment horizontal="center"/>
    </xf>
    <xf numFmtId="0" fontId="15" fillId="0" borderId="0" xfId="0" applyFont="1" applyAlignment="1">
      <alignment horizontal="center"/>
    </xf>
    <xf numFmtId="0" fontId="15" fillId="0" borderId="0" xfId="0" applyFont="1" applyAlignment="1">
      <alignment horizontal="center" vertical="top" wrapText="1"/>
    </xf>
    <xf numFmtId="0" fontId="15" fillId="0" borderId="0" xfId="0" applyFont="1" applyAlignment="1">
      <alignment horizontal="left" wrapText="1"/>
    </xf>
    <xf numFmtId="0" fontId="20" fillId="0" borderId="0" xfId="0" applyFont="1" applyAlignment="1">
      <alignment horizontal="center" vertical="top" wrapText="1"/>
    </xf>
    <xf numFmtId="0" fontId="15" fillId="0" borderId="0" xfId="0" applyFont="1" applyAlignment="1">
      <alignment horizontal="center" wrapText="1"/>
    </xf>
    <xf numFmtId="0" fontId="21" fillId="0" borderId="0" xfId="0" applyFont="1" applyAlignment="1">
      <alignment horizontal="center" vertical="center" wrapText="1"/>
    </xf>
    <xf numFmtId="0" fontId="16" fillId="0" borderId="0" xfId="0" applyFont="1" applyAlignment="1">
      <alignment horizontal="center" wrapText="1"/>
    </xf>
    <xf numFmtId="0" fontId="16" fillId="0" borderId="0" xfId="0" applyFont="1" applyAlignment="1">
      <alignment horizontal="right"/>
    </xf>
    <xf numFmtId="0" fontId="16" fillId="0" borderId="0" xfId="0" applyFont="1" applyAlignment="1">
      <alignment horizontal="center"/>
    </xf>
    <xf numFmtId="0" fontId="15" fillId="0" borderId="1" xfId="0" applyFont="1" applyBorder="1" applyAlignment="1">
      <alignment horizontal="center" vertical="center"/>
    </xf>
    <xf numFmtId="0" fontId="15" fillId="0" borderId="1" xfId="0" applyFont="1" applyBorder="1" applyAlignment="1">
      <alignment horizontal="center" vertical="center" wrapText="1"/>
    </xf>
    <xf numFmtId="0" fontId="15" fillId="0" borderId="1" xfId="0" applyFont="1" applyBorder="1" applyAlignment="1">
      <alignment horizontal="center"/>
    </xf>
    <xf numFmtId="0" fontId="16" fillId="0" borderId="0" xfId="0" applyFont="1" applyAlignment="1">
      <alignment horizontal="left" vertical="top"/>
    </xf>
    <xf numFmtId="0" fontId="16" fillId="0" borderId="3" xfId="0" applyFont="1" applyBorder="1" applyAlignment="1">
      <alignment horizontal="center" vertical="center" wrapText="1"/>
    </xf>
    <xf numFmtId="0" fontId="16" fillId="0" borderId="2" xfId="0" applyFont="1" applyBorder="1" applyAlignment="1">
      <alignment horizontal="center" vertical="center" wrapText="1"/>
    </xf>
    <xf numFmtId="0" fontId="26" fillId="0" borderId="0" xfId="0" applyFont="1" applyAlignment="1">
      <alignment horizontal="right" vertical="top" wrapText="1"/>
    </xf>
    <xf numFmtId="0" fontId="16" fillId="0" borderId="0" xfId="0" applyFont="1" applyAlignment="1">
      <alignment horizontal="left" vertical="top" wrapText="1"/>
    </xf>
    <xf numFmtId="0" fontId="15" fillId="0" borderId="13" xfId="0" applyFont="1" applyBorder="1" applyAlignment="1">
      <alignment horizontal="center" vertical="center" wrapText="1"/>
    </xf>
    <xf numFmtId="0" fontId="15" fillId="0" borderId="14" xfId="0" applyFont="1" applyBorder="1" applyAlignment="1">
      <alignment horizontal="center" vertical="center" wrapText="1"/>
    </xf>
    <xf numFmtId="0" fontId="15" fillId="0" borderId="15" xfId="0" applyFont="1" applyBorder="1" applyAlignment="1">
      <alignment horizontal="center" vertical="center" wrapText="1"/>
    </xf>
    <xf numFmtId="0" fontId="10" fillId="0" borderId="0" xfId="0" applyFont="1" applyBorder="1" applyAlignment="1">
      <alignment horizontal="right" vertical="center" wrapText="1"/>
    </xf>
    <xf numFmtId="0" fontId="54" fillId="0" borderId="0" xfId="0" applyFont="1" applyAlignment="1">
      <alignment horizontal="center" wrapText="1"/>
    </xf>
    <xf numFmtId="0" fontId="16" fillId="0" borderId="0" xfId="0" applyFont="1" applyAlignment="1">
      <alignment horizontal="right" vertical="center" wrapText="1"/>
    </xf>
    <xf numFmtId="0" fontId="9" fillId="0" borderId="0" xfId="0" applyFont="1" applyAlignment="1">
      <alignment horizontal="justify" wrapText="1"/>
    </xf>
    <xf numFmtId="0" fontId="10" fillId="0" borderId="0" xfId="0" applyFont="1" applyAlignment="1">
      <alignment horizontal="left" vertical="top" wrapText="1"/>
    </xf>
    <xf numFmtId="0" fontId="10" fillId="0" borderId="0" xfId="0" applyFont="1" applyAlignment="1">
      <alignment horizontal="left" vertical="center" wrapText="1"/>
    </xf>
    <xf numFmtId="0" fontId="10" fillId="0" borderId="0" xfId="0" applyFont="1" applyAlignment="1">
      <alignment horizontal="right" vertical="center"/>
    </xf>
    <xf numFmtId="0" fontId="9" fillId="0" borderId="0" xfId="0" applyFont="1" applyFill="1" applyBorder="1" applyAlignment="1">
      <alignment horizontal="left" vertical="center" wrapText="1"/>
    </xf>
    <xf numFmtId="0" fontId="9" fillId="0" borderId="0" xfId="0" applyFont="1" applyAlignment="1">
      <alignment horizontal="left" vertical="center" wrapText="1"/>
    </xf>
    <xf numFmtId="0" fontId="16" fillId="0" borderId="10" xfId="0" applyFont="1" applyBorder="1" applyAlignment="1">
      <alignment horizontal="center" wrapText="1"/>
    </xf>
    <xf numFmtId="0" fontId="16" fillId="0" borderId="11" xfId="0" applyFont="1" applyBorder="1" applyAlignment="1">
      <alignment horizontal="center" wrapText="1"/>
    </xf>
    <xf numFmtId="0" fontId="16" fillId="0" borderId="12" xfId="0" applyFont="1" applyBorder="1" applyAlignment="1">
      <alignment horizontal="center" wrapText="1"/>
    </xf>
    <xf numFmtId="0" fontId="15" fillId="0" borderId="8" xfId="0" applyFont="1" applyBorder="1" applyAlignment="1">
      <alignment horizontal="center" wrapText="1"/>
    </xf>
    <xf numFmtId="0" fontId="15" fillId="0" borderId="9" xfId="0" applyFont="1" applyBorder="1" applyAlignment="1">
      <alignment horizontal="center" wrapText="1"/>
    </xf>
    <xf numFmtId="0" fontId="16" fillId="0" borderId="8" xfId="0" applyFont="1" applyBorder="1" applyAlignment="1">
      <alignment horizontal="left" wrapText="1"/>
    </xf>
    <xf numFmtId="0" fontId="16" fillId="0" borderId="0" xfId="0" applyFont="1" applyAlignment="1">
      <alignment horizontal="left" wrapText="1"/>
    </xf>
    <xf numFmtId="0" fontId="16" fillId="0" borderId="9" xfId="0" applyFont="1" applyBorder="1" applyAlignment="1">
      <alignment horizontal="left" wrapText="1"/>
    </xf>
    <xf numFmtId="0" fontId="24" fillId="0" borderId="8" xfId="0" applyFont="1" applyBorder="1" applyAlignment="1">
      <alignment horizontal="center" wrapText="1"/>
    </xf>
    <xf numFmtId="0" fontId="24" fillId="0" borderId="0" xfId="0" applyFont="1" applyAlignment="1">
      <alignment horizontal="center" wrapText="1"/>
    </xf>
    <xf numFmtId="0" fontId="24" fillId="0" borderId="9" xfId="0" applyFont="1" applyBorder="1" applyAlignment="1">
      <alignment horizontal="center" wrapText="1"/>
    </xf>
    <xf numFmtId="0" fontId="25" fillId="0" borderId="5" xfId="0" applyFont="1" applyBorder="1" applyAlignment="1">
      <alignment horizontal="center" wrapText="1"/>
    </xf>
    <xf numFmtId="0" fontId="25" fillId="0" borderId="6" xfId="0" applyFont="1" applyBorder="1" applyAlignment="1">
      <alignment horizontal="center" wrapText="1"/>
    </xf>
    <xf numFmtId="0" fontId="25" fillId="0" borderId="7" xfId="0" applyFont="1" applyBorder="1" applyAlignment="1">
      <alignment horizontal="center" wrapText="1"/>
    </xf>
    <xf numFmtId="0" fontId="34" fillId="0" borderId="8" xfId="0" applyFont="1" applyBorder="1" applyAlignment="1">
      <alignment horizontal="center" wrapText="1"/>
    </xf>
    <xf numFmtId="0" fontId="34" fillId="0" borderId="0" xfId="0" applyFont="1" applyAlignment="1">
      <alignment horizontal="center" wrapText="1"/>
    </xf>
    <xf numFmtId="0" fontId="34" fillId="0" borderId="9" xfId="0" applyFont="1" applyBorder="1" applyAlignment="1">
      <alignment horizontal="center" wrapText="1"/>
    </xf>
    <xf numFmtId="0" fontId="18" fillId="0" borderId="0" xfId="0" applyFont="1" applyAlignment="1">
      <alignment horizontal="justify" vertical="top" wrapText="1"/>
    </xf>
    <xf numFmtId="0" fontId="17" fillId="0" borderId="0" xfId="0" applyFont="1" applyAlignment="1">
      <alignment horizontal="center" vertical="top" wrapText="1"/>
    </xf>
    <xf numFmtId="0" fontId="18" fillId="0" borderId="0" xfId="0" applyFont="1" applyAlignment="1">
      <alignment horizontal="left" vertical="top" wrapText="1"/>
    </xf>
    <xf numFmtId="0" fontId="18" fillId="0" borderId="0" xfId="0" applyFont="1" applyAlignment="1">
      <alignment horizontal="center" vertical="top" wrapText="1"/>
    </xf>
    <xf numFmtId="0" fontId="18" fillId="0" borderId="4" xfId="0" applyFont="1" applyBorder="1" applyAlignment="1">
      <alignment horizontal="center" vertical="top" wrapText="1"/>
    </xf>
    <xf numFmtId="49" fontId="18" fillId="0" borderId="0" xfId="0" applyNumberFormat="1" applyFont="1" applyAlignment="1">
      <alignment horizontal="center" vertical="center" wrapText="1"/>
    </xf>
    <xf numFmtId="0" fontId="15" fillId="0" borderId="0" xfId="0" applyFont="1" applyAlignment="1">
      <alignment horizontal="center" vertical="center"/>
    </xf>
    <xf numFmtId="49" fontId="15" fillId="0" borderId="0" xfId="0" applyNumberFormat="1" applyFont="1" applyAlignment="1">
      <alignment horizontal="justify" vertical="top" wrapText="1"/>
    </xf>
    <xf numFmtId="0" fontId="29" fillId="0" borderId="0" xfId="0" applyFont="1" applyAlignment="1">
      <alignment horizontal="justify" vertical="center" wrapText="1"/>
    </xf>
    <xf numFmtId="0" fontId="29" fillId="0" borderId="1" xfId="0" applyFont="1" applyBorder="1" applyAlignment="1">
      <alignment horizontal="justify" vertical="center" wrapText="1"/>
    </xf>
    <xf numFmtId="0" fontId="29" fillId="0" borderId="17" xfId="0" applyFont="1" applyBorder="1" applyAlignment="1">
      <alignment horizontal="justify" vertical="center" wrapText="1"/>
    </xf>
    <xf numFmtId="0" fontId="29" fillId="0" borderId="11" xfId="0" applyFont="1" applyBorder="1" applyAlignment="1">
      <alignment horizontal="justify"/>
    </xf>
    <xf numFmtId="0" fontId="29" fillId="0" borderId="0" xfId="0" applyFont="1" applyAlignment="1">
      <alignment horizontal="center"/>
    </xf>
    <xf numFmtId="0" fontId="29" fillId="0" borderId="3" xfId="0" applyFont="1" applyBorder="1" applyAlignment="1">
      <alignment horizontal="justify" vertical="center" wrapText="1"/>
    </xf>
    <xf numFmtId="0" fontId="29" fillId="0" borderId="18" xfId="0" applyFont="1" applyBorder="1" applyAlignment="1">
      <alignment horizontal="justify" vertical="center" wrapText="1"/>
    </xf>
    <xf numFmtId="0" fontId="29" fillId="0" borderId="2" xfId="0" applyFont="1" applyBorder="1" applyAlignment="1">
      <alignment horizontal="justify" vertical="center" wrapText="1"/>
    </xf>
    <xf numFmtId="0" fontId="29" fillId="0" borderId="3" xfId="0" applyFont="1" applyBorder="1" applyAlignment="1">
      <alignment horizontal="justify" vertical="center"/>
    </xf>
    <xf numFmtId="0" fontId="29" fillId="0" borderId="2" xfId="0" applyFont="1" applyBorder="1" applyAlignment="1">
      <alignment horizontal="justify" vertical="center"/>
    </xf>
    <xf numFmtId="0" fontId="29" fillId="0" borderId="21" xfId="0" applyFont="1" applyBorder="1" applyAlignment="1">
      <alignment horizontal="justify" vertical="center"/>
    </xf>
    <xf numFmtId="0" fontId="29" fillId="0" borderId="17" xfId="0" applyFont="1" applyBorder="1" applyAlignment="1">
      <alignment horizontal="justify" vertical="center"/>
    </xf>
    <xf numFmtId="0" fontId="29" fillId="0" borderId="22" xfId="0" applyFont="1" applyBorder="1" applyAlignment="1">
      <alignment horizontal="justify" vertical="center"/>
    </xf>
    <xf numFmtId="0" fontId="29" fillId="0" borderId="20" xfId="0" applyFont="1" applyBorder="1" applyAlignment="1">
      <alignment horizontal="justify" vertical="center"/>
    </xf>
    <xf numFmtId="0" fontId="29" fillId="0" borderId="4" xfId="0" applyFont="1" applyBorder="1" applyAlignment="1">
      <alignment horizontal="justify" vertical="center"/>
    </xf>
    <xf numFmtId="0" fontId="29" fillId="0" borderId="23" xfId="0" applyFont="1" applyBorder="1" applyAlignment="1">
      <alignment horizontal="justify" vertical="center"/>
    </xf>
    <xf numFmtId="0" fontId="10" fillId="0" borderId="0" xfId="0" applyFont="1" applyAlignment="1">
      <alignment horizontal="right" vertical="top" wrapText="1"/>
    </xf>
    <xf numFmtId="0" fontId="9" fillId="0" borderId="0" xfId="0" applyFont="1" applyAlignment="1">
      <alignment horizontal="justify" vertical="top" wrapText="1"/>
    </xf>
    <xf numFmtId="0" fontId="40" fillId="0" borderId="0" xfId="0" applyFont="1" applyAlignment="1">
      <alignment vertical="center" wrapText="1"/>
    </xf>
    <xf numFmtId="0" fontId="39" fillId="0" borderId="0" xfId="0" applyFont="1" applyAlignment="1">
      <alignment horizontal="justify" vertical="center" wrapText="1"/>
    </xf>
    <xf numFmtId="0" fontId="15" fillId="0" borderId="0" xfId="0" applyFont="1" applyAlignment="1">
      <alignment vertical="top" wrapText="1"/>
    </xf>
    <xf numFmtId="0" fontId="40" fillId="0" borderId="0" xfId="0" applyFont="1" applyAlignment="1">
      <alignment horizontal="justify" vertical="center" wrapText="1"/>
    </xf>
    <xf numFmtId="0" fontId="39" fillId="0" borderId="0" xfId="0" applyFont="1" applyAlignment="1">
      <alignment horizontal="justify" vertical="top" wrapText="1"/>
    </xf>
    <xf numFmtId="0" fontId="15" fillId="0" borderId="0" xfId="0" applyFont="1" applyAlignment="1">
      <alignment horizontal="left"/>
    </xf>
    <xf numFmtId="0" fontId="18" fillId="0" borderId="0" xfId="0" applyFont="1" applyAlignment="1">
      <alignment horizontal="left" wrapText="1"/>
    </xf>
    <xf numFmtId="0" fontId="17" fillId="0" borderId="4" xfId="0" applyFont="1" applyBorder="1" applyAlignment="1">
      <alignment horizontal="left" vertical="top"/>
    </xf>
    <xf numFmtId="0" fontId="17" fillId="8" borderId="3" xfId="0" applyFont="1" applyFill="1" applyBorder="1" applyAlignment="1">
      <alignment horizontal="center" vertical="center" wrapText="1"/>
    </xf>
    <xf numFmtId="0" fontId="17" fillId="8" borderId="2" xfId="0" applyFont="1" applyFill="1" applyBorder="1" applyAlignment="1">
      <alignment horizontal="center" vertical="center" wrapText="1"/>
    </xf>
    <xf numFmtId="0" fontId="18" fillId="0" borderId="1" xfId="0" applyFont="1" applyBorder="1" applyAlignment="1">
      <alignment horizontal="center" vertical="center" wrapText="1"/>
    </xf>
    <xf numFmtId="0" fontId="18" fillId="0" borderId="0" xfId="0" applyFont="1" applyAlignment="1">
      <alignment horizontal="left"/>
    </xf>
    <xf numFmtId="0" fontId="18" fillId="0" borderId="0" xfId="0" applyFont="1" applyAlignment="1">
      <alignment horizontal="justify" vertical="top" wrapText="1" readingOrder="1"/>
    </xf>
    <xf numFmtId="0" fontId="17" fillId="0" borderId="0" xfId="0" applyFont="1" applyAlignment="1">
      <alignment horizontal="center" wrapText="1"/>
    </xf>
    <xf numFmtId="0" fontId="42" fillId="0" borderId="0" xfId="0" applyFont="1" applyAlignment="1">
      <alignment horizontal="left" vertical="center" wrapText="1" readingOrder="1"/>
    </xf>
    <xf numFmtId="0" fontId="18" fillId="0" borderId="3" xfId="0" applyFont="1" applyBorder="1" applyAlignment="1">
      <alignment horizontal="center" vertical="center" wrapText="1"/>
    </xf>
    <xf numFmtId="0" fontId="18" fillId="0" borderId="2" xfId="0" applyFont="1" applyBorder="1" applyAlignment="1">
      <alignment horizontal="center" vertical="center" wrapText="1"/>
    </xf>
  </cellXfs>
  <cellStyles count="1786">
    <cellStyle name="Обычный" xfId="0" builtinId="0"/>
    <cellStyle name="Обычный 10" xfId="72" xr:uid="{00000000-0005-0000-0000-000001000000}"/>
    <cellStyle name="Обычный 10 2" xfId="208" xr:uid="{00000000-0005-0000-0000-000002000000}"/>
    <cellStyle name="Обычный 10 2 2" xfId="480" xr:uid="{00000000-0005-0000-0000-000003000000}"/>
    <cellStyle name="Обычный 10 2 2 2" xfId="591" xr:uid="{00000000-0005-0000-0000-000004000000}"/>
    <cellStyle name="Обычный 10 2 3" xfId="575" xr:uid="{00000000-0005-0000-0000-000005000000}"/>
    <cellStyle name="Обычный 10 2 4" xfId="1712" xr:uid="{00000000-0005-0000-0000-000006000000}"/>
    <cellStyle name="Обычный 10 3" xfId="344" xr:uid="{00000000-0005-0000-0000-000007000000}"/>
    <cellStyle name="Обычный 10 3 2" xfId="583" xr:uid="{00000000-0005-0000-0000-000008000000}"/>
    <cellStyle name="Обычный 10 4" xfId="601" xr:uid="{00000000-0005-0000-0000-000009000000}"/>
    <cellStyle name="Обычный 10 4 2" xfId="1055" xr:uid="{00000000-0005-0000-0000-00000A000000}"/>
    <cellStyle name="Обычный 10 5" xfId="567" xr:uid="{00000000-0005-0000-0000-00000B000000}"/>
    <cellStyle name="Обычный 10 6" xfId="1576" xr:uid="{00000000-0005-0000-0000-00000C000000}"/>
    <cellStyle name="Обычный 10 7" xfId="803" xr:uid="{00000000-0005-0000-0000-00000D000000}"/>
    <cellStyle name="Обычный 11" xfId="73" xr:uid="{00000000-0005-0000-0000-00000E000000}"/>
    <cellStyle name="Обычный 11 2" xfId="209" xr:uid="{00000000-0005-0000-0000-00000F000000}"/>
    <cellStyle name="Обычный 11 2 2" xfId="481" xr:uid="{00000000-0005-0000-0000-000010000000}"/>
    <cellStyle name="Обычный 11 2 2 2" xfId="592" xr:uid="{00000000-0005-0000-0000-000011000000}"/>
    <cellStyle name="Обычный 11 2 3" xfId="576" xr:uid="{00000000-0005-0000-0000-000012000000}"/>
    <cellStyle name="Обычный 11 2 4" xfId="1713" xr:uid="{00000000-0005-0000-0000-000013000000}"/>
    <cellStyle name="Обычный 11 3" xfId="345" xr:uid="{00000000-0005-0000-0000-000014000000}"/>
    <cellStyle name="Обычный 11 3 2" xfId="584" xr:uid="{00000000-0005-0000-0000-000015000000}"/>
    <cellStyle name="Обычный 11 4" xfId="617" xr:uid="{00000000-0005-0000-0000-000016000000}"/>
    <cellStyle name="Обычный 11 4 2" xfId="1056" xr:uid="{00000000-0005-0000-0000-000017000000}"/>
    <cellStyle name="Обычный 11 5" xfId="568" xr:uid="{00000000-0005-0000-0000-000018000000}"/>
    <cellStyle name="Обычный 11 6" xfId="1577" xr:uid="{00000000-0005-0000-0000-000019000000}"/>
    <cellStyle name="Обычный 11 7" xfId="804" xr:uid="{00000000-0005-0000-0000-00001A000000}"/>
    <cellStyle name="Обычный 12" xfId="593" xr:uid="{00000000-0005-0000-0000-00001B000000}"/>
    <cellStyle name="Обычный 2" xfId="63" xr:uid="{00000000-0005-0000-0000-00001C000000}"/>
    <cellStyle name="Обычный 2 2" xfId="615" xr:uid="{00000000-0005-0000-0000-00001D000000}"/>
    <cellStyle name="Обычный 3" xfId="64" xr:uid="{00000000-0005-0000-0000-00001E000000}"/>
    <cellStyle name="Обычный 3 2" xfId="600" xr:uid="{00000000-0005-0000-0000-00001F000000}"/>
    <cellStyle name="Обычный 4" xfId="66" xr:uid="{00000000-0005-0000-0000-000020000000}"/>
    <cellStyle name="Обычный 4 2" xfId="202" xr:uid="{00000000-0005-0000-0000-000021000000}"/>
    <cellStyle name="Обычный 4 2 2" xfId="474" xr:uid="{00000000-0005-0000-0000-000022000000}"/>
    <cellStyle name="Обычный 4 2 2 2" xfId="585" xr:uid="{00000000-0005-0000-0000-000023000000}"/>
    <cellStyle name="Обычный 4 2 3" xfId="569" xr:uid="{00000000-0005-0000-0000-000024000000}"/>
    <cellStyle name="Обычный 4 2 4" xfId="1706" xr:uid="{00000000-0005-0000-0000-000025000000}"/>
    <cellStyle name="Обычный 4 3" xfId="338" xr:uid="{00000000-0005-0000-0000-000026000000}"/>
    <cellStyle name="Обычный 4 3 2" xfId="577" xr:uid="{00000000-0005-0000-0000-000027000000}"/>
    <cellStyle name="Обычный 4 4" xfId="594" xr:uid="{00000000-0005-0000-0000-000028000000}"/>
    <cellStyle name="Обычный 4 4 2" xfId="1049" xr:uid="{00000000-0005-0000-0000-000029000000}"/>
    <cellStyle name="Обычный 4 5" xfId="561" xr:uid="{00000000-0005-0000-0000-00002A000000}"/>
    <cellStyle name="Обычный 4 6" xfId="1570" xr:uid="{00000000-0005-0000-0000-00002B000000}"/>
    <cellStyle name="Обычный 4 7" xfId="797" xr:uid="{00000000-0005-0000-0000-00002C000000}"/>
    <cellStyle name="Обычный 5" xfId="67" xr:uid="{00000000-0005-0000-0000-00002D000000}"/>
    <cellStyle name="Обычный 5 2" xfId="203" xr:uid="{00000000-0005-0000-0000-00002E000000}"/>
    <cellStyle name="Обычный 5 2 2" xfId="475" xr:uid="{00000000-0005-0000-0000-00002F000000}"/>
    <cellStyle name="Обычный 5 2 2 2" xfId="586" xr:uid="{00000000-0005-0000-0000-000030000000}"/>
    <cellStyle name="Обычный 5 2 3" xfId="570" xr:uid="{00000000-0005-0000-0000-000031000000}"/>
    <cellStyle name="Обычный 5 2 4" xfId="1707" xr:uid="{00000000-0005-0000-0000-000032000000}"/>
    <cellStyle name="Обычный 5 3" xfId="339" xr:uid="{00000000-0005-0000-0000-000033000000}"/>
    <cellStyle name="Обычный 5 3 2" xfId="578" xr:uid="{00000000-0005-0000-0000-000034000000}"/>
    <cellStyle name="Обычный 5 4" xfId="597" xr:uid="{00000000-0005-0000-0000-000035000000}"/>
    <cellStyle name="Обычный 5 4 2" xfId="1050" xr:uid="{00000000-0005-0000-0000-000036000000}"/>
    <cellStyle name="Обычный 5 5" xfId="562" xr:uid="{00000000-0005-0000-0000-000037000000}"/>
    <cellStyle name="Обычный 5 6" xfId="1571" xr:uid="{00000000-0005-0000-0000-000038000000}"/>
    <cellStyle name="Обычный 5 7" xfId="798" xr:uid="{00000000-0005-0000-0000-000039000000}"/>
    <cellStyle name="Обычный 6" xfId="68" xr:uid="{00000000-0005-0000-0000-00003A000000}"/>
    <cellStyle name="Обычный 6 2" xfId="204" xr:uid="{00000000-0005-0000-0000-00003B000000}"/>
    <cellStyle name="Обычный 6 2 2" xfId="476" xr:uid="{00000000-0005-0000-0000-00003C000000}"/>
    <cellStyle name="Обычный 6 2 2 2" xfId="587" xr:uid="{00000000-0005-0000-0000-00003D000000}"/>
    <cellStyle name="Обычный 6 2 3" xfId="571" xr:uid="{00000000-0005-0000-0000-00003E000000}"/>
    <cellStyle name="Обычный 6 2 4" xfId="1708" xr:uid="{00000000-0005-0000-0000-00003F000000}"/>
    <cellStyle name="Обычный 6 3" xfId="340" xr:uid="{00000000-0005-0000-0000-000040000000}"/>
    <cellStyle name="Обычный 6 3 2" xfId="579" xr:uid="{00000000-0005-0000-0000-000041000000}"/>
    <cellStyle name="Обычный 6 4" xfId="603" xr:uid="{00000000-0005-0000-0000-000042000000}"/>
    <cellStyle name="Обычный 6 4 2" xfId="1051" xr:uid="{00000000-0005-0000-0000-000043000000}"/>
    <cellStyle name="Обычный 6 5" xfId="563" xr:uid="{00000000-0005-0000-0000-000044000000}"/>
    <cellStyle name="Обычный 6 6" xfId="1572" xr:uid="{00000000-0005-0000-0000-000045000000}"/>
    <cellStyle name="Обычный 6 7" xfId="799" xr:uid="{00000000-0005-0000-0000-000046000000}"/>
    <cellStyle name="Обычный 7" xfId="69" xr:uid="{00000000-0005-0000-0000-000047000000}"/>
    <cellStyle name="Обычный 7 2" xfId="205" xr:uid="{00000000-0005-0000-0000-000048000000}"/>
    <cellStyle name="Обычный 7 2 2" xfId="477" xr:uid="{00000000-0005-0000-0000-000049000000}"/>
    <cellStyle name="Обычный 7 2 2 2" xfId="588" xr:uid="{00000000-0005-0000-0000-00004A000000}"/>
    <cellStyle name="Обычный 7 2 3" xfId="572" xr:uid="{00000000-0005-0000-0000-00004B000000}"/>
    <cellStyle name="Обычный 7 2 4" xfId="1709" xr:uid="{00000000-0005-0000-0000-00004C000000}"/>
    <cellStyle name="Обычный 7 3" xfId="341" xr:uid="{00000000-0005-0000-0000-00004D000000}"/>
    <cellStyle name="Обычный 7 3 2" xfId="580" xr:uid="{00000000-0005-0000-0000-00004E000000}"/>
    <cellStyle name="Обычный 7 4" xfId="604" xr:uid="{00000000-0005-0000-0000-00004F000000}"/>
    <cellStyle name="Обычный 7 4 2" xfId="1052" xr:uid="{00000000-0005-0000-0000-000050000000}"/>
    <cellStyle name="Обычный 7 5" xfId="564" xr:uid="{00000000-0005-0000-0000-000051000000}"/>
    <cellStyle name="Обычный 7 6" xfId="1573" xr:uid="{00000000-0005-0000-0000-000052000000}"/>
    <cellStyle name="Обычный 7 7" xfId="800" xr:uid="{00000000-0005-0000-0000-000053000000}"/>
    <cellStyle name="Обычный 8" xfId="70" xr:uid="{00000000-0005-0000-0000-000054000000}"/>
    <cellStyle name="Обычный 8 2" xfId="206" xr:uid="{00000000-0005-0000-0000-000055000000}"/>
    <cellStyle name="Обычный 8 2 2" xfId="478" xr:uid="{00000000-0005-0000-0000-000056000000}"/>
    <cellStyle name="Обычный 8 2 2 2" xfId="589" xr:uid="{00000000-0005-0000-0000-000057000000}"/>
    <cellStyle name="Обычный 8 2 3" xfId="573" xr:uid="{00000000-0005-0000-0000-000058000000}"/>
    <cellStyle name="Обычный 8 2 4" xfId="1710" xr:uid="{00000000-0005-0000-0000-000059000000}"/>
    <cellStyle name="Обычный 8 3" xfId="342" xr:uid="{00000000-0005-0000-0000-00005A000000}"/>
    <cellStyle name="Обычный 8 3 2" xfId="581" xr:uid="{00000000-0005-0000-0000-00005B000000}"/>
    <cellStyle name="Обычный 8 4" xfId="605" xr:uid="{00000000-0005-0000-0000-00005C000000}"/>
    <cellStyle name="Обычный 8 4 2" xfId="1053" xr:uid="{00000000-0005-0000-0000-00005D000000}"/>
    <cellStyle name="Обычный 8 5" xfId="565" xr:uid="{00000000-0005-0000-0000-00005E000000}"/>
    <cellStyle name="Обычный 8 6" xfId="1574" xr:uid="{00000000-0005-0000-0000-00005F000000}"/>
    <cellStyle name="Обычный 8 7" xfId="801" xr:uid="{00000000-0005-0000-0000-000060000000}"/>
    <cellStyle name="Обычный 9" xfId="71" xr:uid="{00000000-0005-0000-0000-000061000000}"/>
    <cellStyle name="Обычный 9 2" xfId="207" xr:uid="{00000000-0005-0000-0000-000062000000}"/>
    <cellStyle name="Обычный 9 2 2" xfId="479" xr:uid="{00000000-0005-0000-0000-000063000000}"/>
    <cellStyle name="Обычный 9 2 2 2" xfId="590" xr:uid="{00000000-0005-0000-0000-000064000000}"/>
    <cellStyle name="Обычный 9 2 3" xfId="574" xr:uid="{00000000-0005-0000-0000-000065000000}"/>
    <cellStyle name="Обычный 9 2 4" xfId="1711" xr:uid="{00000000-0005-0000-0000-000066000000}"/>
    <cellStyle name="Обычный 9 3" xfId="343" xr:uid="{00000000-0005-0000-0000-000067000000}"/>
    <cellStyle name="Обычный 9 3 2" xfId="582" xr:uid="{00000000-0005-0000-0000-000068000000}"/>
    <cellStyle name="Обычный 9 4" xfId="606" xr:uid="{00000000-0005-0000-0000-000069000000}"/>
    <cellStyle name="Обычный 9 4 2" xfId="1054" xr:uid="{00000000-0005-0000-0000-00006A000000}"/>
    <cellStyle name="Обычный 9 5" xfId="566" xr:uid="{00000000-0005-0000-0000-00006B000000}"/>
    <cellStyle name="Обычный 9 6" xfId="1575" xr:uid="{00000000-0005-0000-0000-00006C000000}"/>
    <cellStyle name="Обычный 9 7" xfId="802" xr:uid="{00000000-0005-0000-0000-00006D000000}"/>
    <cellStyle name="Процентный" xfId="559" builtinId="5"/>
    <cellStyle name="Процентный 2" xfId="732" xr:uid="{00000000-0005-0000-0000-00006F000000}"/>
    <cellStyle name="Финансовый" xfId="1" builtinId="3"/>
    <cellStyle name="Финансовый [0] 2" xfId="560" xr:uid="{00000000-0005-0000-0000-000071000000}"/>
    <cellStyle name="Финансовый 10" xfId="125" xr:uid="{00000000-0005-0000-0000-000072000000}"/>
    <cellStyle name="Финансовый 10 2" xfId="261" xr:uid="{00000000-0005-0000-0000-000073000000}"/>
    <cellStyle name="Финансовый 10 2 2" xfId="533" xr:uid="{00000000-0005-0000-0000-000074000000}"/>
    <cellStyle name="Финансовый 10 2 2 2" xfId="1492" xr:uid="{00000000-0005-0000-0000-000075000000}"/>
    <cellStyle name="Финансовый 10 2 3" xfId="1236" xr:uid="{00000000-0005-0000-0000-000076000000}"/>
    <cellStyle name="Финансовый 10 2 4" xfId="1765" xr:uid="{00000000-0005-0000-0000-000077000000}"/>
    <cellStyle name="Финансовый 10 3" xfId="397" xr:uid="{00000000-0005-0000-0000-000078000000}"/>
    <cellStyle name="Финансовый 10 3 2" xfId="1364" xr:uid="{00000000-0005-0000-0000-000079000000}"/>
    <cellStyle name="Финансовый 10 4" xfId="619" xr:uid="{00000000-0005-0000-0000-00007A000000}"/>
    <cellStyle name="Финансовый 10 4 2" xfId="1108" xr:uid="{00000000-0005-0000-0000-00007B000000}"/>
    <cellStyle name="Финансовый 10 5" xfId="984" xr:uid="{00000000-0005-0000-0000-00007C000000}"/>
    <cellStyle name="Финансовый 10 6" xfId="1629" xr:uid="{00000000-0005-0000-0000-00007D000000}"/>
    <cellStyle name="Финансовый 10 7" xfId="856" xr:uid="{00000000-0005-0000-0000-00007E000000}"/>
    <cellStyle name="Финансовый 11" xfId="61" xr:uid="{00000000-0005-0000-0000-00007F000000}"/>
    <cellStyle name="Финансовый 11 2" xfId="199" xr:uid="{00000000-0005-0000-0000-000080000000}"/>
    <cellStyle name="Финансовый 11 2 2" xfId="471" xr:uid="{00000000-0005-0000-0000-000081000000}"/>
    <cellStyle name="Финансовый 11 2 2 2" xfId="1438" xr:uid="{00000000-0005-0000-0000-000082000000}"/>
    <cellStyle name="Финансовый 11 2 3" xfId="1182" xr:uid="{00000000-0005-0000-0000-000083000000}"/>
    <cellStyle name="Финансовый 11 2 4" xfId="1703" xr:uid="{00000000-0005-0000-0000-000084000000}"/>
    <cellStyle name="Финансовый 11 3" xfId="335" xr:uid="{00000000-0005-0000-0000-000085000000}"/>
    <cellStyle name="Финансовый 11 3 2" xfId="1310" xr:uid="{00000000-0005-0000-0000-000086000000}"/>
    <cellStyle name="Финансовый 11 4" xfId="611" xr:uid="{00000000-0005-0000-0000-000087000000}"/>
    <cellStyle name="Финансовый 11 4 2" xfId="1046" xr:uid="{00000000-0005-0000-0000-000088000000}"/>
    <cellStyle name="Финансовый 11 5" xfId="930" xr:uid="{00000000-0005-0000-0000-000089000000}"/>
    <cellStyle name="Финансовый 11 6" xfId="1566" xr:uid="{00000000-0005-0000-0000-00008A000000}"/>
    <cellStyle name="Финансовый 11 7" xfId="793" xr:uid="{00000000-0005-0000-0000-00008B000000}"/>
    <cellStyle name="Финансовый 12" xfId="49" xr:uid="{00000000-0005-0000-0000-00008C000000}"/>
    <cellStyle name="Финансовый 12 2" xfId="187" xr:uid="{00000000-0005-0000-0000-00008D000000}"/>
    <cellStyle name="Финансовый 12 2 2" xfId="459" xr:uid="{00000000-0005-0000-0000-00008E000000}"/>
    <cellStyle name="Финансовый 12 2 2 2" xfId="1426" xr:uid="{00000000-0005-0000-0000-00008F000000}"/>
    <cellStyle name="Финансовый 12 2 3" xfId="1170" xr:uid="{00000000-0005-0000-0000-000090000000}"/>
    <cellStyle name="Финансовый 12 2 4" xfId="1691" xr:uid="{00000000-0005-0000-0000-000091000000}"/>
    <cellStyle name="Финансовый 12 3" xfId="323" xr:uid="{00000000-0005-0000-0000-000092000000}"/>
    <cellStyle name="Финансовый 12 3 2" xfId="1298" xr:uid="{00000000-0005-0000-0000-000093000000}"/>
    <cellStyle name="Финансовый 12 4" xfId="613" xr:uid="{00000000-0005-0000-0000-000094000000}"/>
    <cellStyle name="Финансовый 12 4 2" xfId="1034" xr:uid="{00000000-0005-0000-0000-000095000000}"/>
    <cellStyle name="Финансовый 12 5" xfId="918" xr:uid="{00000000-0005-0000-0000-000096000000}"/>
    <cellStyle name="Финансовый 12 6" xfId="1554" xr:uid="{00000000-0005-0000-0000-000097000000}"/>
    <cellStyle name="Финансовый 12 7" xfId="781" xr:uid="{00000000-0005-0000-0000-000098000000}"/>
    <cellStyle name="Финансовый 13" xfId="127" xr:uid="{00000000-0005-0000-0000-000099000000}"/>
    <cellStyle name="Финансовый 13 2" xfId="263" xr:uid="{00000000-0005-0000-0000-00009A000000}"/>
    <cellStyle name="Финансовый 13 2 2" xfId="535" xr:uid="{00000000-0005-0000-0000-00009B000000}"/>
    <cellStyle name="Финансовый 13 2 2 2" xfId="1494" xr:uid="{00000000-0005-0000-0000-00009C000000}"/>
    <cellStyle name="Финансовый 13 2 3" xfId="1238" xr:uid="{00000000-0005-0000-0000-00009D000000}"/>
    <cellStyle name="Финансовый 13 2 4" xfId="1767" xr:uid="{00000000-0005-0000-0000-00009E000000}"/>
    <cellStyle name="Финансовый 13 3" xfId="399" xr:uid="{00000000-0005-0000-0000-00009F000000}"/>
    <cellStyle name="Финансовый 13 3 2" xfId="1366" xr:uid="{00000000-0005-0000-0000-0000A0000000}"/>
    <cellStyle name="Финансовый 13 4" xfId="614" xr:uid="{00000000-0005-0000-0000-0000A1000000}"/>
    <cellStyle name="Финансовый 13 4 2" xfId="1110" xr:uid="{00000000-0005-0000-0000-0000A2000000}"/>
    <cellStyle name="Финансовый 13 5" xfId="986" xr:uid="{00000000-0005-0000-0000-0000A3000000}"/>
    <cellStyle name="Финансовый 13 6" xfId="1631" xr:uid="{00000000-0005-0000-0000-0000A4000000}"/>
    <cellStyle name="Финансовый 13 7" xfId="858" xr:uid="{00000000-0005-0000-0000-0000A5000000}"/>
    <cellStyle name="Финансовый 14" xfId="25" xr:uid="{00000000-0005-0000-0000-0000A6000000}"/>
    <cellStyle name="Финансовый 14 2" xfId="163" xr:uid="{00000000-0005-0000-0000-0000A7000000}"/>
    <cellStyle name="Финансовый 14 2 2" xfId="435" xr:uid="{00000000-0005-0000-0000-0000A8000000}"/>
    <cellStyle name="Финансовый 14 2 2 2" xfId="1402" xr:uid="{00000000-0005-0000-0000-0000A9000000}"/>
    <cellStyle name="Финансовый 14 2 3" xfId="1146" xr:uid="{00000000-0005-0000-0000-0000AA000000}"/>
    <cellStyle name="Финансовый 14 2 4" xfId="1667" xr:uid="{00000000-0005-0000-0000-0000AB000000}"/>
    <cellStyle name="Финансовый 14 3" xfId="299" xr:uid="{00000000-0005-0000-0000-0000AC000000}"/>
    <cellStyle name="Финансовый 14 3 2" xfId="1274" xr:uid="{00000000-0005-0000-0000-0000AD000000}"/>
    <cellStyle name="Финансовый 14 4" xfId="616" xr:uid="{00000000-0005-0000-0000-0000AE000000}"/>
    <cellStyle name="Финансовый 14 4 2" xfId="1010" xr:uid="{00000000-0005-0000-0000-0000AF000000}"/>
    <cellStyle name="Финансовый 14 5" xfId="894" xr:uid="{00000000-0005-0000-0000-0000B0000000}"/>
    <cellStyle name="Финансовый 14 6" xfId="1530" xr:uid="{00000000-0005-0000-0000-0000B1000000}"/>
    <cellStyle name="Финансовый 14 7" xfId="757" xr:uid="{00000000-0005-0000-0000-0000B2000000}"/>
    <cellStyle name="Финансовый 15" xfId="13" xr:uid="{00000000-0005-0000-0000-0000B3000000}"/>
    <cellStyle name="Финансовый 15 2" xfId="151" xr:uid="{00000000-0005-0000-0000-0000B4000000}"/>
    <cellStyle name="Финансовый 15 2 2" xfId="423" xr:uid="{00000000-0005-0000-0000-0000B5000000}"/>
    <cellStyle name="Финансовый 15 2 2 2" xfId="1390" xr:uid="{00000000-0005-0000-0000-0000B6000000}"/>
    <cellStyle name="Финансовый 15 2 3" xfId="1134" xr:uid="{00000000-0005-0000-0000-0000B7000000}"/>
    <cellStyle name="Финансовый 15 2 4" xfId="1655" xr:uid="{00000000-0005-0000-0000-0000B8000000}"/>
    <cellStyle name="Финансовый 15 3" xfId="287" xr:uid="{00000000-0005-0000-0000-0000B9000000}"/>
    <cellStyle name="Финансовый 15 3 2" xfId="1262" xr:uid="{00000000-0005-0000-0000-0000BA000000}"/>
    <cellStyle name="Финансовый 15 4" xfId="610" xr:uid="{00000000-0005-0000-0000-0000BB000000}"/>
    <cellStyle name="Финансовый 15 4 2" xfId="998" xr:uid="{00000000-0005-0000-0000-0000BC000000}"/>
    <cellStyle name="Финансовый 15 5" xfId="882" xr:uid="{00000000-0005-0000-0000-0000BD000000}"/>
    <cellStyle name="Финансовый 15 6" xfId="1518" xr:uid="{00000000-0005-0000-0000-0000BE000000}"/>
    <cellStyle name="Финансовый 15 7" xfId="745" xr:uid="{00000000-0005-0000-0000-0000BF000000}"/>
    <cellStyle name="Финансовый 16" xfId="139" xr:uid="{00000000-0005-0000-0000-0000C0000000}"/>
    <cellStyle name="Финансовый 16 2" xfId="411" xr:uid="{00000000-0005-0000-0000-0000C1000000}"/>
    <cellStyle name="Финансовый 16 2 2" xfId="1378" xr:uid="{00000000-0005-0000-0000-0000C2000000}"/>
    <cellStyle name="Финансовый 16 3" xfId="1122" xr:uid="{00000000-0005-0000-0000-0000C3000000}"/>
    <cellStyle name="Финансовый 16 4" xfId="1643" xr:uid="{00000000-0005-0000-0000-0000C4000000}"/>
    <cellStyle name="Финансовый 17" xfId="547" xr:uid="{00000000-0005-0000-0000-0000C5000000}"/>
    <cellStyle name="Финансовый 17 2" xfId="1250" xr:uid="{00000000-0005-0000-0000-0000C6000000}"/>
    <cellStyle name="Финансовый 18" xfId="275" xr:uid="{00000000-0005-0000-0000-0000C7000000}"/>
    <cellStyle name="Финансовый 19" xfId="596" xr:uid="{00000000-0005-0000-0000-0000C8000000}"/>
    <cellStyle name="Финансовый 19 2" xfId="870" xr:uid="{00000000-0005-0000-0000-0000C9000000}"/>
    <cellStyle name="Финансовый 2" xfId="2" xr:uid="{00000000-0005-0000-0000-0000CA000000}"/>
    <cellStyle name="Финансовый 2 10" xfId="62" xr:uid="{00000000-0005-0000-0000-0000CB000000}"/>
    <cellStyle name="Финансовый 2 10 2" xfId="200" xr:uid="{00000000-0005-0000-0000-0000CC000000}"/>
    <cellStyle name="Финансовый 2 10 2 2" xfId="472" xr:uid="{00000000-0005-0000-0000-0000CD000000}"/>
    <cellStyle name="Финансовый 2 10 2 2 2" xfId="1439" xr:uid="{00000000-0005-0000-0000-0000CE000000}"/>
    <cellStyle name="Финансовый 2 10 2 3" xfId="1183" xr:uid="{00000000-0005-0000-0000-0000CF000000}"/>
    <cellStyle name="Финансовый 2 10 2 4" xfId="1704" xr:uid="{00000000-0005-0000-0000-0000D0000000}"/>
    <cellStyle name="Финансовый 2 10 3" xfId="336" xr:uid="{00000000-0005-0000-0000-0000D1000000}"/>
    <cellStyle name="Финансовый 2 10 3 2" xfId="1311" xr:uid="{00000000-0005-0000-0000-0000D2000000}"/>
    <cellStyle name="Финансовый 2 10 4" xfId="623" xr:uid="{00000000-0005-0000-0000-0000D3000000}"/>
    <cellStyle name="Финансовый 2 10 4 2" xfId="1047" xr:uid="{00000000-0005-0000-0000-0000D4000000}"/>
    <cellStyle name="Финансовый 2 10 5" xfId="931" xr:uid="{00000000-0005-0000-0000-0000D5000000}"/>
    <cellStyle name="Финансовый 2 10 6" xfId="1567" xr:uid="{00000000-0005-0000-0000-0000D6000000}"/>
    <cellStyle name="Финансовый 2 10 7" xfId="794" xr:uid="{00000000-0005-0000-0000-0000D7000000}"/>
    <cellStyle name="Финансовый 2 11" xfId="50" xr:uid="{00000000-0005-0000-0000-0000D8000000}"/>
    <cellStyle name="Финансовый 2 11 2" xfId="188" xr:uid="{00000000-0005-0000-0000-0000D9000000}"/>
    <cellStyle name="Финансовый 2 11 2 2" xfId="460" xr:uid="{00000000-0005-0000-0000-0000DA000000}"/>
    <cellStyle name="Финансовый 2 11 2 2 2" xfId="1427" xr:uid="{00000000-0005-0000-0000-0000DB000000}"/>
    <cellStyle name="Финансовый 2 11 2 3" xfId="1171" xr:uid="{00000000-0005-0000-0000-0000DC000000}"/>
    <cellStyle name="Финансовый 2 11 2 4" xfId="1692" xr:uid="{00000000-0005-0000-0000-0000DD000000}"/>
    <cellStyle name="Финансовый 2 11 3" xfId="324" xr:uid="{00000000-0005-0000-0000-0000DE000000}"/>
    <cellStyle name="Финансовый 2 11 3 2" xfId="1299" xr:uid="{00000000-0005-0000-0000-0000DF000000}"/>
    <cellStyle name="Финансовый 2 11 4" xfId="609" xr:uid="{00000000-0005-0000-0000-0000E0000000}"/>
    <cellStyle name="Финансовый 2 11 4 2" xfId="1035" xr:uid="{00000000-0005-0000-0000-0000E1000000}"/>
    <cellStyle name="Финансовый 2 11 5" xfId="919" xr:uid="{00000000-0005-0000-0000-0000E2000000}"/>
    <cellStyle name="Финансовый 2 11 6" xfId="1555" xr:uid="{00000000-0005-0000-0000-0000E3000000}"/>
    <cellStyle name="Финансовый 2 11 7" xfId="782" xr:uid="{00000000-0005-0000-0000-0000E4000000}"/>
    <cellStyle name="Финансовый 2 12" xfId="128" xr:uid="{00000000-0005-0000-0000-0000E5000000}"/>
    <cellStyle name="Финансовый 2 12 2" xfId="264" xr:uid="{00000000-0005-0000-0000-0000E6000000}"/>
    <cellStyle name="Финансовый 2 12 2 2" xfId="536" xr:uid="{00000000-0005-0000-0000-0000E7000000}"/>
    <cellStyle name="Финансовый 2 12 2 2 2" xfId="1495" xr:uid="{00000000-0005-0000-0000-0000E8000000}"/>
    <cellStyle name="Финансовый 2 12 2 3" xfId="1239" xr:uid="{00000000-0005-0000-0000-0000E9000000}"/>
    <cellStyle name="Финансовый 2 12 2 4" xfId="1768" xr:uid="{00000000-0005-0000-0000-0000EA000000}"/>
    <cellStyle name="Финансовый 2 12 3" xfId="400" xr:uid="{00000000-0005-0000-0000-0000EB000000}"/>
    <cellStyle name="Финансовый 2 12 3 2" xfId="1367" xr:uid="{00000000-0005-0000-0000-0000EC000000}"/>
    <cellStyle name="Финансовый 2 12 4" xfId="625" xr:uid="{00000000-0005-0000-0000-0000ED000000}"/>
    <cellStyle name="Финансовый 2 12 4 2" xfId="1111" xr:uid="{00000000-0005-0000-0000-0000EE000000}"/>
    <cellStyle name="Финансовый 2 12 5" xfId="987" xr:uid="{00000000-0005-0000-0000-0000EF000000}"/>
    <cellStyle name="Финансовый 2 12 6" xfId="1632" xr:uid="{00000000-0005-0000-0000-0000F0000000}"/>
    <cellStyle name="Финансовый 2 12 7" xfId="859" xr:uid="{00000000-0005-0000-0000-0000F1000000}"/>
    <cellStyle name="Финансовый 2 13" xfId="26" xr:uid="{00000000-0005-0000-0000-0000F2000000}"/>
    <cellStyle name="Финансовый 2 13 2" xfId="164" xr:uid="{00000000-0005-0000-0000-0000F3000000}"/>
    <cellStyle name="Финансовый 2 13 2 2" xfId="436" xr:uid="{00000000-0005-0000-0000-0000F4000000}"/>
    <cellStyle name="Финансовый 2 13 2 2 2" xfId="1403" xr:uid="{00000000-0005-0000-0000-0000F5000000}"/>
    <cellStyle name="Финансовый 2 13 2 3" xfId="1147" xr:uid="{00000000-0005-0000-0000-0000F6000000}"/>
    <cellStyle name="Финансовый 2 13 2 4" xfId="1668" xr:uid="{00000000-0005-0000-0000-0000F7000000}"/>
    <cellStyle name="Финансовый 2 13 3" xfId="300" xr:uid="{00000000-0005-0000-0000-0000F8000000}"/>
    <cellStyle name="Финансовый 2 13 3 2" xfId="1275" xr:uid="{00000000-0005-0000-0000-0000F9000000}"/>
    <cellStyle name="Финансовый 2 13 4" xfId="626" xr:uid="{00000000-0005-0000-0000-0000FA000000}"/>
    <cellStyle name="Финансовый 2 13 4 2" xfId="1011" xr:uid="{00000000-0005-0000-0000-0000FB000000}"/>
    <cellStyle name="Финансовый 2 13 5" xfId="895" xr:uid="{00000000-0005-0000-0000-0000FC000000}"/>
    <cellStyle name="Финансовый 2 13 6" xfId="1531" xr:uid="{00000000-0005-0000-0000-0000FD000000}"/>
    <cellStyle name="Финансовый 2 13 7" xfId="758" xr:uid="{00000000-0005-0000-0000-0000FE000000}"/>
    <cellStyle name="Финансовый 2 14" xfId="14" xr:uid="{00000000-0005-0000-0000-0000FF000000}"/>
    <cellStyle name="Финансовый 2 14 2" xfId="152" xr:uid="{00000000-0005-0000-0000-000000010000}"/>
    <cellStyle name="Финансовый 2 14 2 2" xfId="424" xr:uid="{00000000-0005-0000-0000-000001010000}"/>
    <cellStyle name="Финансовый 2 14 2 2 2" xfId="1391" xr:uid="{00000000-0005-0000-0000-000002010000}"/>
    <cellStyle name="Финансовый 2 14 2 3" xfId="1135" xr:uid="{00000000-0005-0000-0000-000003010000}"/>
    <cellStyle name="Финансовый 2 14 2 4" xfId="1656" xr:uid="{00000000-0005-0000-0000-000004010000}"/>
    <cellStyle name="Финансовый 2 14 3" xfId="288" xr:uid="{00000000-0005-0000-0000-000005010000}"/>
    <cellStyle name="Финансовый 2 14 3 2" xfId="1263" xr:uid="{00000000-0005-0000-0000-000006010000}"/>
    <cellStyle name="Финансовый 2 14 4" xfId="627" xr:uid="{00000000-0005-0000-0000-000007010000}"/>
    <cellStyle name="Финансовый 2 14 4 2" xfId="999" xr:uid="{00000000-0005-0000-0000-000008010000}"/>
    <cellStyle name="Финансовый 2 14 5" xfId="883" xr:uid="{00000000-0005-0000-0000-000009010000}"/>
    <cellStyle name="Финансовый 2 14 6" xfId="1519" xr:uid="{00000000-0005-0000-0000-00000A010000}"/>
    <cellStyle name="Финансовый 2 14 7" xfId="746" xr:uid="{00000000-0005-0000-0000-00000B010000}"/>
    <cellStyle name="Финансовый 2 15" xfId="140" xr:uid="{00000000-0005-0000-0000-00000C010000}"/>
    <cellStyle name="Финансовый 2 15 2" xfId="412" xr:uid="{00000000-0005-0000-0000-00000D010000}"/>
    <cellStyle name="Финансовый 2 15 2 2" xfId="1379" xr:uid="{00000000-0005-0000-0000-00000E010000}"/>
    <cellStyle name="Финансовый 2 15 3" xfId="1123" xr:uid="{00000000-0005-0000-0000-00000F010000}"/>
    <cellStyle name="Финансовый 2 15 4" xfId="1644" xr:uid="{00000000-0005-0000-0000-000010010000}"/>
    <cellStyle name="Финансовый 2 16" xfId="548" xr:uid="{00000000-0005-0000-0000-000011010000}"/>
    <cellStyle name="Финансовый 2 16 2" xfId="1251" xr:uid="{00000000-0005-0000-0000-000012010000}"/>
    <cellStyle name="Финансовый 2 17" xfId="276" xr:uid="{00000000-0005-0000-0000-000013010000}"/>
    <cellStyle name="Финансовый 2 18" xfId="620" xr:uid="{00000000-0005-0000-0000-000014010000}"/>
    <cellStyle name="Финансовый 2 18 2" xfId="871" xr:uid="{00000000-0005-0000-0000-000015010000}"/>
    <cellStyle name="Финансовый 2 19" xfId="1507" xr:uid="{00000000-0005-0000-0000-000016010000}"/>
    <cellStyle name="Финансовый 2 2" xfId="4" xr:uid="{00000000-0005-0000-0000-000017010000}"/>
    <cellStyle name="Финансовый 2 2 10" xfId="28" xr:uid="{00000000-0005-0000-0000-000018010000}"/>
    <cellStyle name="Финансовый 2 2 10 2" xfId="166" xr:uid="{00000000-0005-0000-0000-000019010000}"/>
    <cellStyle name="Финансовый 2 2 10 2 2" xfId="438" xr:uid="{00000000-0005-0000-0000-00001A010000}"/>
    <cellStyle name="Финансовый 2 2 10 2 2 2" xfId="1405" xr:uid="{00000000-0005-0000-0000-00001B010000}"/>
    <cellStyle name="Финансовый 2 2 10 2 3" xfId="1149" xr:uid="{00000000-0005-0000-0000-00001C010000}"/>
    <cellStyle name="Финансовый 2 2 10 2 4" xfId="1670" xr:uid="{00000000-0005-0000-0000-00001D010000}"/>
    <cellStyle name="Финансовый 2 2 10 3" xfId="302" xr:uid="{00000000-0005-0000-0000-00001E010000}"/>
    <cellStyle name="Финансовый 2 2 10 3 2" xfId="1277" xr:uid="{00000000-0005-0000-0000-00001F010000}"/>
    <cellStyle name="Финансовый 2 2 10 4" xfId="630" xr:uid="{00000000-0005-0000-0000-000020010000}"/>
    <cellStyle name="Финансовый 2 2 10 4 2" xfId="1013" xr:uid="{00000000-0005-0000-0000-000021010000}"/>
    <cellStyle name="Финансовый 2 2 10 5" xfId="897" xr:uid="{00000000-0005-0000-0000-000022010000}"/>
    <cellStyle name="Финансовый 2 2 10 6" xfId="1533" xr:uid="{00000000-0005-0000-0000-000023010000}"/>
    <cellStyle name="Финансовый 2 2 10 7" xfId="760" xr:uid="{00000000-0005-0000-0000-000024010000}"/>
    <cellStyle name="Финансовый 2 2 11" xfId="16" xr:uid="{00000000-0005-0000-0000-000025010000}"/>
    <cellStyle name="Финансовый 2 2 11 2" xfId="154" xr:uid="{00000000-0005-0000-0000-000026010000}"/>
    <cellStyle name="Финансовый 2 2 11 2 2" xfId="426" xr:uid="{00000000-0005-0000-0000-000027010000}"/>
    <cellStyle name="Финансовый 2 2 11 2 2 2" xfId="1393" xr:uid="{00000000-0005-0000-0000-000028010000}"/>
    <cellStyle name="Финансовый 2 2 11 2 3" xfId="1137" xr:uid="{00000000-0005-0000-0000-000029010000}"/>
    <cellStyle name="Финансовый 2 2 11 2 4" xfId="1658" xr:uid="{00000000-0005-0000-0000-00002A010000}"/>
    <cellStyle name="Финансовый 2 2 11 3" xfId="290" xr:uid="{00000000-0005-0000-0000-00002B010000}"/>
    <cellStyle name="Финансовый 2 2 11 3 2" xfId="1265" xr:uid="{00000000-0005-0000-0000-00002C010000}"/>
    <cellStyle name="Финансовый 2 2 11 4" xfId="599" xr:uid="{00000000-0005-0000-0000-00002D010000}"/>
    <cellStyle name="Финансовый 2 2 11 4 2" xfId="1001" xr:uid="{00000000-0005-0000-0000-00002E010000}"/>
    <cellStyle name="Финансовый 2 2 11 5" xfId="885" xr:uid="{00000000-0005-0000-0000-00002F010000}"/>
    <cellStyle name="Финансовый 2 2 11 6" xfId="1521" xr:uid="{00000000-0005-0000-0000-000030010000}"/>
    <cellStyle name="Финансовый 2 2 11 7" xfId="748" xr:uid="{00000000-0005-0000-0000-000031010000}"/>
    <cellStyle name="Финансовый 2 2 12" xfId="142" xr:uid="{00000000-0005-0000-0000-000032010000}"/>
    <cellStyle name="Финансовый 2 2 12 2" xfId="414" xr:uid="{00000000-0005-0000-0000-000033010000}"/>
    <cellStyle name="Финансовый 2 2 12 2 2" xfId="1381" xr:uid="{00000000-0005-0000-0000-000034010000}"/>
    <cellStyle name="Финансовый 2 2 12 3" xfId="1125" xr:uid="{00000000-0005-0000-0000-000035010000}"/>
    <cellStyle name="Финансовый 2 2 12 4" xfId="1646" xr:uid="{00000000-0005-0000-0000-000036010000}"/>
    <cellStyle name="Финансовый 2 2 13" xfId="550" xr:uid="{00000000-0005-0000-0000-000037010000}"/>
    <cellStyle name="Финансовый 2 2 13 2" xfId="1253" xr:uid="{00000000-0005-0000-0000-000038010000}"/>
    <cellStyle name="Финансовый 2 2 14" xfId="278" xr:uid="{00000000-0005-0000-0000-000039010000}"/>
    <cellStyle name="Финансовый 2 2 15" xfId="629" xr:uid="{00000000-0005-0000-0000-00003A010000}"/>
    <cellStyle name="Финансовый 2 2 15 2" xfId="873" xr:uid="{00000000-0005-0000-0000-00003B010000}"/>
    <cellStyle name="Финансовый 2 2 16" xfId="1509" xr:uid="{00000000-0005-0000-0000-00003C010000}"/>
    <cellStyle name="Финансовый 2 2 17" xfId="736" xr:uid="{00000000-0005-0000-0000-00003D010000}"/>
    <cellStyle name="Финансовый 2 2 2" xfId="10" xr:uid="{00000000-0005-0000-0000-00003E010000}"/>
    <cellStyle name="Финансовый 2 2 2 10" xfId="556" xr:uid="{00000000-0005-0000-0000-00003F010000}"/>
    <cellStyle name="Финансовый 2 2 2 10 2" xfId="1259" xr:uid="{00000000-0005-0000-0000-000040010000}"/>
    <cellStyle name="Финансовый 2 2 2 11" xfId="284" xr:uid="{00000000-0005-0000-0000-000041010000}"/>
    <cellStyle name="Финансовый 2 2 2 12" xfId="632" xr:uid="{00000000-0005-0000-0000-000042010000}"/>
    <cellStyle name="Финансовый 2 2 2 12 2" xfId="879" xr:uid="{00000000-0005-0000-0000-000043010000}"/>
    <cellStyle name="Финансовый 2 2 2 13" xfId="1515" xr:uid="{00000000-0005-0000-0000-000044010000}"/>
    <cellStyle name="Финансовый 2 2 2 14" xfId="742" xr:uid="{00000000-0005-0000-0000-000045010000}"/>
    <cellStyle name="Финансовый 2 2 2 2" xfId="46" xr:uid="{00000000-0005-0000-0000-000046010000}"/>
    <cellStyle name="Финансовый 2 2 2 2 2" xfId="104" xr:uid="{00000000-0005-0000-0000-000047010000}"/>
    <cellStyle name="Финансовый 2 2 2 2 2 2" xfId="240" xr:uid="{00000000-0005-0000-0000-000048010000}"/>
    <cellStyle name="Финансовый 2 2 2 2 2 2 2" xfId="512" xr:uid="{00000000-0005-0000-0000-000049010000}"/>
    <cellStyle name="Финансовый 2 2 2 2 2 2 2 2" xfId="1471" xr:uid="{00000000-0005-0000-0000-00004A010000}"/>
    <cellStyle name="Финансовый 2 2 2 2 2 2 3" xfId="1215" xr:uid="{00000000-0005-0000-0000-00004B010000}"/>
    <cellStyle name="Финансовый 2 2 2 2 2 2 4" xfId="1744" xr:uid="{00000000-0005-0000-0000-00004C010000}"/>
    <cellStyle name="Финансовый 2 2 2 2 2 3" xfId="376" xr:uid="{00000000-0005-0000-0000-00004D010000}"/>
    <cellStyle name="Финансовый 2 2 2 2 2 3 2" xfId="1343" xr:uid="{00000000-0005-0000-0000-00004E010000}"/>
    <cellStyle name="Финансовый 2 2 2 2 2 4" xfId="635" xr:uid="{00000000-0005-0000-0000-00004F010000}"/>
    <cellStyle name="Финансовый 2 2 2 2 2 4 2" xfId="1087" xr:uid="{00000000-0005-0000-0000-000050010000}"/>
    <cellStyle name="Финансовый 2 2 2 2 2 5" xfId="963" xr:uid="{00000000-0005-0000-0000-000051010000}"/>
    <cellStyle name="Финансовый 2 2 2 2 2 6" xfId="1608" xr:uid="{00000000-0005-0000-0000-000052010000}"/>
    <cellStyle name="Финансовый 2 2 2 2 2 7" xfId="835" xr:uid="{00000000-0005-0000-0000-000053010000}"/>
    <cellStyle name="Финансовый 2 2 2 2 3" xfId="184" xr:uid="{00000000-0005-0000-0000-000054010000}"/>
    <cellStyle name="Финансовый 2 2 2 2 3 2" xfId="456" xr:uid="{00000000-0005-0000-0000-000055010000}"/>
    <cellStyle name="Финансовый 2 2 2 2 3 2 2" xfId="1423" xr:uid="{00000000-0005-0000-0000-000056010000}"/>
    <cellStyle name="Финансовый 2 2 2 2 3 3" xfId="1167" xr:uid="{00000000-0005-0000-0000-000057010000}"/>
    <cellStyle name="Финансовый 2 2 2 2 3 4" xfId="1688" xr:uid="{00000000-0005-0000-0000-000058010000}"/>
    <cellStyle name="Финансовый 2 2 2 2 4" xfId="320" xr:uid="{00000000-0005-0000-0000-000059010000}"/>
    <cellStyle name="Финансовый 2 2 2 2 4 2" xfId="1295" xr:uid="{00000000-0005-0000-0000-00005A010000}"/>
    <cellStyle name="Финансовый 2 2 2 2 5" xfId="633" xr:uid="{00000000-0005-0000-0000-00005B010000}"/>
    <cellStyle name="Финансовый 2 2 2 2 5 2" xfId="1031" xr:uid="{00000000-0005-0000-0000-00005C010000}"/>
    <cellStyle name="Финансовый 2 2 2 2 6" xfId="915" xr:uid="{00000000-0005-0000-0000-00005D010000}"/>
    <cellStyle name="Финансовый 2 2 2 2 7" xfId="1551" xr:uid="{00000000-0005-0000-0000-00005E010000}"/>
    <cellStyle name="Финансовый 2 2 2 2 8" xfId="778" xr:uid="{00000000-0005-0000-0000-00005F010000}"/>
    <cellStyle name="Финансовый 2 2 2 3" xfId="116" xr:uid="{00000000-0005-0000-0000-000060010000}"/>
    <cellStyle name="Финансовый 2 2 2 3 2" xfId="252" xr:uid="{00000000-0005-0000-0000-000061010000}"/>
    <cellStyle name="Финансовый 2 2 2 3 2 2" xfId="524" xr:uid="{00000000-0005-0000-0000-000062010000}"/>
    <cellStyle name="Финансовый 2 2 2 3 2 2 2" xfId="1483" xr:uid="{00000000-0005-0000-0000-000063010000}"/>
    <cellStyle name="Финансовый 2 2 2 3 2 3" xfId="1227" xr:uid="{00000000-0005-0000-0000-000064010000}"/>
    <cellStyle name="Финансовый 2 2 2 3 2 4" xfId="1756" xr:uid="{00000000-0005-0000-0000-000065010000}"/>
    <cellStyle name="Финансовый 2 2 2 3 3" xfId="388" xr:uid="{00000000-0005-0000-0000-000066010000}"/>
    <cellStyle name="Финансовый 2 2 2 3 3 2" xfId="1355" xr:uid="{00000000-0005-0000-0000-000067010000}"/>
    <cellStyle name="Финансовый 2 2 2 3 4" xfId="636" xr:uid="{00000000-0005-0000-0000-000068010000}"/>
    <cellStyle name="Финансовый 2 2 2 3 4 2" xfId="1099" xr:uid="{00000000-0005-0000-0000-000069010000}"/>
    <cellStyle name="Финансовый 2 2 2 3 5" xfId="975" xr:uid="{00000000-0005-0000-0000-00006A010000}"/>
    <cellStyle name="Финансовый 2 2 2 3 6" xfId="1620" xr:uid="{00000000-0005-0000-0000-00006B010000}"/>
    <cellStyle name="Финансовый 2 2 2 3 7" xfId="847" xr:uid="{00000000-0005-0000-0000-00006C010000}"/>
    <cellStyle name="Финансовый 2 2 2 4" xfId="80" xr:uid="{00000000-0005-0000-0000-00006D010000}"/>
    <cellStyle name="Финансовый 2 2 2 4 2" xfId="216" xr:uid="{00000000-0005-0000-0000-00006E010000}"/>
    <cellStyle name="Финансовый 2 2 2 4 2 2" xfId="488" xr:uid="{00000000-0005-0000-0000-00006F010000}"/>
    <cellStyle name="Финансовый 2 2 2 4 2 2 2" xfId="1447" xr:uid="{00000000-0005-0000-0000-000070010000}"/>
    <cellStyle name="Финансовый 2 2 2 4 2 3" xfId="1191" xr:uid="{00000000-0005-0000-0000-000071010000}"/>
    <cellStyle name="Финансовый 2 2 2 4 2 4" xfId="1720" xr:uid="{00000000-0005-0000-0000-000072010000}"/>
    <cellStyle name="Финансовый 2 2 2 4 3" xfId="352" xr:uid="{00000000-0005-0000-0000-000073010000}"/>
    <cellStyle name="Финансовый 2 2 2 4 3 2" xfId="1319" xr:uid="{00000000-0005-0000-0000-000074010000}"/>
    <cellStyle name="Финансовый 2 2 2 4 4" xfId="637" xr:uid="{00000000-0005-0000-0000-000075010000}"/>
    <cellStyle name="Финансовый 2 2 2 4 4 2" xfId="1063" xr:uid="{00000000-0005-0000-0000-000076010000}"/>
    <cellStyle name="Финансовый 2 2 2 4 5" xfId="939" xr:uid="{00000000-0005-0000-0000-000077010000}"/>
    <cellStyle name="Финансовый 2 2 2 4 6" xfId="1584" xr:uid="{00000000-0005-0000-0000-000078010000}"/>
    <cellStyle name="Финансовый 2 2 2 4 7" xfId="811" xr:uid="{00000000-0005-0000-0000-000079010000}"/>
    <cellStyle name="Финансовый 2 2 2 5" xfId="58" xr:uid="{00000000-0005-0000-0000-00007A010000}"/>
    <cellStyle name="Финансовый 2 2 2 5 2" xfId="196" xr:uid="{00000000-0005-0000-0000-00007B010000}"/>
    <cellStyle name="Финансовый 2 2 2 5 2 2" xfId="468" xr:uid="{00000000-0005-0000-0000-00007C010000}"/>
    <cellStyle name="Финансовый 2 2 2 5 2 2 2" xfId="1435" xr:uid="{00000000-0005-0000-0000-00007D010000}"/>
    <cellStyle name="Финансовый 2 2 2 5 2 3" xfId="1179" xr:uid="{00000000-0005-0000-0000-00007E010000}"/>
    <cellStyle name="Финансовый 2 2 2 5 2 4" xfId="1700" xr:uid="{00000000-0005-0000-0000-00007F010000}"/>
    <cellStyle name="Финансовый 2 2 2 5 3" xfId="332" xr:uid="{00000000-0005-0000-0000-000080010000}"/>
    <cellStyle name="Финансовый 2 2 2 5 3 2" xfId="1307" xr:uid="{00000000-0005-0000-0000-000081010000}"/>
    <cellStyle name="Финансовый 2 2 2 5 4" xfId="638" xr:uid="{00000000-0005-0000-0000-000082010000}"/>
    <cellStyle name="Финансовый 2 2 2 5 4 2" xfId="1043" xr:uid="{00000000-0005-0000-0000-000083010000}"/>
    <cellStyle name="Финансовый 2 2 2 5 5" xfId="927" xr:uid="{00000000-0005-0000-0000-000084010000}"/>
    <cellStyle name="Финансовый 2 2 2 5 6" xfId="1563" xr:uid="{00000000-0005-0000-0000-000085010000}"/>
    <cellStyle name="Финансовый 2 2 2 5 7" xfId="790" xr:uid="{00000000-0005-0000-0000-000086010000}"/>
    <cellStyle name="Финансовый 2 2 2 6" xfId="136" xr:uid="{00000000-0005-0000-0000-000087010000}"/>
    <cellStyle name="Финансовый 2 2 2 6 2" xfId="272" xr:uid="{00000000-0005-0000-0000-000088010000}"/>
    <cellStyle name="Финансовый 2 2 2 6 2 2" xfId="544" xr:uid="{00000000-0005-0000-0000-000089010000}"/>
    <cellStyle name="Финансовый 2 2 2 6 2 2 2" xfId="1503" xr:uid="{00000000-0005-0000-0000-00008A010000}"/>
    <cellStyle name="Финансовый 2 2 2 6 2 3" xfId="1247" xr:uid="{00000000-0005-0000-0000-00008B010000}"/>
    <cellStyle name="Финансовый 2 2 2 6 2 4" xfId="1776" xr:uid="{00000000-0005-0000-0000-00008C010000}"/>
    <cellStyle name="Финансовый 2 2 2 6 3" xfId="408" xr:uid="{00000000-0005-0000-0000-00008D010000}"/>
    <cellStyle name="Финансовый 2 2 2 6 3 2" xfId="1375" xr:uid="{00000000-0005-0000-0000-00008E010000}"/>
    <cellStyle name="Финансовый 2 2 2 6 4" xfId="639" xr:uid="{00000000-0005-0000-0000-00008F010000}"/>
    <cellStyle name="Финансовый 2 2 2 6 4 2" xfId="1119" xr:uid="{00000000-0005-0000-0000-000090010000}"/>
    <cellStyle name="Финансовый 2 2 2 6 5" xfId="995" xr:uid="{00000000-0005-0000-0000-000091010000}"/>
    <cellStyle name="Финансовый 2 2 2 6 6" xfId="1640" xr:uid="{00000000-0005-0000-0000-000092010000}"/>
    <cellStyle name="Финансовый 2 2 2 6 7" xfId="867" xr:uid="{00000000-0005-0000-0000-000093010000}"/>
    <cellStyle name="Финансовый 2 2 2 7" xfId="34" xr:uid="{00000000-0005-0000-0000-000094010000}"/>
    <cellStyle name="Финансовый 2 2 2 7 2" xfId="172" xr:uid="{00000000-0005-0000-0000-000095010000}"/>
    <cellStyle name="Финансовый 2 2 2 7 2 2" xfId="444" xr:uid="{00000000-0005-0000-0000-000096010000}"/>
    <cellStyle name="Финансовый 2 2 2 7 2 2 2" xfId="1411" xr:uid="{00000000-0005-0000-0000-000097010000}"/>
    <cellStyle name="Финансовый 2 2 2 7 2 3" xfId="1155" xr:uid="{00000000-0005-0000-0000-000098010000}"/>
    <cellStyle name="Финансовый 2 2 2 7 2 4" xfId="1676" xr:uid="{00000000-0005-0000-0000-000099010000}"/>
    <cellStyle name="Финансовый 2 2 2 7 3" xfId="308" xr:uid="{00000000-0005-0000-0000-00009A010000}"/>
    <cellStyle name="Финансовый 2 2 2 7 3 2" xfId="1283" xr:uid="{00000000-0005-0000-0000-00009B010000}"/>
    <cellStyle name="Финансовый 2 2 2 7 4" xfId="640" xr:uid="{00000000-0005-0000-0000-00009C010000}"/>
    <cellStyle name="Финансовый 2 2 2 7 4 2" xfId="1019" xr:uid="{00000000-0005-0000-0000-00009D010000}"/>
    <cellStyle name="Финансовый 2 2 2 7 5" xfId="903" xr:uid="{00000000-0005-0000-0000-00009E010000}"/>
    <cellStyle name="Финансовый 2 2 2 7 6" xfId="1539" xr:uid="{00000000-0005-0000-0000-00009F010000}"/>
    <cellStyle name="Финансовый 2 2 2 7 7" xfId="766" xr:uid="{00000000-0005-0000-0000-0000A0010000}"/>
    <cellStyle name="Финансовый 2 2 2 8" xfId="22" xr:uid="{00000000-0005-0000-0000-0000A1010000}"/>
    <cellStyle name="Финансовый 2 2 2 8 2" xfId="160" xr:uid="{00000000-0005-0000-0000-0000A2010000}"/>
    <cellStyle name="Финансовый 2 2 2 8 2 2" xfId="432" xr:uid="{00000000-0005-0000-0000-0000A3010000}"/>
    <cellStyle name="Финансовый 2 2 2 8 2 2 2" xfId="1399" xr:uid="{00000000-0005-0000-0000-0000A4010000}"/>
    <cellStyle name="Финансовый 2 2 2 8 2 3" xfId="1143" xr:uid="{00000000-0005-0000-0000-0000A5010000}"/>
    <cellStyle name="Финансовый 2 2 2 8 2 4" xfId="1664" xr:uid="{00000000-0005-0000-0000-0000A6010000}"/>
    <cellStyle name="Финансовый 2 2 2 8 3" xfId="296" xr:uid="{00000000-0005-0000-0000-0000A7010000}"/>
    <cellStyle name="Финансовый 2 2 2 8 3 2" xfId="1271" xr:uid="{00000000-0005-0000-0000-0000A8010000}"/>
    <cellStyle name="Финансовый 2 2 2 8 4" xfId="641" xr:uid="{00000000-0005-0000-0000-0000A9010000}"/>
    <cellStyle name="Финансовый 2 2 2 8 4 2" xfId="1007" xr:uid="{00000000-0005-0000-0000-0000AA010000}"/>
    <cellStyle name="Финансовый 2 2 2 8 5" xfId="891" xr:uid="{00000000-0005-0000-0000-0000AB010000}"/>
    <cellStyle name="Финансовый 2 2 2 8 6" xfId="1527" xr:uid="{00000000-0005-0000-0000-0000AC010000}"/>
    <cellStyle name="Финансовый 2 2 2 8 7" xfId="754" xr:uid="{00000000-0005-0000-0000-0000AD010000}"/>
    <cellStyle name="Финансовый 2 2 2 9" xfId="148" xr:uid="{00000000-0005-0000-0000-0000AE010000}"/>
    <cellStyle name="Финансовый 2 2 2 9 2" xfId="420" xr:uid="{00000000-0005-0000-0000-0000AF010000}"/>
    <cellStyle name="Финансовый 2 2 2 9 2 2" xfId="1387" xr:uid="{00000000-0005-0000-0000-0000B0010000}"/>
    <cellStyle name="Финансовый 2 2 2 9 3" xfId="1131" xr:uid="{00000000-0005-0000-0000-0000B1010000}"/>
    <cellStyle name="Финансовый 2 2 2 9 4" xfId="1652" xr:uid="{00000000-0005-0000-0000-0000B2010000}"/>
    <cellStyle name="Финансовый 2 2 3" xfId="40" xr:uid="{00000000-0005-0000-0000-0000B3010000}"/>
    <cellStyle name="Финансовый 2 2 3 2" xfId="122" xr:uid="{00000000-0005-0000-0000-0000B4010000}"/>
    <cellStyle name="Финансовый 2 2 3 2 2" xfId="258" xr:uid="{00000000-0005-0000-0000-0000B5010000}"/>
    <cellStyle name="Финансовый 2 2 3 2 2 2" xfId="530" xr:uid="{00000000-0005-0000-0000-0000B6010000}"/>
    <cellStyle name="Финансовый 2 2 3 2 2 2 2" xfId="1489" xr:uid="{00000000-0005-0000-0000-0000B7010000}"/>
    <cellStyle name="Финансовый 2 2 3 2 2 3" xfId="1233" xr:uid="{00000000-0005-0000-0000-0000B8010000}"/>
    <cellStyle name="Финансовый 2 2 3 2 2 4" xfId="1762" xr:uid="{00000000-0005-0000-0000-0000B9010000}"/>
    <cellStyle name="Финансовый 2 2 3 2 3" xfId="394" xr:uid="{00000000-0005-0000-0000-0000BA010000}"/>
    <cellStyle name="Финансовый 2 2 3 2 3 2" xfId="1361" xr:uid="{00000000-0005-0000-0000-0000BB010000}"/>
    <cellStyle name="Финансовый 2 2 3 2 4" xfId="644" xr:uid="{00000000-0005-0000-0000-0000BC010000}"/>
    <cellStyle name="Финансовый 2 2 3 2 4 2" xfId="1105" xr:uid="{00000000-0005-0000-0000-0000BD010000}"/>
    <cellStyle name="Финансовый 2 2 3 2 5" xfId="981" xr:uid="{00000000-0005-0000-0000-0000BE010000}"/>
    <cellStyle name="Финансовый 2 2 3 2 6" xfId="1626" xr:uid="{00000000-0005-0000-0000-0000BF010000}"/>
    <cellStyle name="Финансовый 2 2 3 2 7" xfId="853" xr:uid="{00000000-0005-0000-0000-0000C0010000}"/>
    <cellStyle name="Финансовый 2 2 3 3" xfId="86" xr:uid="{00000000-0005-0000-0000-0000C1010000}"/>
    <cellStyle name="Финансовый 2 2 3 3 2" xfId="222" xr:uid="{00000000-0005-0000-0000-0000C2010000}"/>
    <cellStyle name="Финансовый 2 2 3 3 2 2" xfId="494" xr:uid="{00000000-0005-0000-0000-0000C3010000}"/>
    <cellStyle name="Финансовый 2 2 3 3 2 2 2" xfId="1453" xr:uid="{00000000-0005-0000-0000-0000C4010000}"/>
    <cellStyle name="Финансовый 2 2 3 3 2 3" xfId="1197" xr:uid="{00000000-0005-0000-0000-0000C5010000}"/>
    <cellStyle name="Финансовый 2 2 3 3 2 4" xfId="1726" xr:uid="{00000000-0005-0000-0000-0000C6010000}"/>
    <cellStyle name="Финансовый 2 2 3 3 3" xfId="358" xr:uid="{00000000-0005-0000-0000-0000C7010000}"/>
    <cellStyle name="Финансовый 2 2 3 3 3 2" xfId="1325" xr:uid="{00000000-0005-0000-0000-0000C8010000}"/>
    <cellStyle name="Финансовый 2 2 3 3 4" xfId="645" xr:uid="{00000000-0005-0000-0000-0000C9010000}"/>
    <cellStyle name="Финансовый 2 2 3 3 4 2" xfId="1069" xr:uid="{00000000-0005-0000-0000-0000CA010000}"/>
    <cellStyle name="Финансовый 2 2 3 3 5" xfId="945" xr:uid="{00000000-0005-0000-0000-0000CB010000}"/>
    <cellStyle name="Финансовый 2 2 3 3 6" xfId="1590" xr:uid="{00000000-0005-0000-0000-0000CC010000}"/>
    <cellStyle name="Финансовый 2 2 3 3 7" xfId="817" xr:uid="{00000000-0005-0000-0000-0000CD010000}"/>
    <cellStyle name="Финансовый 2 2 3 4" xfId="178" xr:uid="{00000000-0005-0000-0000-0000CE010000}"/>
    <cellStyle name="Финансовый 2 2 3 4 2" xfId="450" xr:uid="{00000000-0005-0000-0000-0000CF010000}"/>
    <cellStyle name="Финансовый 2 2 3 4 2 2" xfId="1417" xr:uid="{00000000-0005-0000-0000-0000D0010000}"/>
    <cellStyle name="Финансовый 2 2 3 4 3" xfId="1161" xr:uid="{00000000-0005-0000-0000-0000D1010000}"/>
    <cellStyle name="Финансовый 2 2 3 4 4" xfId="1682" xr:uid="{00000000-0005-0000-0000-0000D2010000}"/>
    <cellStyle name="Финансовый 2 2 3 5" xfId="314" xr:uid="{00000000-0005-0000-0000-0000D3010000}"/>
    <cellStyle name="Финансовый 2 2 3 5 2" xfId="1289" xr:uid="{00000000-0005-0000-0000-0000D4010000}"/>
    <cellStyle name="Финансовый 2 2 3 6" xfId="643" xr:uid="{00000000-0005-0000-0000-0000D5010000}"/>
    <cellStyle name="Финансовый 2 2 3 6 2" xfId="1025" xr:uid="{00000000-0005-0000-0000-0000D6010000}"/>
    <cellStyle name="Финансовый 2 2 3 7" xfId="909" xr:uid="{00000000-0005-0000-0000-0000D7010000}"/>
    <cellStyle name="Финансовый 2 2 3 8" xfId="1545" xr:uid="{00000000-0005-0000-0000-0000D8010000}"/>
    <cellStyle name="Финансовый 2 2 3 9" xfId="772" xr:uid="{00000000-0005-0000-0000-0000D9010000}"/>
    <cellStyle name="Финансовый 2 2 4" xfId="92" xr:uid="{00000000-0005-0000-0000-0000DA010000}"/>
    <cellStyle name="Финансовый 2 2 4 2" xfId="228" xr:uid="{00000000-0005-0000-0000-0000DB010000}"/>
    <cellStyle name="Финансовый 2 2 4 2 2" xfId="500" xr:uid="{00000000-0005-0000-0000-0000DC010000}"/>
    <cellStyle name="Финансовый 2 2 4 2 2 2" xfId="1459" xr:uid="{00000000-0005-0000-0000-0000DD010000}"/>
    <cellStyle name="Финансовый 2 2 4 2 3" xfId="1203" xr:uid="{00000000-0005-0000-0000-0000DE010000}"/>
    <cellStyle name="Финансовый 2 2 4 2 4" xfId="1732" xr:uid="{00000000-0005-0000-0000-0000DF010000}"/>
    <cellStyle name="Финансовый 2 2 4 3" xfId="364" xr:uid="{00000000-0005-0000-0000-0000E0010000}"/>
    <cellStyle name="Финансовый 2 2 4 3 2" xfId="1331" xr:uid="{00000000-0005-0000-0000-0000E1010000}"/>
    <cellStyle name="Финансовый 2 2 4 4" xfId="646" xr:uid="{00000000-0005-0000-0000-0000E2010000}"/>
    <cellStyle name="Финансовый 2 2 4 4 2" xfId="1075" xr:uid="{00000000-0005-0000-0000-0000E3010000}"/>
    <cellStyle name="Финансовый 2 2 4 5" xfId="951" xr:uid="{00000000-0005-0000-0000-0000E4010000}"/>
    <cellStyle name="Финансовый 2 2 4 6" xfId="1596" xr:uid="{00000000-0005-0000-0000-0000E5010000}"/>
    <cellStyle name="Финансовый 2 2 4 7" xfId="823" xr:uid="{00000000-0005-0000-0000-0000E6010000}"/>
    <cellStyle name="Финансовый 2 2 5" xfId="98" xr:uid="{00000000-0005-0000-0000-0000E7010000}"/>
    <cellStyle name="Финансовый 2 2 5 2" xfId="234" xr:uid="{00000000-0005-0000-0000-0000E8010000}"/>
    <cellStyle name="Финансовый 2 2 5 2 2" xfId="506" xr:uid="{00000000-0005-0000-0000-0000E9010000}"/>
    <cellStyle name="Финансовый 2 2 5 2 2 2" xfId="1465" xr:uid="{00000000-0005-0000-0000-0000EA010000}"/>
    <cellStyle name="Финансовый 2 2 5 2 3" xfId="1209" xr:uid="{00000000-0005-0000-0000-0000EB010000}"/>
    <cellStyle name="Финансовый 2 2 5 2 4" xfId="1738" xr:uid="{00000000-0005-0000-0000-0000EC010000}"/>
    <cellStyle name="Финансовый 2 2 5 3" xfId="370" xr:uid="{00000000-0005-0000-0000-0000ED010000}"/>
    <cellStyle name="Финансовый 2 2 5 3 2" xfId="1337" xr:uid="{00000000-0005-0000-0000-0000EE010000}"/>
    <cellStyle name="Финансовый 2 2 5 4" xfId="647" xr:uid="{00000000-0005-0000-0000-0000EF010000}"/>
    <cellStyle name="Финансовый 2 2 5 4 2" xfId="1081" xr:uid="{00000000-0005-0000-0000-0000F0010000}"/>
    <cellStyle name="Финансовый 2 2 5 5" xfId="957" xr:uid="{00000000-0005-0000-0000-0000F1010000}"/>
    <cellStyle name="Финансовый 2 2 5 6" xfId="1602" xr:uid="{00000000-0005-0000-0000-0000F2010000}"/>
    <cellStyle name="Финансовый 2 2 5 7" xfId="829" xr:uid="{00000000-0005-0000-0000-0000F3010000}"/>
    <cellStyle name="Финансовый 2 2 6" xfId="110" xr:uid="{00000000-0005-0000-0000-0000F4010000}"/>
    <cellStyle name="Финансовый 2 2 6 2" xfId="246" xr:uid="{00000000-0005-0000-0000-0000F5010000}"/>
    <cellStyle name="Финансовый 2 2 6 2 2" xfId="518" xr:uid="{00000000-0005-0000-0000-0000F6010000}"/>
    <cellStyle name="Финансовый 2 2 6 2 2 2" xfId="1477" xr:uid="{00000000-0005-0000-0000-0000F7010000}"/>
    <cellStyle name="Финансовый 2 2 6 2 3" xfId="1221" xr:uid="{00000000-0005-0000-0000-0000F8010000}"/>
    <cellStyle name="Финансовый 2 2 6 2 4" xfId="1750" xr:uid="{00000000-0005-0000-0000-0000F9010000}"/>
    <cellStyle name="Финансовый 2 2 6 3" xfId="382" xr:uid="{00000000-0005-0000-0000-0000FA010000}"/>
    <cellStyle name="Финансовый 2 2 6 3 2" xfId="1349" xr:uid="{00000000-0005-0000-0000-0000FB010000}"/>
    <cellStyle name="Финансовый 2 2 6 4" xfId="634" xr:uid="{00000000-0005-0000-0000-0000FC010000}"/>
    <cellStyle name="Финансовый 2 2 6 4 2" xfId="1093" xr:uid="{00000000-0005-0000-0000-0000FD010000}"/>
    <cellStyle name="Финансовый 2 2 6 5" xfId="969" xr:uid="{00000000-0005-0000-0000-0000FE010000}"/>
    <cellStyle name="Финансовый 2 2 6 6" xfId="1614" xr:uid="{00000000-0005-0000-0000-0000FF010000}"/>
    <cellStyle name="Финансовый 2 2 6 7" xfId="841" xr:uid="{00000000-0005-0000-0000-000000020000}"/>
    <cellStyle name="Финансовый 2 2 7" xfId="65" xr:uid="{00000000-0005-0000-0000-000001020000}"/>
    <cellStyle name="Финансовый 2 2 7 2" xfId="201" xr:uid="{00000000-0005-0000-0000-000002020000}"/>
    <cellStyle name="Финансовый 2 2 7 2 2" xfId="473" xr:uid="{00000000-0005-0000-0000-000003020000}"/>
    <cellStyle name="Финансовый 2 2 7 2 2 2" xfId="1440" xr:uid="{00000000-0005-0000-0000-000004020000}"/>
    <cellStyle name="Финансовый 2 2 7 2 3" xfId="1184" xr:uid="{00000000-0005-0000-0000-000005020000}"/>
    <cellStyle name="Финансовый 2 2 7 2 4" xfId="1705" xr:uid="{00000000-0005-0000-0000-000006020000}"/>
    <cellStyle name="Финансовый 2 2 7 3" xfId="337" xr:uid="{00000000-0005-0000-0000-000007020000}"/>
    <cellStyle name="Финансовый 2 2 7 3 2" xfId="1312" xr:uid="{00000000-0005-0000-0000-000008020000}"/>
    <cellStyle name="Финансовый 2 2 7 4" xfId="648" xr:uid="{00000000-0005-0000-0000-000009020000}"/>
    <cellStyle name="Финансовый 2 2 7 4 2" xfId="1048" xr:uid="{00000000-0005-0000-0000-00000A020000}"/>
    <cellStyle name="Финансовый 2 2 7 5" xfId="932" xr:uid="{00000000-0005-0000-0000-00000B020000}"/>
    <cellStyle name="Финансовый 2 2 7 6" xfId="1569" xr:uid="{00000000-0005-0000-0000-00000C020000}"/>
    <cellStyle name="Финансовый 2 2 7 7" xfId="796" xr:uid="{00000000-0005-0000-0000-00000D020000}"/>
    <cellStyle name="Финансовый 2 2 8" xfId="52" xr:uid="{00000000-0005-0000-0000-00000E020000}"/>
    <cellStyle name="Финансовый 2 2 8 2" xfId="190" xr:uid="{00000000-0005-0000-0000-00000F020000}"/>
    <cellStyle name="Финансовый 2 2 8 2 2" xfId="462" xr:uid="{00000000-0005-0000-0000-000010020000}"/>
    <cellStyle name="Финансовый 2 2 8 2 2 2" xfId="1429" xr:uid="{00000000-0005-0000-0000-000011020000}"/>
    <cellStyle name="Финансовый 2 2 8 2 3" xfId="1173" xr:uid="{00000000-0005-0000-0000-000012020000}"/>
    <cellStyle name="Финансовый 2 2 8 2 4" xfId="1694" xr:uid="{00000000-0005-0000-0000-000013020000}"/>
    <cellStyle name="Финансовый 2 2 8 3" xfId="326" xr:uid="{00000000-0005-0000-0000-000014020000}"/>
    <cellStyle name="Финансовый 2 2 8 3 2" xfId="1301" xr:uid="{00000000-0005-0000-0000-000015020000}"/>
    <cellStyle name="Финансовый 2 2 8 4" xfId="649" xr:uid="{00000000-0005-0000-0000-000016020000}"/>
    <cellStyle name="Финансовый 2 2 8 4 2" xfId="1037" xr:uid="{00000000-0005-0000-0000-000017020000}"/>
    <cellStyle name="Финансовый 2 2 8 5" xfId="921" xr:uid="{00000000-0005-0000-0000-000018020000}"/>
    <cellStyle name="Финансовый 2 2 8 6" xfId="1557" xr:uid="{00000000-0005-0000-0000-000019020000}"/>
    <cellStyle name="Финансовый 2 2 8 7" xfId="784" xr:uid="{00000000-0005-0000-0000-00001A020000}"/>
    <cellStyle name="Финансовый 2 2 9" xfId="130" xr:uid="{00000000-0005-0000-0000-00001B020000}"/>
    <cellStyle name="Финансовый 2 2 9 2" xfId="266" xr:uid="{00000000-0005-0000-0000-00001C020000}"/>
    <cellStyle name="Финансовый 2 2 9 2 2" xfId="538" xr:uid="{00000000-0005-0000-0000-00001D020000}"/>
    <cellStyle name="Финансовый 2 2 9 2 2 2" xfId="1497" xr:uid="{00000000-0005-0000-0000-00001E020000}"/>
    <cellStyle name="Финансовый 2 2 9 2 3" xfId="1241" xr:uid="{00000000-0005-0000-0000-00001F020000}"/>
    <cellStyle name="Финансовый 2 2 9 2 4" xfId="1770" xr:uid="{00000000-0005-0000-0000-000020020000}"/>
    <cellStyle name="Финансовый 2 2 9 3" xfId="402" xr:uid="{00000000-0005-0000-0000-000021020000}"/>
    <cellStyle name="Финансовый 2 2 9 3 2" xfId="1369" xr:uid="{00000000-0005-0000-0000-000022020000}"/>
    <cellStyle name="Финансовый 2 2 9 4" xfId="650" xr:uid="{00000000-0005-0000-0000-000023020000}"/>
    <cellStyle name="Финансовый 2 2 9 4 2" xfId="1113" xr:uid="{00000000-0005-0000-0000-000024020000}"/>
    <cellStyle name="Финансовый 2 2 9 5" xfId="989" xr:uid="{00000000-0005-0000-0000-000025020000}"/>
    <cellStyle name="Финансовый 2 2 9 6" xfId="1634" xr:uid="{00000000-0005-0000-0000-000026020000}"/>
    <cellStyle name="Финансовый 2 2 9 7" xfId="861" xr:uid="{00000000-0005-0000-0000-000027020000}"/>
    <cellStyle name="Финансовый 2 20" xfId="734" xr:uid="{00000000-0005-0000-0000-000028020000}"/>
    <cellStyle name="Финансовый 2 3" xfId="6" xr:uid="{00000000-0005-0000-0000-000029020000}"/>
    <cellStyle name="Финансовый 2 3 10" xfId="30" xr:uid="{00000000-0005-0000-0000-00002A020000}"/>
    <cellStyle name="Финансовый 2 3 10 2" xfId="168" xr:uid="{00000000-0005-0000-0000-00002B020000}"/>
    <cellStyle name="Финансовый 2 3 10 2 2" xfId="440" xr:uid="{00000000-0005-0000-0000-00002C020000}"/>
    <cellStyle name="Финансовый 2 3 10 2 2 2" xfId="1407" xr:uid="{00000000-0005-0000-0000-00002D020000}"/>
    <cellStyle name="Финансовый 2 3 10 2 3" xfId="1151" xr:uid="{00000000-0005-0000-0000-00002E020000}"/>
    <cellStyle name="Финансовый 2 3 10 2 4" xfId="1672" xr:uid="{00000000-0005-0000-0000-00002F020000}"/>
    <cellStyle name="Финансовый 2 3 10 3" xfId="304" xr:uid="{00000000-0005-0000-0000-000030020000}"/>
    <cellStyle name="Финансовый 2 3 10 3 2" xfId="1279" xr:uid="{00000000-0005-0000-0000-000031020000}"/>
    <cellStyle name="Финансовый 2 3 10 4" xfId="654" xr:uid="{00000000-0005-0000-0000-000032020000}"/>
    <cellStyle name="Финансовый 2 3 10 4 2" xfId="1015" xr:uid="{00000000-0005-0000-0000-000033020000}"/>
    <cellStyle name="Финансовый 2 3 10 5" xfId="899" xr:uid="{00000000-0005-0000-0000-000034020000}"/>
    <cellStyle name="Финансовый 2 3 10 6" xfId="1535" xr:uid="{00000000-0005-0000-0000-000035020000}"/>
    <cellStyle name="Финансовый 2 3 10 7" xfId="762" xr:uid="{00000000-0005-0000-0000-000036020000}"/>
    <cellStyle name="Финансовый 2 3 11" xfId="18" xr:uid="{00000000-0005-0000-0000-000037020000}"/>
    <cellStyle name="Финансовый 2 3 11 2" xfId="156" xr:uid="{00000000-0005-0000-0000-000038020000}"/>
    <cellStyle name="Финансовый 2 3 11 2 2" xfId="428" xr:uid="{00000000-0005-0000-0000-000039020000}"/>
    <cellStyle name="Финансовый 2 3 11 2 2 2" xfId="1395" xr:uid="{00000000-0005-0000-0000-00003A020000}"/>
    <cellStyle name="Финансовый 2 3 11 2 3" xfId="1139" xr:uid="{00000000-0005-0000-0000-00003B020000}"/>
    <cellStyle name="Финансовый 2 3 11 2 4" xfId="1660" xr:uid="{00000000-0005-0000-0000-00003C020000}"/>
    <cellStyle name="Финансовый 2 3 11 3" xfId="292" xr:uid="{00000000-0005-0000-0000-00003D020000}"/>
    <cellStyle name="Финансовый 2 3 11 3 2" xfId="1267" xr:uid="{00000000-0005-0000-0000-00003E020000}"/>
    <cellStyle name="Финансовый 2 3 11 4" xfId="622" xr:uid="{00000000-0005-0000-0000-00003F020000}"/>
    <cellStyle name="Финансовый 2 3 11 4 2" xfId="1003" xr:uid="{00000000-0005-0000-0000-000040020000}"/>
    <cellStyle name="Финансовый 2 3 11 5" xfId="887" xr:uid="{00000000-0005-0000-0000-000041020000}"/>
    <cellStyle name="Финансовый 2 3 11 6" xfId="1523" xr:uid="{00000000-0005-0000-0000-000042020000}"/>
    <cellStyle name="Финансовый 2 3 11 7" xfId="750" xr:uid="{00000000-0005-0000-0000-000043020000}"/>
    <cellStyle name="Финансовый 2 3 12" xfId="144" xr:uid="{00000000-0005-0000-0000-000044020000}"/>
    <cellStyle name="Финансовый 2 3 12 2" xfId="416" xr:uid="{00000000-0005-0000-0000-000045020000}"/>
    <cellStyle name="Финансовый 2 3 12 2 2" xfId="1383" xr:uid="{00000000-0005-0000-0000-000046020000}"/>
    <cellStyle name="Финансовый 2 3 12 3" xfId="1127" xr:uid="{00000000-0005-0000-0000-000047020000}"/>
    <cellStyle name="Финансовый 2 3 12 4" xfId="1648" xr:uid="{00000000-0005-0000-0000-000048020000}"/>
    <cellStyle name="Финансовый 2 3 13" xfId="552" xr:uid="{00000000-0005-0000-0000-000049020000}"/>
    <cellStyle name="Финансовый 2 3 13 2" xfId="1255" xr:uid="{00000000-0005-0000-0000-00004A020000}"/>
    <cellStyle name="Финансовый 2 3 14" xfId="280" xr:uid="{00000000-0005-0000-0000-00004B020000}"/>
    <cellStyle name="Финансовый 2 3 15" xfId="652" xr:uid="{00000000-0005-0000-0000-00004C020000}"/>
    <cellStyle name="Финансовый 2 3 15 2" xfId="875" xr:uid="{00000000-0005-0000-0000-00004D020000}"/>
    <cellStyle name="Финансовый 2 3 16" xfId="1511" xr:uid="{00000000-0005-0000-0000-00004E020000}"/>
    <cellStyle name="Финансовый 2 3 17" xfId="738" xr:uid="{00000000-0005-0000-0000-00004F020000}"/>
    <cellStyle name="Финансовый 2 3 2" xfId="12" xr:uid="{00000000-0005-0000-0000-000050020000}"/>
    <cellStyle name="Финансовый 2 3 2 10" xfId="558" xr:uid="{00000000-0005-0000-0000-000051020000}"/>
    <cellStyle name="Финансовый 2 3 2 10 2" xfId="1261" xr:uid="{00000000-0005-0000-0000-000052020000}"/>
    <cellStyle name="Финансовый 2 3 2 11" xfId="286" xr:uid="{00000000-0005-0000-0000-000053020000}"/>
    <cellStyle name="Финансовый 2 3 2 12" xfId="655" xr:uid="{00000000-0005-0000-0000-000054020000}"/>
    <cellStyle name="Финансовый 2 3 2 12 2" xfId="881" xr:uid="{00000000-0005-0000-0000-000055020000}"/>
    <cellStyle name="Финансовый 2 3 2 13" xfId="1517" xr:uid="{00000000-0005-0000-0000-000056020000}"/>
    <cellStyle name="Финансовый 2 3 2 14" xfId="744" xr:uid="{00000000-0005-0000-0000-000057020000}"/>
    <cellStyle name="Финансовый 2 3 2 2" xfId="48" xr:uid="{00000000-0005-0000-0000-000058020000}"/>
    <cellStyle name="Финансовый 2 3 2 2 2" xfId="106" xr:uid="{00000000-0005-0000-0000-000059020000}"/>
    <cellStyle name="Финансовый 2 3 2 2 2 2" xfId="242" xr:uid="{00000000-0005-0000-0000-00005A020000}"/>
    <cellStyle name="Финансовый 2 3 2 2 2 2 2" xfId="514" xr:uid="{00000000-0005-0000-0000-00005B020000}"/>
    <cellStyle name="Финансовый 2 3 2 2 2 2 2 2" xfId="1473" xr:uid="{00000000-0005-0000-0000-00005C020000}"/>
    <cellStyle name="Финансовый 2 3 2 2 2 2 3" xfId="1217" xr:uid="{00000000-0005-0000-0000-00005D020000}"/>
    <cellStyle name="Финансовый 2 3 2 2 2 2 4" xfId="1746" xr:uid="{00000000-0005-0000-0000-00005E020000}"/>
    <cellStyle name="Финансовый 2 3 2 2 2 3" xfId="378" xr:uid="{00000000-0005-0000-0000-00005F020000}"/>
    <cellStyle name="Финансовый 2 3 2 2 2 3 2" xfId="1345" xr:uid="{00000000-0005-0000-0000-000060020000}"/>
    <cellStyle name="Финансовый 2 3 2 2 2 4" xfId="657" xr:uid="{00000000-0005-0000-0000-000061020000}"/>
    <cellStyle name="Финансовый 2 3 2 2 2 4 2" xfId="1089" xr:uid="{00000000-0005-0000-0000-000062020000}"/>
    <cellStyle name="Финансовый 2 3 2 2 2 5" xfId="965" xr:uid="{00000000-0005-0000-0000-000063020000}"/>
    <cellStyle name="Финансовый 2 3 2 2 2 6" xfId="1610" xr:uid="{00000000-0005-0000-0000-000064020000}"/>
    <cellStyle name="Финансовый 2 3 2 2 2 7" xfId="837" xr:uid="{00000000-0005-0000-0000-000065020000}"/>
    <cellStyle name="Финансовый 2 3 2 2 3" xfId="186" xr:uid="{00000000-0005-0000-0000-000066020000}"/>
    <cellStyle name="Финансовый 2 3 2 2 3 2" xfId="458" xr:uid="{00000000-0005-0000-0000-000067020000}"/>
    <cellStyle name="Финансовый 2 3 2 2 3 2 2" xfId="1425" xr:uid="{00000000-0005-0000-0000-000068020000}"/>
    <cellStyle name="Финансовый 2 3 2 2 3 3" xfId="1169" xr:uid="{00000000-0005-0000-0000-000069020000}"/>
    <cellStyle name="Финансовый 2 3 2 2 3 4" xfId="1690" xr:uid="{00000000-0005-0000-0000-00006A020000}"/>
    <cellStyle name="Финансовый 2 3 2 2 4" xfId="322" xr:uid="{00000000-0005-0000-0000-00006B020000}"/>
    <cellStyle name="Финансовый 2 3 2 2 4 2" xfId="1297" xr:uid="{00000000-0005-0000-0000-00006C020000}"/>
    <cellStyle name="Финансовый 2 3 2 2 5" xfId="656" xr:uid="{00000000-0005-0000-0000-00006D020000}"/>
    <cellStyle name="Финансовый 2 3 2 2 5 2" xfId="1033" xr:uid="{00000000-0005-0000-0000-00006E020000}"/>
    <cellStyle name="Финансовый 2 3 2 2 6" xfId="917" xr:uid="{00000000-0005-0000-0000-00006F020000}"/>
    <cellStyle name="Финансовый 2 3 2 2 7" xfId="1553" xr:uid="{00000000-0005-0000-0000-000070020000}"/>
    <cellStyle name="Финансовый 2 3 2 2 8" xfId="780" xr:uid="{00000000-0005-0000-0000-000071020000}"/>
    <cellStyle name="Финансовый 2 3 2 3" xfId="118" xr:uid="{00000000-0005-0000-0000-000072020000}"/>
    <cellStyle name="Финансовый 2 3 2 3 2" xfId="254" xr:uid="{00000000-0005-0000-0000-000073020000}"/>
    <cellStyle name="Финансовый 2 3 2 3 2 2" xfId="526" xr:uid="{00000000-0005-0000-0000-000074020000}"/>
    <cellStyle name="Финансовый 2 3 2 3 2 2 2" xfId="1485" xr:uid="{00000000-0005-0000-0000-000075020000}"/>
    <cellStyle name="Финансовый 2 3 2 3 2 3" xfId="1229" xr:uid="{00000000-0005-0000-0000-000076020000}"/>
    <cellStyle name="Финансовый 2 3 2 3 2 4" xfId="1758" xr:uid="{00000000-0005-0000-0000-000077020000}"/>
    <cellStyle name="Финансовый 2 3 2 3 3" xfId="390" xr:uid="{00000000-0005-0000-0000-000078020000}"/>
    <cellStyle name="Финансовый 2 3 2 3 3 2" xfId="1357" xr:uid="{00000000-0005-0000-0000-000079020000}"/>
    <cellStyle name="Финансовый 2 3 2 3 4" xfId="658" xr:uid="{00000000-0005-0000-0000-00007A020000}"/>
    <cellStyle name="Финансовый 2 3 2 3 4 2" xfId="1101" xr:uid="{00000000-0005-0000-0000-00007B020000}"/>
    <cellStyle name="Финансовый 2 3 2 3 5" xfId="977" xr:uid="{00000000-0005-0000-0000-00007C020000}"/>
    <cellStyle name="Финансовый 2 3 2 3 6" xfId="1622" xr:uid="{00000000-0005-0000-0000-00007D020000}"/>
    <cellStyle name="Финансовый 2 3 2 3 7" xfId="849" xr:uid="{00000000-0005-0000-0000-00007E020000}"/>
    <cellStyle name="Финансовый 2 3 2 4" xfId="82" xr:uid="{00000000-0005-0000-0000-00007F020000}"/>
    <cellStyle name="Финансовый 2 3 2 4 2" xfId="218" xr:uid="{00000000-0005-0000-0000-000080020000}"/>
    <cellStyle name="Финансовый 2 3 2 4 2 2" xfId="490" xr:uid="{00000000-0005-0000-0000-000081020000}"/>
    <cellStyle name="Финансовый 2 3 2 4 2 2 2" xfId="1449" xr:uid="{00000000-0005-0000-0000-000082020000}"/>
    <cellStyle name="Финансовый 2 3 2 4 2 3" xfId="1193" xr:uid="{00000000-0005-0000-0000-000083020000}"/>
    <cellStyle name="Финансовый 2 3 2 4 2 4" xfId="1722" xr:uid="{00000000-0005-0000-0000-000084020000}"/>
    <cellStyle name="Финансовый 2 3 2 4 3" xfId="354" xr:uid="{00000000-0005-0000-0000-000085020000}"/>
    <cellStyle name="Финансовый 2 3 2 4 3 2" xfId="1321" xr:uid="{00000000-0005-0000-0000-000086020000}"/>
    <cellStyle name="Финансовый 2 3 2 4 4" xfId="659" xr:uid="{00000000-0005-0000-0000-000087020000}"/>
    <cellStyle name="Финансовый 2 3 2 4 4 2" xfId="1065" xr:uid="{00000000-0005-0000-0000-000088020000}"/>
    <cellStyle name="Финансовый 2 3 2 4 5" xfId="941" xr:uid="{00000000-0005-0000-0000-000089020000}"/>
    <cellStyle name="Финансовый 2 3 2 4 6" xfId="1586" xr:uid="{00000000-0005-0000-0000-00008A020000}"/>
    <cellStyle name="Финансовый 2 3 2 4 7" xfId="813" xr:uid="{00000000-0005-0000-0000-00008B020000}"/>
    <cellStyle name="Финансовый 2 3 2 5" xfId="60" xr:uid="{00000000-0005-0000-0000-00008C020000}"/>
    <cellStyle name="Финансовый 2 3 2 5 2" xfId="198" xr:uid="{00000000-0005-0000-0000-00008D020000}"/>
    <cellStyle name="Финансовый 2 3 2 5 2 2" xfId="470" xr:uid="{00000000-0005-0000-0000-00008E020000}"/>
    <cellStyle name="Финансовый 2 3 2 5 2 2 2" xfId="1437" xr:uid="{00000000-0005-0000-0000-00008F020000}"/>
    <cellStyle name="Финансовый 2 3 2 5 2 3" xfId="1181" xr:uid="{00000000-0005-0000-0000-000090020000}"/>
    <cellStyle name="Финансовый 2 3 2 5 2 4" xfId="1702" xr:uid="{00000000-0005-0000-0000-000091020000}"/>
    <cellStyle name="Финансовый 2 3 2 5 3" xfId="334" xr:uid="{00000000-0005-0000-0000-000092020000}"/>
    <cellStyle name="Финансовый 2 3 2 5 3 2" xfId="1309" xr:uid="{00000000-0005-0000-0000-000093020000}"/>
    <cellStyle name="Финансовый 2 3 2 5 4" xfId="660" xr:uid="{00000000-0005-0000-0000-000094020000}"/>
    <cellStyle name="Финансовый 2 3 2 5 4 2" xfId="1045" xr:uid="{00000000-0005-0000-0000-000095020000}"/>
    <cellStyle name="Финансовый 2 3 2 5 5" xfId="929" xr:uid="{00000000-0005-0000-0000-000096020000}"/>
    <cellStyle name="Финансовый 2 3 2 5 6" xfId="1565" xr:uid="{00000000-0005-0000-0000-000097020000}"/>
    <cellStyle name="Финансовый 2 3 2 5 7" xfId="792" xr:uid="{00000000-0005-0000-0000-000098020000}"/>
    <cellStyle name="Финансовый 2 3 2 6" xfId="138" xr:uid="{00000000-0005-0000-0000-000099020000}"/>
    <cellStyle name="Финансовый 2 3 2 6 2" xfId="274" xr:uid="{00000000-0005-0000-0000-00009A020000}"/>
    <cellStyle name="Финансовый 2 3 2 6 2 2" xfId="546" xr:uid="{00000000-0005-0000-0000-00009B020000}"/>
    <cellStyle name="Финансовый 2 3 2 6 2 2 2" xfId="1505" xr:uid="{00000000-0005-0000-0000-00009C020000}"/>
    <cellStyle name="Финансовый 2 3 2 6 2 3" xfId="1249" xr:uid="{00000000-0005-0000-0000-00009D020000}"/>
    <cellStyle name="Финансовый 2 3 2 6 2 4" xfId="1778" xr:uid="{00000000-0005-0000-0000-00009E020000}"/>
    <cellStyle name="Финансовый 2 3 2 6 3" xfId="410" xr:uid="{00000000-0005-0000-0000-00009F020000}"/>
    <cellStyle name="Финансовый 2 3 2 6 3 2" xfId="1377" xr:uid="{00000000-0005-0000-0000-0000A0020000}"/>
    <cellStyle name="Финансовый 2 3 2 6 4" xfId="661" xr:uid="{00000000-0005-0000-0000-0000A1020000}"/>
    <cellStyle name="Финансовый 2 3 2 6 4 2" xfId="1121" xr:uid="{00000000-0005-0000-0000-0000A2020000}"/>
    <cellStyle name="Финансовый 2 3 2 6 5" xfId="997" xr:uid="{00000000-0005-0000-0000-0000A3020000}"/>
    <cellStyle name="Финансовый 2 3 2 6 6" xfId="1642" xr:uid="{00000000-0005-0000-0000-0000A4020000}"/>
    <cellStyle name="Финансовый 2 3 2 6 7" xfId="869" xr:uid="{00000000-0005-0000-0000-0000A5020000}"/>
    <cellStyle name="Финансовый 2 3 2 7" xfId="36" xr:uid="{00000000-0005-0000-0000-0000A6020000}"/>
    <cellStyle name="Финансовый 2 3 2 7 2" xfId="174" xr:uid="{00000000-0005-0000-0000-0000A7020000}"/>
    <cellStyle name="Финансовый 2 3 2 7 2 2" xfId="446" xr:uid="{00000000-0005-0000-0000-0000A8020000}"/>
    <cellStyle name="Финансовый 2 3 2 7 2 2 2" xfId="1413" xr:uid="{00000000-0005-0000-0000-0000A9020000}"/>
    <cellStyle name="Финансовый 2 3 2 7 2 3" xfId="1157" xr:uid="{00000000-0005-0000-0000-0000AA020000}"/>
    <cellStyle name="Финансовый 2 3 2 7 2 4" xfId="1678" xr:uid="{00000000-0005-0000-0000-0000AB020000}"/>
    <cellStyle name="Финансовый 2 3 2 7 3" xfId="310" xr:uid="{00000000-0005-0000-0000-0000AC020000}"/>
    <cellStyle name="Финансовый 2 3 2 7 3 2" xfId="1285" xr:uid="{00000000-0005-0000-0000-0000AD020000}"/>
    <cellStyle name="Финансовый 2 3 2 7 4" xfId="631" xr:uid="{00000000-0005-0000-0000-0000AE020000}"/>
    <cellStyle name="Финансовый 2 3 2 7 4 2" xfId="1021" xr:uid="{00000000-0005-0000-0000-0000AF020000}"/>
    <cellStyle name="Финансовый 2 3 2 7 5" xfId="905" xr:uid="{00000000-0005-0000-0000-0000B0020000}"/>
    <cellStyle name="Финансовый 2 3 2 7 6" xfId="1541" xr:uid="{00000000-0005-0000-0000-0000B1020000}"/>
    <cellStyle name="Финансовый 2 3 2 7 7" xfId="768" xr:uid="{00000000-0005-0000-0000-0000B2020000}"/>
    <cellStyle name="Финансовый 2 3 2 8" xfId="24" xr:uid="{00000000-0005-0000-0000-0000B3020000}"/>
    <cellStyle name="Финансовый 2 3 2 8 2" xfId="162" xr:uid="{00000000-0005-0000-0000-0000B4020000}"/>
    <cellStyle name="Финансовый 2 3 2 8 2 2" xfId="434" xr:uid="{00000000-0005-0000-0000-0000B5020000}"/>
    <cellStyle name="Финансовый 2 3 2 8 2 2 2" xfId="1401" xr:uid="{00000000-0005-0000-0000-0000B6020000}"/>
    <cellStyle name="Финансовый 2 3 2 8 2 3" xfId="1145" xr:uid="{00000000-0005-0000-0000-0000B7020000}"/>
    <cellStyle name="Финансовый 2 3 2 8 2 4" xfId="1666" xr:uid="{00000000-0005-0000-0000-0000B8020000}"/>
    <cellStyle name="Финансовый 2 3 2 8 3" xfId="298" xr:uid="{00000000-0005-0000-0000-0000B9020000}"/>
    <cellStyle name="Финансовый 2 3 2 8 3 2" xfId="1273" xr:uid="{00000000-0005-0000-0000-0000BA020000}"/>
    <cellStyle name="Финансовый 2 3 2 8 4" xfId="642" xr:uid="{00000000-0005-0000-0000-0000BB020000}"/>
    <cellStyle name="Финансовый 2 3 2 8 4 2" xfId="1009" xr:uid="{00000000-0005-0000-0000-0000BC020000}"/>
    <cellStyle name="Финансовый 2 3 2 8 5" xfId="893" xr:uid="{00000000-0005-0000-0000-0000BD020000}"/>
    <cellStyle name="Финансовый 2 3 2 8 6" xfId="1529" xr:uid="{00000000-0005-0000-0000-0000BE020000}"/>
    <cellStyle name="Финансовый 2 3 2 8 7" xfId="756" xr:uid="{00000000-0005-0000-0000-0000BF020000}"/>
    <cellStyle name="Финансовый 2 3 2 9" xfId="150" xr:uid="{00000000-0005-0000-0000-0000C0020000}"/>
    <cellStyle name="Финансовый 2 3 2 9 2" xfId="422" xr:uid="{00000000-0005-0000-0000-0000C1020000}"/>
    <cellStyle name="Финансовый 2 3 2 9 2 2" xfId="1389" xr:uid="{00000000-0005-0000-0000-0000C2020000}"/>
    <cellStyle name="Финансовый 2 3 2 9 3" xfId="1133" xr:uid="{00000000-0005-0000-0000-0000C3020000}"/>
    <cellStyle name="Финансовый 2 3 2 9 4" xfId="1654" xr:uid="{00000000-0005-0000-0000-0000C4020000}"/>
    <cellStyle name="Финансовый 2 3 3" xfId="42" xr:uid="{00000000-0005-0000-0000-0000C5020000}"/>
    <cellStyle name="Финансовый 2 3 3 2" xfId="124" xr:uid="{00000000-0005-0000-0000-0000C6020000}"/>
    <cellStyle name="Финансовый 2 3 3 2 2" xfId="260" xr:uid="{00000000-0005-0000-0000-0000C7020000}"/>
    <cellStyle name="Финансовый 2 3 3 2 2 2" xfId="532" xr:uid="{00000000-0005-0000-0000-0000C8020000}"/>
    <cellStyle name="Финансовый 2 3 3 2 2 2 2" xfId="1491" xr:uid="{00000000-0005-0000-0000-0000C9020000}"/>
    <cellStyle name="Финансовый 2 3 3 2 2 3" xfId="1235" xr:uid="{00000000-0005-0000-0000-0000CA020000}"/>
    <cellStyle name="Финансовый 2 3 3 2 2 4" xfId="1764" xr:uid="{00000000-0005-0000-0000-0000CB020000}"/>
    <cellStyle name="Финансовый 2 3 3 2 3" xfId="396" xr:uid="{00000000-0005-0000-0000-0000CC020000}"/>
    <cellStyle name="Финансовый 2 3 3 2 3 2" xfId="1363" xr:uid="{00000000-0005-0000-0000-0000CD020000}"/>
    <cellStyle name="Финансовый 2 3 3 2 4" xfId="663" xr:uid="{00000000-0005-0000-0000-0000CE020000}"/>
    <cellStyle name="Финансовый 2 3 3 2 4 2" xfId="1107" xr:uid="{00000000-0005-0000-0000-0000CF020000}"/>
    <cellStyle name="Финансовый 2 3 3 2 5" xfId="983" xr:uid="{00000000-0005-0000-0000-0000D0020000}"/>
    <cellStyle name="Финансовый 2 3 3 2 6" xfId="1628" xr:uid="{00000000-0005-0000-0000-0000D1020000}"/>
    <cellStyle name="Финансовый 2 3 3 2 7" xfId="855" xr:uid="{00000000-0005-0000-0000-0000D2020000}"/>
    <cellStyle name="Финансовый 2 3 3 3" xfId="88" xr:uid="{00000000-0005-0000-0000-0000D3020000}"/>
    <cellStyle name="Финансовый 2 3 3 3 2" xfId="224" xr:uid="{00000000-0005-0000-0000-0000D4020000}"/>
    <cellStyle name="Финансовый 2 3 3 3 2 2" xfId="496" xr:uid="{00000000-0005-0000-0000-0000D5020000}"/>
    <cellStyle name="Финансовый 2 3 3 3 2 2 2" xfId="1455" xr:uid="{00000000-0005-0000-0000-0000D6020000}"/>
    <cellStyle name="Финансовый 2 3 3 3 2 3" xfId="1199" xr:uid="{00000000-0005-0000-0000-0000D7020000}"/>
    <cellStyle name="Финансовый 2 3 3 3 2 4" xfId="1728" xr:uid="{00000000-0005-0000-0000-0000D8020000}"/>
    <cellStyle name="Финансовый 2 3 3 3 3" xfId="360" xr:uid="{00000000-0005-0000-0000-0000D9020000}"/>
    <cellStyle name="Финансовый 2 3 3 3 3 2" xfId="1327" xr:uid="{00000000-0005-0000-0000-0000DA020000}"/>
    <cellStyle name="Финансовый 2 3 3 3 4" xfId="664" xr:uid="{00000000-0005-0000-0000-0000DB020000}"/>
    <cellStyle name="Финансовый 2 3 3 3 4 2" xfId="1071" xr:uid="{00000000-0005-0000-0000-0000DC020000}"/>
    <cellStyle name="Финансовый 2 3 3 3 5" xfId="947" xr:uid="{00000000-0005-0000-0000-0000DD020000}"/>
    <cellStyle name="Финансовый 2 3 3 3 6" xfId="1592" xr:uid="{00000000-0005-0000-0000-0000DE020000}"/>
    <cellStyle name="Финансовый 2 3 3 3 7" xfId="819" xr:uid="{00000000-0005-0000-0000-0000DF020000}"/>
    <cellStyle name="Финансовый 2 3 3 4" xfId="180" xr:uid="{00000000-0005-0000-0000-0000E0020000}"/>
    <cellStyle name="Финансовый 2 3 3 4 2" xfId="452" xr:uid="{00000000-0005-0000-0000-0000E1020000}"/>
    <cellStyle name="Финансовый 2 3 3 4 2 2" xfId="1419" xr:uid="{00000000-0005-0000-0000-0000E2020000}"/>
    <cellStyle name="Финансовый 2 3 3 4 3" xfId="1163" xr:uid="{00000000-0005-0000-0000-0000E3020000}"/>
    <cellStyle name="Финансовый 2 3 3 4 4" xfId="1684" xr:uid="{00000000-0005-0000-0000-0000E4020000}"/>
    <cellStyle name="Финансовый 2 3 3 5" xfId="316" xr:uid="{00000000-0005-0000-0000-0000E5020000}"/>
    <cellStyle name="Финансовый 2 3 3 5 2" xfId="1291" xr:uid="{00000000-0005-0000-0000-0000E6020000}"/>
    <cellStyle name="Финансовый 2 3 3 6" xfId="662" xr:uid="{00000000-0005-0000-0000-0000E7020000}"/>
    <cellStyle name="Финансовый 2 3 3 6 2" xfId="1027" xr:uid="{00000000-0005-0000-0000-0000E8020000}"/>
    <cellStyle name="Финансовый 2 3 3 7" xfId="911" xr:uid="{00000000-0005-0000-0000-0000E9020000}"/>
    <cellStyle name="Финансовый 2 3 3 8" xfId="1547" xr:uid="{00000000-0005-0000-0000-0000EA020000}"/>
    <cellStyle name="Финансовый 2 3 3 9" xfId="774" xr:uid="{00000000-0005-0000-0000-0000EB020000}"/>
    <cellStyle name="Финансовый 2 3 4" xfId="94" xr:uid="{00000000-0005-0000-0000-0000EC020000}"/>
    <cellStyle name="Финансовый 2 3 4 2" xfId="230" xr:uid="{00000000-0005-0000-0000-0000ED020000}"/>
    <cellStyle name="Финансовый 2 3 4 2 2" xfId="502" xr:uid="{00000000-0005-0000-0000-0000EE020000}"/>
    <cellStyle name="Финансовый 2 3 4 2 2 2" xfId="1461" xr:uid="{00000000-0005-0000-0000-0000EF020000}"/>
    <cellStyle name="Финансовый 2 3 4 2 3" xfId="1205" xr:uid="{00000000-0005-0000-0000-0000F0020000}"/>
    <cellStyle name="Финансовый 2 3 4 2 4" xfId="1734" xr:uid="{00000000-0005-0000-0000-0000F1020000}"/>
    <cellStyle name="Финансовый 2 3 4 3" xfId="366" xr:uid="{00000000-0005-0000-0000-0000F2020000}"/>
    <cellStyle name="Финансовый 2 3 4 3 2" xfId="1333" xr:uid="{00000000-0005-0000-0000-0000F3020000}"/>
    <cellStyle name="Финансовый 2 3 4 4" xfId="665" xr:uid="{00000000-0005-0000-0000-0000F4020000}"/>
    <cellStyle name="Финансовый 2 3 4 4 2" xfId="1077" xr:uid="{00000000-0005-0000-0000-0000F5020000}"/>
    <cellStyle name="Финансовый 2 3 4 5" xfId="953" xr:uid="{00000000-0005-0000-0000-0000F6020000}"/>
    <cellStyle name="Финансовый 2 3 4 6" xfId="1598" xr:uid="{00000000-0005-0000-0000-0000F7020000}"/>
    <cellStyle name="Финансовый 2 3 4 7" xfId="825" xr:uid="{00000000-0005-0000-0000-0000F8020000}"/>
    <cellStyle name="Финансовый 2 3 5" xfId="100" xr:uid="{00000000-0005-0000-0000-0000F9020000}"/>
    <cellStyle name="Финансовый 2 3 5 2" xfId="236" xr:uid="{00000000-0005-0000-0000-0000FA020000}"/>
    <cellStyle name="Финансовый 2 3 5 2 2" xfId="508" xr:uid="{00000000-0005-0000-0000-0000FB020000}"/>
    <cellStyle name="Финансовый 2 3 5 2 2 2" xfId="1467" xr:uid="{00000000-0005-0000-0000-0000FC020000}"/>
    <cellStyle name="Финансовый 2 3 5 2 3" xfId="1211" xr:uid="{00000000-0005-0000-0000-0000FD020000}"/>
    <cellStyle name="Финансовый 2 3 5 2 4" xfId="1740" xr:uid="{00000000-0005-0000-0000-0000FE020000}"/>
    <cellStyle name="Финансовый 2 3 5 3" xfId="372" xr:uid="{00000000-0005-0000-0000-0000FF020000}"/>
    <cellStyle name="Финансовый 2 3 5 3 2" xfId="1339" xr:uid="{00000000-0005-0000-0000-000000030000}"/>
    <cellStyle name="Финансовый 2 3 5 4" xfId="666" xr:uid="{00000000-0005-0000-0000-000001030000}"/>
    <cellStyle name="Финансовый 2 3 5 4 2" xfId="1083" xr:uid="{00000000-0005-0000-0000-000002030000}"/>
    <cellStyle name="Финансовый 2 3 5 5" xfId="959" xr:uid="{00000000-0005-0000-0000-000003030000}"/>
    <cellStyle name="Финансовый 2 3 5 6" xfId="1604" xr:uid="{00000000-0005-0000-0000-000004030000}"/>
    <cellStyle name="Финансовый 2 3 5 7" xfId="831" xr:uid="{00000000-0005-0000-0000-000005030000}"/>
    <cellStyle name="Финансовый 2 3 6" xfId="112" xr:uid="{00000000-0005-0000-0000-000006030000}"/>
    <cellStyle name="Финансовый 2 3 6 2" xfId="248" xr:uid="{00000000-0005-0000-0000-000007030000}"/>
    <cellStyle name="Финансовый 2 3 6 2 2" xfId="520" xr:uid="{00000000-0005-0000-0000-000008030000}"/>
    <cellStyle name="Финансовый 2 3 6 2 2 2" xfId="1479" xr:uid="{00000000-0005-0000-0000-000009030000}"/>
    <cellStyle name="Финансовый 2 3 6 2 3" xfId="1223" xr:uid="{00000000-0005-0000-0000-00000A030000}"/>
    <cellStyle name="Финансовый 2 3 6 2 4" xfId="1752" xr:uid="{00000000-0005-0000-0000-00000B030000}"/>
    <cellStyle name="Финансовый 2 3 6 3" xfId="384" xr:uid="{00000000-0005-0000-0000-00000C030000}"/>
    <cellStyle name="Финансовый 2 3 6 3 2" xfId="1351" xr:uid="{00000000-0005-0000-0000-00000D030000}"/>
    <cellStyle name="Финансовый 2 3 6 4" xfId="667" xr:uid="{00000000-0005-0000-0000-00000E030000}"/>
    <cellStyle name="Финансовый 2 3 6 4 2" xfId="1095" xr:uid="{00000000-0005-0000-0000-00000F030000}"/>
    <cellStyle name="Финансовый 2 3 6 5" xfId="971" xr:uid="{00000000-0005-0000-0000-000010030000}"/>
    <cellStyle name="Финансовый 2 3 6 6" xfId="1616" xr:uid="{00000000-0005-0000-0000-000011030000}"/>
    <cellStyle name="Финансовый 2 3 6 7" xfId="843" xr:uid="{00000000-0005-0000-0000-000012030000}"/>
    <cellStyle name="Финансовый 2 3 7" xfId="76" xr:uid="{00000000-0005-0000-0000-000013030000}"/>
    <cellStyle name="Финансовый 2 3 7 2" xfId="212" xr:uid="{00000000-0005-0000-0000-000014030000}"/>
    <cellStyle name="Финансовый 2 3 7 2 2" xfId="484" xr:uid="{00000000-0005-0000-0000-000015030000}"/>
    <cellStyle name="Финансовый 2 3 7 2 2 2" xfId="1443" xr:uid="{00000000-0005-0000-0000-000016030000}"/>
    <cellStyle name="Финансовый 2 3 7 2 3" xfId="1187" xr:uid="{00000000-0005-0000-0000-000017030000}"/>
    <cellStyle name="Финансовый 2 3 7 2 4" xfId="1716" xr:uid="{00000000-0005-0000-0000-000018030000}"/>
    <cellStyle name="Финансовый 2 3 7 3" xfId="348" xr:uid="{00000000-0005-0000-0000-000019030000}"/>
    <cellStyle name="Финансовый 2 3 7 3 2" xfId="1315" xr:uid="{00000000-0005-0000-0000-00001A030000}"/>
    <cellStyle name="Финансовый 2 3 7 4" xfId="668" xr:uid="{00000000-0005-0000-0000-00001B030000}"/>
    <cellStyle name="Финансовый 2 3 7 4 2" xfId="1059" xr:uid="{00000000-0005-0000-0000-00001C030000}"/>
    <cellStyle name="Финансовый 2 3 7 5" xfId="935" xr:uid="{00000000-0005-0000-0000-00001D030000}"/>
    <cellStyle name="Финансовый 2 3 7 6" xfId="1580" xr:uid="{00000000-0005-0000-0000-00001E030000}"/>
    <cellStyle name="Финансовый 2 3 7 7" xfId="807" xr:uid="{00000000-0005-0000-0000-00001F030000}"/>
    <cellStyle name="Финансовый 2 3 8" xfId="54" xr:uid="{00000000-0005-0000-0000-000020030000}"/>
    <cellStyle name="Финансовый 2 3 8 2" xfId="192" xr:uid="{00000000-0005-0000-0000-000021030000}"/>
    <cellStyle name="Финансовый 2 3 8 2 2" xfId="464" xr:uid="{00000000-0005-0000-0000-000022030000}"/>
    <cellStyle name="Финансовый 2 3 8 2 2 2" xfId="1431" xr:uid="{00000000-0005-0000-0000-000023030000}"/>
    <cellStyle name="Финансовый 2 3 8 2 3" xfId="1175" xr:uid="{00000000-0005-0000-0000-000024030000}"/>
    <cellStyle name="Финансовый 2 3 8 2 4" xfId="1696" xr:uid="{00000000-0005-0000-0000-000025030000}"/>
    <cellStyle name="Финансовый 2 3 8 3" xfId="328" xr:uid="{00000000-0005-0000-0000-000026030000}"/>
    <cellStyle name="Финансовый 2 3 8 3 2" xfId="1303" xr:uid="{00000000-0005-0000-0000-000027030000}"/>
    <cellStyle name="Финансовый 2 3 8 4" xfId="669" xr:uid="{00000000-0005-0000-0000-000028030000}"/>
    <cellStyle name="Финансовый 2 3 8 4 2" xfId="1039" xr:uid="{00000000-0005-0000-0000-000029030000}"/>
    <cellStyle name="Финансовый 2 3 8 5" xfId="923" xr:uid="{00000000-0005-0000-0000-00002A030000}"/>
    <cellStyle name="Финансовый 2 3 8 6" xfId="1559" xr:uid="{00000000-0005-0000-0000-00002B030000}"/>
    <cellStyle name="Финансовый 2 3 8 7" xfId="786" xr:uid="{00000000-0005-0000-0000-00002C030000}"/>
    <cellStyle name="Финансовый 2 3 9" xfId="132" xr:uid="{00000000-0005-0000-0000-00002D030000}"/>
    <cellStyle name="Финансовый 2 3 9 2" xfId="268" xr:uid="{00000000-0005-0000-0000-00002E030000}"/>
    <cellStyle name="Финансовый 2 3 9 2 2" xfId="540" xr:uid="{00000000-0005-0000-0000-00002F030000}"/>
    <cellStyle name="Финансовый 2 3 9 2 2 2" xfId="1499" xr:uid="{00000000-0005-0000-0000-000030030000}"/>
    <cellStyle name="Финансовый 2 3 9 2 3" xfId="1243" xr:uid="{00000000-0005-0000-0000-000031030000}"/>
    <cellStyle name="Финансовый 2 3 9 2 4" xfId="1772" xr:uid="{00000000-0005-0000-0000-000032030000}"/>
    <cellStyle name="Финансовый 2 3 9 3" xfId="404" xr:uid="{00000000-0005-0000-0000-000033030000}"/>
    <cellStyle name="Финансовый 2 3 9 3 2" xfId="1371" xr:uid="{00000000-0005-0000-0000-000034030000}"/>
    <cellStyle name="Финансовый 2 3 9 4" xfId="670" xr:uid="{00000000-0005-0000-0000-000035030000}"/>
    <cellStyle name="Финансовый 2 3 9 4 2" xfId="1115" xr:uid="{00000000-0005-0000-0000-000036030000}"/>
    <cellStyle name="Финансовый 2 3 9 5" xfId="991" xr:uid="{00000000-0005-0000-0000-000037030000}"/>
    <cellStyle name="Финансовый 2 3 9 6" xfId="1636" xr:uid="{00000000-0005-0000-0000-000038030000}"/>
    <cellStyle name="Финансовый 2 3 9 7" xfId="863" xr:uid="{00000000-0005-0000-0000-000039030000}"/>
    <cellStyle name="Финансовый 2 4" xfId="8" xr:uid="{00000000-0005-0000-0000-00003A030000}"/>
    <cellStyle name="Финансовый 2 4 10" xfId="554" xr:uid="{00000000-0005-0000-0000-00003B030000}"/>
    <cellStyle name="Финансовый 2 4 10 2" xfId="1257" xr:uid="{00000000-0005-0000-0000-00003C030000}"/>
    <cellStyle name="Финансовый 2 4 11" xfId="282" xr:uid="{00000000-0005-0000-0000-00003D030000}"/>
    <cellStyle name="Финансовый 2 4 12" xfId="672" xr:uid="{00000000-0005-0000-0000-00003E030000}"/>
    <cellStyle name="Финансовый 2 4 12 2" xfId="877" xr:uid="{00000000-0005-0000-0000-00003F030000}"/>
    <cellStyle name="Финансовый 2 4 13" xfId="1513" xr:uid="{00000000-0005-0000-0000-000040030000}"/>
    <cellStyle name="Финансовый 2 4 14" xfId="740" xr:uid="{00000000-0005-0000-0000-000041030000}"/>
    <cellStyle name="Финансовый 2 4 2" xfId="44" xr:uid="{00000000-0005-0000-0000-000042030000}"/>
    <cellStyle name="Финансовый 2 4 2 2" xfId="102" xr:uid="{00000000-0005-0000-0000-000043030000}"/>
    <cellStyle name="Финансовый 2 4 2 2 2" xfId="238" xr:uid="{00000000-0005-0000-0000-000044030000}"/>
    <cellStyle name="Финансовый 2 4 2 2 2 2" xfId="510" xr:uid="{00000000-0005-0000-0000-000045030000}"/>
    <cellStyle name="Финансовый 2 4 2 2 2 2 2" xfId="1469" xr:uid="{00000000-0005-0000-0000-000046030000}"/>
    <cellStyle name="Финансовый 2 4 2 2 2 3" xfId="1213" xr:uid="{00000000-0005-0000-0000-000047030000}"/>
    <cellStyle name="Финансовый 2 4 2 2 2 4" xfId="1742" xr:uid="{00000000-0005-0000-0000-000048030000}"/>
    <cellStyle name="Финансовый 2 4 2 2 3" xfId="374" xr:uid="{00000000-0005-0000-0000-000049030000}"/>
    <cellStyle name="Финансовый 2 4 2 2 3 2" xfId="1341" xr:uid="{00000000-0005-0000-0000-00004A030000}"/>
    <cellStyle name="Финансовый 2 4 2 2 4" xfId="674" xr:uid="{00000000-0005-0000-0000-00004B030000}"/>
    <cellStyle name="Финансовый 2 4 2 2 4 2" xfId="1085" xr:uid="{00000000-0005-0000-0000-00004C030000}"/>
    <cellStyle name="Финансовый 2 4 2 2 5" xfId="961" xr:uid="{00000000-0005-0000-0000-00004D030000}"/>
    <cellStyle name="Финансовый 2 4 2 2 6" xfId="1606" xr:uid="{00000000-0005-0000-0000-00004E030000}"/>
    <cellStyle name="Финансовый 2 4 2 2 7" xfId="833" xr:uid="{00000000-0005-0000-0000-00004F030000}"/>
    <cellStyle name="Финансовый 2 4 2 3" xfId="182" xr:uid="{00000000-0005-0000-0000-000050030000}"/>
    <cellStyle name="Финансовый 2 4 2 3 2" xfId="454" xr:uid="{00000000-0005-0000-0000-000051030000}"/>
    <cellStyle name="Финансовый 2 4 2 3 2 2" xfId="1421" xr:uid="{00000000-0005-0000-0000-000052030000}"/>
    <cellStyle name="Финансовый 2 4 2 3 3" xfId="1165" xr:uid="{00000000-0005-0000-0000-000053030000}"/>
    <cellStyle name="Финансовый 2 4 2 3 4" xfId="1686" xr:uid="{00000000-0005-0000-0000-000054030000}"/>
    <cellStyle name="Финансовый 2 4 2 4" xfId="318" xr:uid="{00000000-0005-0000-0000-000055030000}"/>
    <cellStyle name="Финансовый 2 4 2 4 2" xfId="1293" xr:uid="{00000000-0005-0000-0000-000056030000}"/>
    <cellStyle name="Финансовый 2 4 2 5" xfId="673" xr:uid="{00000000-0005-0000-0000-000057030000}"/>
    <cellStyle name="Финансовый 2 4 2 5 2" xfId="1029" xr:uid="{00000000-0005-0000-0000-000058030000}"/>
    <cellStyle name="Финансовый 2 4 2 6" xfId="913" xr:uid="{00000000-0005-0000-0000-000059030000}"/>
    <cellStyle name="Финансовый 2 4 2 7" xfId="1549" xr:uid="{00000000-0005-0000-0000-00005A030000}"/>
    <cellStyle name="Финансовый 2 4 2 8" xfId="776" xr:uid="{00000000-0005-0000-0000-00005B030000}"/>
    <cellStyle name="Финансовый 2 4 3" xfId="114" xr:uid="{00000000-0005-0000-0000-00005C030000}"/>
    <cellStyle name="Финансовый 2 4 3 2" xfId="250" xr:uid="{00000000-0005-0000-0000-00005D030000}"/>
    <cellStyle name="Финансовый 2 4 3 2 2" xfId="522" xr:uid="{00000000-0005-0000-0000-00005E030000}"/>
    <cellStyle name="Финансовый 2 4 3 2 2 2" xfId="1481" xr:uid="{00000000-0005-0000-0000-00005F030000}"/>
    <cellStyle name="Финансовый 2 4 3 2 3" xfId="1225" xr:uid="{00000000-0005-0000-0000-000060030000}"/>
    <cellStyle name="Финансовый 2 4 3 2 4" xfId="1754" xr:uid="{00000000-0005-0000-0000-000061030000}"/>
    <cellStyle name="Финансовый 2 4 3 3" xfId="386" xr:uid="{00000000-0005-0000-0000-000062030000}"/>
    <cellStyle name="Финансовый 2 4 3 3 2" xfId="1353" xr:uid="{00000000-0005-0000-0000-000063030000}"/>
    <cellStyle name="Финансовый 2 4 3 4" xfId="675" xr:uid="{00000000-0005-0000-0000-000064030000}"/>
    <cellStyle name="Финансовый 2 4 3 4 2" xfId="1097" xr:uid="{00000000-0005-0000-0000-000065030000}"/>
    <cellStyle name="Финансовый 2 4 3 5" xfId="973" xr:uid="{00000000-0005-0000-0000-000066030000}"/>
    <cellStyle name="Финансовый 2 4 3 6" xfId="1618" xr:uid="{00000000-0005-0000-0000-000067030000}"/>
    <cellStyle name="Финансовый 2 4 3 7" xfId="845" xr:uid="{00000000-0005-0000-0000-000068030000}"/>
    <cellStyle name="Финансовый 2 4 4" xfId="78" xr:uid="{00000000-0005-0000-0000-000069030000}"/>
    <cellStyle name="Финансовый 2 4 4 2" xfId="214" xr:uid="{00000000-0005-0000-0000-00006A030000}"/>
    <cellStyle name="Финансовый 2 4 4 2 2" xfId="486" xr:uid="{00000000-0005-0000-0000-00006B030000}"/>
    <cellStyle name="Финансовый 2 4 4 2 2 2" xfId="1445" xr:uid="{00000000-0005-0000-0000-00006C030000}"/>
    <cellStyle name="Финансовый 2 4 4 2 3" xfId="1189" xr:uid="{00000000-0005-0000-0000-00006D030000}"/>
    <cellStyle name="Финансовый 2 4 4 2 4" xfId="1718" xr:uid="{00000000-0005-0000-0000-00006E030000}"/>
    <cellStyle name="Финансовый 2 4 4 3" xfId="350" xr:uid="{00000000-0005-0000-0000-00006F030000}"/>
    <cellStyle name="Финансовый 2 4 4 3 2" xfId="1317" xr:uid="{00000000-0005-0000-0000-000070030000}"/>
    <cellStyle name="Финансовый 2 4 4 4" xfId="676" xr:uid="{00000000-0005-0000-0000-000071030000}"/>
    <cellStyle name="Финансовый 2 4 4 4 2" xfId="1061" xr:uid="{00000000-0005-0000-0000-000072030000}"/>
    <cellStyle name="Финансовый 2 4 4 5" xfId="937" xr:uid="{00000000-0005-0000-0000-000073030000}"/>
    <cellStyle name="Финансовый 2 4 4 6" xfId="1582" xr:uid="{00000000-0005-0000-0000-000074030000}"/>
    <cellStyle name="Финансовый 2 4 4 7" xfId="809" xr:uid="{00000000-0005-0000-0000-000075030000}"/>
    <cellStyle name="Финансовый 2 4 5" xfId="56" xr:uid="{00000000-0005-0000-0000-000076030000}"/>
    <cellStyle name="Финансовый 2 4 5 2" xfId="194" xr:uid="{00000000-0005-0000-0000-000077030000}"/>
    <cellStyle name="Финансовый 2 4 5 2 2" xfId="466" xr:uid="{00000000-0005-0000-0000-000078030000}"/>
    <cellStyle name="Финансовый 2 4 5 2 2 2" xfId="1433" xr:uid="{00000000-0005-0000-0000-000079030000}"/>
    <cellStyle name="Финансовый 2 4 5 2 3" xfId="1177" xr:uid="{00000000-0005-0000-0000-00007A030000}"/>
    <cellStyle name="Финансовый 2 4 5 2 4" xfId="1698" xr:uid="{00000000-0005-0000-0000-00007B030000}"/>
    <cellStyle name="Финансовый 2 4 5 3" xfId="330" xr:uid="{00000000-0005-0000-0000-00007C030000}"/>
    <cellStyle name="Финансовый 2 4 5 3 2" xfId="1305" xr:uid="{00000000-0005-0000-0000-00007D030000}"/>
    <cellStyle name="Финансовый 2 4 5 4" xfId="677" xr:uid="{00000000-0005-0000-0000-00007E030000}"/>
    <cellStyle name="Финансовый 2 4 5 4 2" xfId="1041" xr:uid="{00000000-0005-0000-0000-00007F030000}"/>
    <cellStyle name="Финансовый 2 4 5 5" xfId="925" xr:uid="{00000000-0005-0000-0000-000080030000}"/>
    <cellStyle name="Финансовый 2 4 5 6" xfId="1561" xr:uid="{00000000-0005-0000-0000-000081030000}"/>
    <cellStyle name="Финансовый 2 4 5 7" xfId="788" xr:uid="{00000000-0005-0000-0000-000082030000}"/>
    <cellStyle name="Финансовый 2 4 6" xfId="134" xr:uid="{00000000-0005-0000-0000-000083030000}"/>
    <cellStyle name="Финансовый 2 4 6 2" xfId="270" xr:uid="{00000000-0005-0000-0000-000084030000}"/>
    <cellStyle name="Финансовый 2 4 6 2 2" xfId="542" xr:uid="{00000000-0005-0000-0000-000085030000}"/>
    <cellStyle name="Финансовый 2 4 6 2 2 2" xfId="1501" xr:uid="{00000000-0005-0000-0000-000086030000}"/>
    <cellStyle name="Финансовый 2 4 6 2 3" xfId="1245" xr:uid="{00000000-0005-0000-0000-000087030000}"/>
    <cellStyle name="Финансовый 2 4 6 2 4" xfId="1774" xr:uid="{00000000-0005-0000-0000-000088030000}"/>
    <cellStyle name="Финансовый 2 4 6 3" xfId="406" xr:uid="{00000000-0005-0000-0000-000089030000}"/>
    <cellStyle name="Финансовый 2 4 6 3 2" xfId="1373" xr:uid="{00000000-0005-0000-0000-00008A030000}"/>
    <cellStyle name="Финансовый 2 4 6 4" xfId="678" xr:uid="{00000000-0005-0000-0000-00008B030000}"/>
    <cellStyle name="Финансовый 2 4 6 4 2" xfId="1117" xr:uid="{00000000-0005-0000-0000-00008C030000}"/>
    <cellStyle name="Финансовый 2 4 6 5" xfId="993" xr:uid="{00000000-0005-0000-0000-00008D030000}"/>
    <cellStyle name="Финансовый 2 4 6 6" xfId="1638" xr:uid="{00000000-0005-0000-0000-00008E030000}"/>
    <cellStyle name="Финансовый 2 4 6 7" xfId="865" xr:uid="{00000000-0005-0000-0000-00008F030000}"/>
    <cellStyle name="Финансовый 2 4 7" xfId="32" xr:uid="{00000000-0005-0000-0000-000090030000}"/>
    <cellStyle name="Финансовый 2 4 7 2" xfId="170" xr:uid="{00000000-0005-0000-0000-000091030000}"/>
    <cellStyle name="Финансовый 2 4 7 2 2" xfId="442" xr:uid="{00000000-0005-0000-0000-000092030000}"/>
    <cellStyle name="Финансовый 2 4 7 2 2 2" xfId="1409" xr:uid="{00000000-0005-0000-0000-000093030000}"/>
    <cellStyle name="Финансовый 2 4 7 2 3" xfId="1153" xr:uid="{00000000-0005-0000-0000-000094030000}"/>
    <cellStyle name="Финансовый 2 4 7 2 4" xfId="1674" xr:uid="{00000000-0005-0000-0000-000095030000}"/>
    <cellStyle name="Финансовый 2 4 7 3" xfId="306" xr:uid="{00000000-0005-0000-0000-000096030000}"/>
    <cellStyle name="Финансовый 2 4 7 3 2" xfId="1281" xr:uid="{00000000-0005-0000-0000-000097030000}"/>
    <cellStyle name="Финансовый 2 4 7 4" xfId="679" xr:uid="{00000000-0005-0000-0000-000098030000}"/>
    <cellStyle name="Финансовый 2 4 7 4 2" xfId="1017" xr:uid="{00000000-0005-0000-0000-000099030000}"/>
    <cellStyle name="Финансовый 2 4 7 5" xfId="901" xr:uid="{00000000-0005-0000-0000-00009A030000}"/>
    <cellStyle name="Финансовый 2 4 7 6" xfId="1537" xr:uid="{00000000-0005-0000-0000-00009B030000}"/>
    <cellStyle name="Финансовый 2 4 7 7" xfId="764" xr:uid="{00000000-0005-0000-0000-00009C030000}"/>
    <cellStyle name="Финансовый 2 4 8" xfId="20" xr:uid="{00000000-0005-0000-0000-00009D030000}"/>
    <cellStyle name="Финансовый 2 4 8 2" xfId="158" xr:uid="{00000000-0005-0000-0000-00009E030000}"/>
    <cellStyle name="Финансовый 2 4 8 2 2" xfId="430" xr:uid="{00000000-0005-0000-0000-00009F030000}"/>
    <cellStyle name="Финансовый 2 4 8 2 2 2" xfId="1397" xr:uid="{00000000-0005-0000-0000-0000A0030000}"/>
    <cellStyle name="Финансовый 2 4 8 2 3" xfId="1141" xr:uid="{00000000-0005-0000-0000-0000A1030000}"/>
    <cellStyle name="Финансовый 2 4 8 2 4" xfId="1662" xr:uid="{00000000-0005-0000-0000-0000A2030000}"/>
    <cellStyle name="Финансовый 2 4 8 3" xfId="294" xr:uid="{00000000-0005-0000-0000-0000A3030000}"/>
    <cellStyle name="Финансовый 2 4 8 3 2" xfId="1269" xr:uid="{00000000-0005-0000-0000-0000A4030000}"/>
    <cellStyle name="Финансовый 2 4 8 4" xfId="680" xr:uid="{00000000-0005-0000-0000-0000A5030000}"/>
    <cellStyle name="Финансовый 2 4 8 4 2" xfId="1005" xr:uid="{00000000-0005-0000-0000-0000A6030000}"/>
    <cellStyle name="Финансовый 2 4 8 5" xfId="889" xr:uid="{00000000-0005-0000-0000-0000A7030000}"/>
    <cellStyle name="Финансовый 2 4 8 6" xfId="1525" xr:uid="{00000000-0005-0000-0000-0000A8030000}"/>
    <cellStyle name="Финансовый 2 4 8 7" xfId="752" xr:uid="{00000000-0005-0000-0000-0000A9030000}"/>
    <cellStyle name="Финансовый 2 4 9" xfId="146" xr:uid="{00000000-0005-0000-0000-0000AA030000}"/>
    <cellStyle name="Финансовый 2 4 9 2" xfId="418" xr:uid="{00000000-0005-0000-0000-0000AB030000}"/>
    <cellStyle name="Финансовый 2 4 9 2 2" xfId="1385" xr:uid="{00000000-0005-0000-0000-0000AC030000}"/>
    <cellStyle name="Финансовый 2 4 9 3" xfId="1129" xr:uid="{00000000-0005-0000-0000-0000AD030000}"/>
    <cellStyle name="Финансовый 2 4 9 4" xfId="1650" xr:uid="{00000000-0005-0000-0000-0000AE030000}"/>
    <cellStyle name="Финансовый 2 5" xfId="38" xr:uid="{00000000-0005-0000-0000-0000AF030000}"/>
    <cellStyle name="Финансовый 2 5 2" xfId="120" xr:uid="{00000000-0005-0000-0000-0000B0030000}"/>
    <cellStyle name="Финансовый 2 5 2 2" xfId="256" xr:uid="{00000000-0005-0000-0000-0000B1030000}"/>
    <cellStyle name="Финансовый 2 5 2 2 2" xfId="528" xr:uid="{00000000-0005-0000-0000-0000B2030000}"/>
    <cellStyle name="Финансовый 2 5 2 2 2 2" xfId="1487" xr:uid="{00000000-0005-0000-0000-0000B3030000}"/>
    <cellStyle name="Финансовый 2 5 2 2 3" xfId="1231" xr:uid="{00000000-0005-0000-0000-0000B4030000}"/>
    <cellStyle name="Финансовый 2 5 2 2 4" xfId="1760" xr:uid="{00000000-0005-0000-0000-0000B5030000}"/>
    <cellStyle name="Финансовый 2 5 2 3" xfId="392" xr:uid="{00000000-0005-0000-0000-0000B6030000}"/>
    <cellStyle name="Финансовый 2 5 2 3 2" xfId="1359" xr:uid="{00000000-0005-0000-0000-0000B7030000}"/>
    <cellStyle name="Финансовый 2 5 2 4" xfId="682" xr:uid="{00000000-0005-0000-0000-0000B8030000}"/>
    <cellStyle name="Финансовый 2 5 2 4 2" xfId="1103" xr:uid="{00000000-0005-0000-0000-0000B9030000}"/>
    <cellStyle name="Финансовый 2 5 2 5" xfId="979" xr:uid="{00000000-0005-0000-0000-0000BA030000}"/>
    <cellStyle name="Финансовый 2 5 2 6" xfId="1624" xr:uid="{00000000-0005-0000-0000-0000BB030000}"/>
    <cellStyle name="Финансовый 2 5 2 7" xfId="851" xr:uid="{00000000-0005-0000-0000-0000BC030000}"/>
    <cellStyle name="Финансовый 2 5 3" xfId="84" xr:uid="{00000000-0005-0000-0000-0000BD030000}"/>
    <cellStyle name="Финансовый 2 5 3 2" xfId="220" xr:uid="{00000000-0005-0000-0000-0000BE030000}"/>
    <cellStyle name="Финансовый 2 5 3 2 2" xfId="492" xr:uid="{00000000-0005-0000-0000-0000BF030000}"/>
    <cellStyle name="Финансовый 2 5 3 2 2 2" xfId="1451" xr:uid="{00000000-0005-0000-0000-0000C0030000}"/>
    <cellStyle name="Финансовый 2 5 3 2 3" xfId="1195" xr:uid="{00000000-0005-0000-0000-0000C1030000}"/>
    <cellStyle name="Финансовый 2 5 3 2 4" xfId="1724" xr:uid="{00000000-0005-0000-0000-0000C2030000}"/>
    <cellStyle name="Финансовый 2 5 3 3" xfId="356" xr:uid="{00000000-0005-0000-0000-0000C3030000}"/>
    <cellStyle name="Финансовый 2 5 3 3 2" xfId="1323" xr:uid="{00000000-0005-0000-0000-0000C4030000}"/>
    <cellStyle name="Финансовый 2 5 3 4" xfId="612" xr:uid="{00000000-0005-0000-0000-0000C5030000}"/>
    <cellStyle name="Финансовый 2 5 3 4 2" xfId="1067" xr:uid="{00000000-0005-0000-0000-0000C6030000}"/>
    <cellStyle name="Финансовый 2 5 3 5" xfId="943" xr:uid="{00000000-0005-0000-0000-0000C7030000}"/>
    <cellStyle name="Финансовый 2 5 3 6" xfId="1588" xr:uid="{00000000-0005-0000-0000-0000C8030000}"/>
    <cellStyle name="Финансовый 2 5 3 7" xfId="815" xr:uid="{00000000-0005-0000-0000-0000C9030000}"/>
    <cellStyle name="Финансовый 2 5 4" xfId="176" xr:uid="{00000000-0005-0000-0000-0000CA030000}"/>
    <cellStyle name="Финансовый 2 5 4 2" xfId="448" xr:uid="{00000000-0005-0000-0000-0000CB030000}"/>
    <cellStyle name="Финансовый 2 5 4 2 2" xfId="1415" xr:uid="{00000000-0005-0000-0000-0000CC030000}"/>
    <cellStyle name="Финансовый 2 5 4 3" xfId="1159" xr:uid="{00000000-0005-0000-0000-0000CD030000}"/>
    <cellStyle name="Финансовый 2 5 4 4" xfId="1680" xr:uid="{00000000-0005-0000-0000-0000CE030000}"/>
    <cellStyle name="Финансовый 2 5 5" xfId="312" xr:uid="{00000000-0005-0000-0000-0000CF030000}"/>
    <cellStyle name="Финансовый 2 5 5 2" xfId="1287" xr:uid="{00000000-0005-0000-0000-0000D0030000}"/>
    <cellStyle name="Финансовый 2 5 6" xfId="681" xr:uid="{00000000-0005-0000-0000-0000D1030000}"/>
    <cellStyle name="Финансовый 2 5 6 2" xfId="1023" xr:uid="{00000000-0005-0000-0000-0000D2030000}"/>
    <cellStyle name="Финансовый 2 5 7" xfId="907" xr:uid="{00000000-0005-0000-0000-0000D3030000}"/>
    <cellStyle name="Финансовый 2 5 8" xfId="1543" xr:uid="{00000000-0005-0000-0000-0000D4030000}"/>
    <cellStyle name="Финансовый 2 5 9" xfId="770" xr:uid="{00000000-0005-0000-0000-0000D5030000}"/>
    <cellStyle name="Финансовый 2 6" xfId="90" xr:uid="{00000000-0005-0000-0000-0000D6030000}"/>
    <cellStyle name="Финансовый 2 6 2" xfId="226" xr:uid="{00000000-0005-0000-0000-0000D7030000}"/>
    <cellStyle name="Финансовый 2 6 2 2" xfId="498" xr:uid="{00000000-0005-0000-0000-0000D8030000}"/>
    <cellStyle name="Финансовый 2 6 2 2 2" xfId="1457" xr:uid="{00000000-0005-0000-0000-0000D9030000}"/>
    <cellStyle name="Финансовый 2 6 2 3" xfId="1201" xr:uid="{00000000-0005-0000-0000-0000DA030000}"/>
    <cellStyle name="Финансовый 2 6 2 4" xfId="1730" xr:uid="{00000000-0005-0000-0000-0000DB030000}"/>
    <cellStyle name="Финансовый 2 6 3" xfId="362" xr:uid="{00000000-0005-0000-0000-0000DC030000}"/>
    <cellStyle name="Финансовый 2 6 3 2" xfId="1329" xr:uid="{00000000-0005-0000-0000-0000DD030000}"/>
    <cellStyle name="Финансовый 2 6 4" xfId="683" xr:uid="{00000000-0005-0000-0000-0000DE030000}"/>
    <cellStyle name="Финансовый 2 6 4 2" xfId="1073" xr:uid="{00000000-0005-0000-0000-0000DF030000}"/>
    <cellStyle name="Финансовый 2 6 5" xfId="949" xr:uid="{00000000-0005-0000-0000-0000E0030000}"/>
    <cellStyle name="Финансовый 2 6 6" xfId="1594" xr:uid="{00000000-0005-0000-0000-0000E1030000}"/>
    <cellStyle name="Финансовый 2 6 7" xfId="821" xr:uid="{00000000-0005-0000-0000-0000E2030000}"/>
    <cellStyle name="Финансовый 2 7" xfId="96" xr:uid="{00000000-0005-0000-0000-0000E3030000}"/>
    <cellStyle name="Финансовый 2 7 2" xfId="232" xr:uid="{00000000-0005-0000-0000-0000E4030000}"/>
    <cellStyle name="Финансовый 2 7 2 2" xfId="504" xr:uid="{00000000-0005-0000-0000-0000E5030000}"/>
    <cellStyle name="Финансовый 2 7 2 2 2" xfId="1463" xr:uid="{00000000-0005-0000-0000-0000E6030000}"/>
    <cellStyle name="Финансовый 2 7 2 3" xfId="1207" xr:uid="{00000000-0005-0000-0000-0000E7030000}"/>
    <cellStyle name="Финансовый 2 7 2 4" xfId="1736" xr:uid="{00000000-0005-0000-0000-0000E8030000}"/>
    <cellStyle name="Финансовый 2 7 3" xfId="368" xr:uid="{00000000-0005-0000-0000-0000E9030000}"/>
    <cellStyle name="Финансовый 2 7 3 2" xfId="1335" xr:uid="{00000000-0005-0000-0000-0000EA030000}"/>
    <cellStyle name="Финансовый 2 7 4" xfId="684" xr:uid="{00000000-0005-0000-0000-0000EB030000}"/>
    <cellStyle name="Финансовый 2 7 4 2" xfId="1079" xr:uid="{00000000-0005-0000-0000-0000EC030000}"/>
    <cellStyle name="Финансовый 2 7 5" xfId="955" xr:uid="{00000000-0005-0000-0000-0000ED030000}"/>
    <cellStyle name="Финансовый 2 7 6" xfId="1600" xr:uid="{00000000-0005-0000-0000-0000EE030000}"/>
    <cellStyle name="Финансовый 2 7 7" xfId="827" xr:uid="{00000000-0005-0000-0000-0000EF030000}"/>
    <cellStyle name="Финансовый 2 8" xfId="108" xr:uid="{00000000-0005-0000-0000-0000F0030000}"/>
    <cellStyle name="Финансовый 2 8 2" xfId="244" xr:uid="{00000000-0005-0000-0000-0000F1030000}"/>
    <cellStyle name="Финансовый 2 8 2 2" xfId="516" xr:uid="{00000000-0005-0000-0000-0000F2030000}"/>
    <cellStyle name="Финансовый 2 8 2 2 2" xfId="1475" xr:uid="{00000000-0005-0000-0000-0000F3030000}"/>
    <cellStyle name="Финансовый 2 8 2 3" xfId="1219" xr:uid="{00000000-0005-0000-0000-0000F4030000}"/>
    <cellStyle name="Финансовый 2 8 2 4" xfId="1748" xr:uid="{00000000-0005-0000-0000-0000F5030000}"/>
    <cellStyle name="Финансовый 2 8 3" xfId="380" xr:uid="{00000000-0005-0000-0000-0000F6030000}"/>
    <cellStyle name="Финансовый 2 8 3 2" xfId="1347" xr:uid="{00000000-0005-0000-0000-0000F7030000}"/>
    <cellStyle name="Финансовый 2 8 4" xfId="685" xr:uid="{00000000-0005-0000-0000-0000F8030000}"/>
    <cellStyle name="Финансовый 2 8 4 2" xfId="1091" xr:uid="{00000000-0005-0000-0000-0000F9030000}"/>
    <cellStyle name="Финансовый 2 8 5" xfId="967" xr:uid="{00000000-0005-0000-0000-0000FA030000}"/>
    <cellStyle name="Финансовый 2 8 6" xfId="1612" xr:uid="{00000000-0005-0000-0000-0000FB030000}"/>
    <cellStyle name="Финансовый 2 8 7" xfId="839" xr:uid="{00000000-0005-0000-0000-0000FC030000}"/>
    <cellStyle name="Финансовый 2 9" xfId="126" xr:uid="{00000000-0005-0000-0000-0000FD030000}"/>
    <cellStyle name="Финансовый 2 9 2" xfId="262" xr:uid="{00000000-0005-0000-0000-0000FE030000}"/>
    <cellStyle name="Финансовый 2 9 2 2" xfId="534" xr:uid="{00000000-0005-0000-0000-0000FF030000}"/>
    <cellStyle name="Финансовый 2 9 2 2 2" xfId="1493" xr:uid="{00000000-0005-0000-0000-000000040000}"/>
    <cellStyle name="Финансовый 2 9 2 3" xfId="1237" xr:uid="{00000000-0005-0000-0000-000001040000}"/>
    <cellStyle name="Финансовый 2 9 2 4" xfId="1766" xr:uid="{00000000-0005-0000-0000-000002040000}"/>
    <cellStyle name="Финансовый 2 9 3" xfId="398" xr:uid="{00000000-0005-0000-0000-000003040000}"/>
    <cellStyle name="Финансовый 2 9 3 2" xfId="1365" xr:uid="{00000000-0005-0000-0000-000004040000}"/>
    <cellStyle name="Финансовый 2 9 4" xfId="686" xr:uid="{00000000-0005-0000-0000-000005040000}"/>
    <cellStyle name="Финансовый 2 9 4 2" xfId="1109" xr:uid="{00000000-0005-0000-0000-000006040000}"/>
    <cellStyle name="Финансовый 2 9 5" xfId="985" xr:uid="{00000000-0005-0000-0000-000007040000}"/>
    <cellStyle name="Финансовый 2 9 6" xfId="1630" xr:uid="{00000000-0005-0000-0000-000008040000}"/>
    <cellStyle name="Финансовый 2 9 7" xfId="857" xr:uid="{00000000-0005-0000-0000-000009040000}"/>
    <cellStyle name="Финансовый 20" xfId="1506" xr:uid="{00000000-0005-0000-0000-00000A040000}"/>
    <cellStyle name="Финансовый 21" xfId="1568" xr:uid="{00000000-0005-0000-0000-00000B040000}"/>
    <cellStyle name="Финансовый 22" xfId="1781" xr:uid="{00000000-0005-0000-0000-00000C040000}"/>
    <cellStyle name="Финансовый 23" xfId="1779" xr:uid="{00000000-0005-0000-0000-00000D040000}"/>
    <cellStyle name="Финансовый 24" xfId="1785" xr:uid="{00000000-0005-0000-0000-00000E040000}"/>
    <cellStyle name="Финансовый 25" xfId="1783" xr:uid="{00000000-0005-0000-0000-00000F040000}"/>
    <cellStyle name="Финансовый 26" xfId="1782" xr:uid="{00000000-0005-0000-0000-000010040000}"/>
    <cellStyle name="Финансовый 27" xfId="1780" xr:uid="{00000000-0005-0000-0000-000011040000}"/>
    <cellStyle name="Финансовый 28" xfId="1784" xr:uid="{00000000-0005-0000-0000-000012040000}"/>
    <cellStyle name="Финансовый 29" xfId="733" xr:uid="{00000000-0005-0000-0000-000013040000}"/>
    <cellStyle name="Финансовый 3" xfId="3" xr:uid="{00000000-0005-0000-0000-000014040000}"/>
    <cellStyle name="Финансовый 3 10" xfId="27" xr:uid="{00000000-0005-0000-0000-000015040000}"/>
    <cellStyle name="Финансовый 3 10 2" xfId="165" xr:uid="{00000000-0005-0000-0000-000016040000}"/>
    <cellStyle name="Финансовый 3 10 2 2" xfId="437" xr:uid="{00000000-0005-0000-0000-000017040000}"/>
    <cellStyle name="Финансовый 3 10 2 2 2" xfId="1404" xr:uid="{00000000-0005-0000-0000-000018040000}"/>
    <cellStyle name="Финансовый 3 10 2 3" xfId="1148" xr:uid="{00000000-0005-0000-0000-000019040000}"/>
    <cellStyle name="Финансовый 3 10 2 4" xfId="1669" xr:uid="{00000000-0005-0000-0000-00001A040000}"/>
    <cellStyle name="Финансовый 3 10 3" xfId="301" xr:uid="{00000000-0005-0000-0000-00001B040000}"/>
    <cellStyle name="Финансовый 3 10 3 2" xfId="1276" xr:uid="{00000000-0005-0000-0000-00001C040000}"/>
    <cellStyle name="Финансовый 3 10 4" xfId="688" xr:uid="{00000000-0005-0000-0000-00001D040000}"/>
    <cellStyle name="Финансовый 3 10 4 2" xfId="1012" xr:uid="{00000000-0005-0000-0000-00001E040000}"/>
    <cellStyle name="Финансовый 3 10 5" xfId="896" xr:uid="{00000000-0005-0000-0000-00001F040000}"/>
    <cellStyle name="Финансовый 3 10 6" xfId="1532" xr:uid="{00000000-0005-0000-0000-000020040000}"/>
    <cellStyle name="Финансовый 3 10 7" xfId="759" xr:uid="{00000000-0005-0000-0000-000021040000}"/>
    <cellStyle name="Финансовый 3 11" xfId="15" xr:uid="{00000000-0005-0000-0000-000022040000}"/>
    <cellStyle name="Финансовый 3 11 2" xfId="153" xr:uid="{00000000-0005-0000-0000-000023040000}"/>
    <cellStyle name="Финансовый 3 11 2 2" xfId="425" xr:uid="{00000000-0005-0000-0000-000024040000}"/>
    <cellStyle name="Финансовый 3 11 2 2 2" xfId="1392" xr:uid="{00000000-0005-0000-0000-000025040000}"/>
    <cellStyle name="Финансовый 3 11 2 3" xfId="1136" xr:uid="{00000000-0005-0000-0000-000026040000}"/>
    <cellStyle name="Финансовый 3 11 2 4" xfId="1657" xr:uid="{00000000-0005-0000-0000-000027040000}"/>
    <cellStyle name="Финансовый 3 11 3" xfId="289" xr:uid="{00000000-0005-0000-0000-000028040000}"/>
    <cellStyle name="Финансовый 3 11 3 2" xfId="1264" xr:uid="{00000000-0005-0000-0000-000029040000}"/>
    <cellStyle name="Финансовый 3 11 4" xfId="689" xr:uid="{00000000-0005-0000-0000-00002A040000}"/>
    <cellStyle name="Финансовый 3 11 4 2" xfId="1000" xr:uid="{00000000-0005-0000-0000-00002B040000}"/>
    <cellStyle name="Финансовый 3 11 5" xfId="884" xr:uid="{00000000-0005-0000-0000-00002C040000}"/>
    <cellStyle name="Финансовый 3 11 6" xfId="1520" xr:uid="{00000000-0005-0000-0000-00002D040000}"/>
    <cellStyle name="Финансовый 3 11 7" xfId="747" xr:uid="{00000000-0005-0000-0000-00002E040000}"/>
    <cellStyle name="Финансовый 3 12" xfId="141" xr:uid="{00000000-0005-0000-0000-00002F040000}"/>
    <cellStyle name="Финансовый 3 12 2" xfId="413" xr:uid="{00000000-0005-0000-0000-000030040000}"/>
    <cellStyle name="Финансовый 3 12 2 2" xfId="1380" xr:uid="{00000000-0005-0000-0000-000031040000}"/>
    <cellStyle name="Финансовый 3 12 3" xfId="1124" xr:uid="{00000000-0005-0000-0000-000032040000}"/>
    <cellStyle name="Финансовый 3 12 4" xfId="1645" xr:uid="{00000000-0005-0000-0000-000033040000}"/>
    <cellStyle name="Финансовый 3 13" xfId="549" xr:uid="{00000000-0005-0000-0000-000034040000}"/>
    <cellStyle name="Финансовый 3 13 2" xfId="1252" xr:uid="{00000000-0005-0000-0000-000035040000}"/>
    <cellStyle name="Финансовый 3 14" xfId="277" xr:uid="{00000000-0005-0000-0000-000036040000}"/>
    <cellStyle name="Финансовый 3 15" xfId="687" xr:uid="{00000000-0005-0000-0000-000037040000}"/>
    <cellStyle name="Финансовый 3 15 2" xfId="872" xr:uid="{00000000-0005-0000-0000-000038040000}"/>
    <cellStyle name="Финансовый 3 16" xfId="1508" xr:uid="{00000000-0005-0000-0000-000039040000}"/>
    <cellStyle name="Финансовый 3 17" xfId="735" xr:uid="{00000000-0005-0000-0000-00003A040000}"/>
    <cellStyle name="Финансовый 3 2" xfId="9" xr:uid="{00000000-0005-0000-0000-00003B040000}"/>
    <cellStyle name="Финансовый 3 2 10" xfId="555" xr:uid="{00000000-0005-0000-0000-00003C040000}"/>
    <cellStyle name="Финансовый 3 2 10 2" xfId="1258" xr:uid="{00000000-0005-0000-0000-00003D040000}"/>
    <cellStyle name="Финансовый 3 2 11" xfId="283" xr:uid="{00000000-0005-0000-0000-00003E040000}"/>
    <cellStyle name="Финансовый 3 2 12" xfId="690" xr:uid="{00000000-0005-0000-0000-00003F040000}"/>
    <cellStyle name="Финансовый 3 2 12 2" xfId="878" xr:uid="{00000000-0005-0000-0000-000040040000}"/>
    <cellStyle name="Финансовый 3 2 13" xfId="1514" xr:uid="{00000000-0005-0000-0000-000041040000}"/>
    <cellStyle name="Финансовый 3 2 14" xfId="741" xr:uid="{00000000-0005-0000-0000-000042040000}"/>
    <cellStyle name="Финансовый 3 2 2" xfId="45" xr:uid="{00000000-0005-0000-0000-000043040000}"/>
    <cellStyle name="Финансовый 3 2 2 2" xfId="103" xr:uid="{00000000-0005-0000-0000-000044040000}"/>
    <cellStyle name="Финансовый 3 2 2 2 2" xfId="239" xr:uid="{00000000-0005-0000-0000-000045040000}"/>
    <cellStyle name="Финансовый 3 2 2 2 2 2" xfId="511" xr:uid="{00000000-0005-0000-0000-000046040000}"/>
    <cellStyle name="Финансовый 3 2 2 2 2 2 2" xfId="1470" xr:uid="{00000000-0005-0000-0000-000047040000}"/>
    <cellStyle name="Финансовый 3 2 2 2 2 3" xfId="1214" xr:uid="{00000000-0005-0000-0000-000048040000}"/>
    <cellStyle name="Финансовый 3 2 2 2 2 4" xfId="1743" xr:uid="{00000000-0005-0000-0000-000049040000}"/>
    <cellStyle name="Финансовый 3 2 2 2 3" xfId="375" xr:uid="{00000000-0005-0000-0000-00004A040000}"/>
    <cellStyle name="Финансовый 3 2 2 2 3 2" xfId="1342" xr:uid="{00000000-0005-0000-0000-00004B040000}"/>
    <cellStyle name="Финансовый 3 2 2 2 4" xfId="692" xr:uid="{00000000-0005-0000-0000-00004C040000}"/>
    <cellStyle name="Финансовый 3 2 2 2 4 2" xfId="1086" xr:uid="{00000000-0005-0000-0000-00004D040000}"/>
    <cellStyle name="Финансовый 3 2 2 2 5" xfId="962" xr:uid="{00000000-0005-0000-0000-00004E040000}"/>
    <cellStyle name="Финансовый 3 2 2 2 6" xfId="1607" xr:uid="{00000000-0005-0000-0000-00004F040000}"/>
    <cellStyle name="Финансовый 3 2 2 2 7" xfId="834" xr:uid="{00000000-0005-0000-0000-000050040000}"/>
    <cellStyle name="Финансовый 3 2 2 3" xfId="183" xr:uid="{00000000-0005-0000-0000-000051040000}"/>
    <cellStyle name="Финансовый 3 2 2 3 2" xfId="455" xr:uid="{00000000-0005-0000-0000-000052040000}"/>
    <cellStyle name="Финансовый 3 2 2 3 2 2" xfId="1422" xr:uid="{00000000-0005-0000-0000-000053040000}"/>
    <cellStyle name="Финансовый 3 2 2 3 3" xfId="1166" xr:uid="{00000000-0005-0000-0000-000054040000}"/>
    <cellStyle name="Финансовый 3 2 2 3 4" xfId="1687" xr:uid="{00000000-0005-0000-0000-000055040000}"/>
    <cellStyle name="Финансовый 3 2 2 4" xfId="319" xr:uid="{00000000-0005-0000-0000-000056040000}"/>
    <cellStyle name="Финансовый 3 2 2 4 2" xfId="1294" xr:uid="{00000000-0005-0000-0000-000057040000}"/>
    <cellStyle name="Финансовый 3 2 2 5" xfId="691" xr:uid="{00000000-0005-0000-0000-000058040000}"/>
    <cellStyle name="Финансовый 3 2 2 5 2" xfId="1030" xr:uid="{00000000-0005-0000-0000-000059040000}"/>
    <cellStyle name="Финансовый 3 2 2 6" xfId="914" xr:uid="{00000000-0005-0000-0000-00005A040000}"/>
    <cellStyle name="Финансовый 3 2 2 7" xfId="1550" xr:uid="{00000000-0005-0000-0000-00005B040000}"/>
    <cellStyle name="Финансовый 3 2 2 8" xfId="777" xr:uid="{00000000-0005-0000-0000-00005C040000}"/>
    <cellStyle name="Финансовый 3 2 3" xfId="115" xr:uid="{00000000-0005-0000-0000-00005D040000}"/>
    <cellStyle name="Финансовый 3 2 3 2" xfId="251" xr:uid="{00000000-0005-0000-0000-00005E040000}"/>
    <cellStyle name="Финансовый 3 2 3 2 2" xfId="523" xr:uid="{00000000-0005-0000-0000-00005F040000}"/>
    <cellStyle name="Финансовый 3 2 3 2 2 2" xfId="1482" xr:uid="{00000000-0005-0000-0000-000060040000}"/>
    <cellStyle name="Финансовый 3 2 3 2 3" xfId="1226" xr:uid="{00000000-0005-0000-0000-000061040000}"/>
    <cellStyle name="Финансовый 3 2 3 2 4" xfId="1755" xr:uid="{00000000-0005-0000-0000-000062040000}"/>
    <cellStyle name="Финансовый 3 2 3 3" xfId="387" xr:uid="{00000000-0005-0000-0000-000063040000}"/>
    <cellStyle name="Финансовый 3 2 3 3 2" xfId="1354" xr:uid="{00000000-0005-0000-0000-000064040000}"/>
    <cellStyle name="Финансовый 3 2 3 4" xfId="693" xr:uid="{00000000-0005-0000-0000-000065040000}"/>
    <cellStyle name="Финансовый 3 2 3 4 2" xfId="1098" xr:uid="{00000000-0005-0000-0000-000066040000}"/>
    <cellStyle name="Финансовый 3 2 3 5" xfId="974" xr:uid="{00000000-0005-0000-0000-000067040000}"/>
    <cellStyle name="Финансовый 3 2 3 6" xfId="1619" xr:uid="{00000000-0005-0000-0000-000068040000}"/>
    <cellStyle name="Финансовый 3 2 3 7" xfId="846" xr:uid="{00000000-0005-0000-0000-000069040000}"/>
    <cellStyle name="Финансовый 3 2 4" xfId="79" xr:uid="{00000000-0005-0000-0000-00006A040000}"/>
    <cellStyle name="Финансовый 3 2 4 2" xfId="215" xr:uid="{00000000-0005-0000-0000-00006B040000}"/>
    <cellStyle name="Финансовый 3 2 4 2 2" xfId="487" xr:uid="{00000000-0005-0000-0000-00006C040000}"/>
    <cellStyle name="Финансовый 3 2 4 2 2 2" xfId="1446" xr:uid="{00000000-0005-0000-0000-00006D040000}"/>
    <cellStyle name="Финансовый 3 2 4 2 3" xfId="1190" xr:uid="{00000000-0005-0000-0000-00006E040000}"/>
    <cellStyle name="Финансовый 3 2 4 2 4" xfId="1719" xr:uid="{00000000-0005-0000-0000-00006F040000}"/>
    <cellStyle name="Финансовый 3 2 4 3" xfId="351" xr:uid="{00000000-0005-0000-0000-000070040000}"/>
    <cellStyle name="Финансовый 3 2 4 3 2" xfId="1318" xr:uid="{00000000-0005-0000-0000-000071040000}"/>
    <cellStyle name="Финансовый 3 2 4 4" xfId="694" xr:uid="{00000000-0005-0000-0000-000072040000}"/>
    <cellStyle name="Финансовый 3 2 4 4 2" xfId="1062" xr:uid="{00000000-0005-0000-0000-000073040000}"/>
    <cellStyle name="Финансовый 3 2 4 5" xfId="938" xr:uid="{00000000-0005-0000-0000-000074040000}"/>
    <cellStyle name="Финансовый 3 2 4 6" xfId="1583" xr:uid="{00000000-0005-0000-0000-000075040000}"/>
    <cellStyle name="Финансовый 3 2 4 7" xfId="810" xr:uid="{00000000-0005-0000-0000-000076040000}"/>
    <cellStyle name="Финансовый 3 2 5" xfId="57" xr:uid="{00000000-0005-0000-0000-000077040000}"/>
    <cellStyle name="Финансовый 3 2 5 2" xfId="195" xr:uid="{00000000-0005-0000-0000-000078040000}"/>
    <cellStyle name="Финансовый 3 2 5 2 2" xfId="467" xr:uid="{00000000-0005-0000-0000-000079040000}"/>
    <cellStyle name="Финансовый 3 2 5 2 2 2" xfId="1434" xr:uid="{00000000-0005-0000-0000-00007A040000}"/>
    <cellStyle name="Финансовый 3 2 5 2 3" xfId="1178" xr:uid="{00000000-0005-0000-0000-00007B040000}"/>
    <cellStyle name="Финансовый 3 2 5 2 4" xfId="1699" xr:uid="{00000000-0005-0000-0000-00007C040000}"/>
    <cellStyle name="Финансовый 3 2 5 3" xfId="331" xr:uid="{00000000-0005-0000-0000-00007D040000}"/>
    <cellStyle name="Финансовый 3 2 5 3 2" xfId="1306" xr:uid="{00000000-0005-0000-0000-00007E040000}"/>
    <cellStyle name="Финансовый 3 2 5 4" xfId="695" xr:uid="{00000000-0005-0000-0000-00007F040000}"/>
    <cellStyle name="Финансовый 3 2 5 4 2" xfId="1042" xr:uid="{00000000-0005-0000-0000-000080040000}"/>
    <cellStyle name="Финансовый 3 2 5 5" xfId="926" xr:uid="{00000000-0005-0000-0000-000081040000}"/>
    <cellStyle name="Финансовый 3 2 5 6" xfId="1562" xr:uid="{00000000-0005-0000-0000-000082040000}"/>
    <cellStyle name="Финансовый 3 2 5 7" xfId="789" xr:uid="{00000000-0005-0000-0000-000083040000}"/>
    <cellStyle name="Финансовый 3 2 6" xfId="135" xr:uid="{00000000-0005-0000-0000-000084040000}"/>
    <cellStyle name="Финансовый 3 2 6 2" xfId="271" xr:uid="{00000000-0005-0000-0000-000085040000}"/>
    <cellStyle name="Финансовый 3 2 6 2 2" xfId="543" xr:uid="{00000000-0005-0000-0000-000086040000}"/>
    <cellStyle name="Финансовый 3 2 6 2 2 2" xfId="1502" xr:uid="{00000000-0005-0000-0000-000087040000}"/>
    <cellStyle name="Финансовый 3 2 6 2 3" xfId="1246" xr:uid="{00000000-0005-0000-0000-000088040000}"/>
    <cellStyle name="Финансовый 3 2 6 2 4" xfId="1775" xr:uid="{00000000-0005-0000-0000-000089040000}"/>
    <cellStyle name="Финансовый 3 2 6 3" xfId="407" xr:uid="{00000000-0005-0000-0000-00008A040000}"/>
    <cellStyle name="Финансовый 3 2 6 3 2" xfId="1374" xr:uid="{00000000-0005-0000-0000-00008B040000}"/>
    <cellStyle name="Финансовый 3 2 6 4" xfId="696" xr:uid="{00000000-0005-0000-0000-00008C040000}"/>
    <cellStyle name="Финансовый 3 2 6 4 2" xfId="1118" xr:uid="{00000000-0005-0000-0000-00008D040000}"/>
    <cellStyle name="Финансовый 3 2 6 5" xfId="994" xr:uid="{00000000-0005-0000-0000-00008E040000}"/>
    <cellStyle name="Финансовый 3 2 6 6" xfId="1639" xr:uid="{00000000-0005-0000-0000-00008F040000}"/>
    <cellStyle name="Финансовый 3 2 6 7" xfId="866" xr:uid="{00000000-0005-0000-0000-000090040000}"/>
    <cellStyle name="Финансовый 3 2 7" xfId="33" xr:uid="{00000000-0005-0000-0000-000091040000}"/>
    <cellStyle name="Финансовый 3 2 7 2" xfId="171" xr:uid="{00000000-0005-0000-0000-000092040000}"/>
    <cellStyle name="Финансовый 3 2 7 2 2" xfId="443" xr:uid="{00000000-0005-0000-0000-000093040000}"/>
    <cellStyle name="Финансовый 3 2 7 2 2 2" xfId="1410" xr:uid="{00000000-0005-0000-0000-000094040000}"/>
    <cellStyle name="Финансовый 3 2 7 2 3" xfId="1154" xr:uid="{00000000-0005-0000-0000-000095040000}"/>
    <cellStyle name="Финансовый 3 2 7 2 4" xfId="1675" xr:uid="{00000000-0005-0000-0000-000096040000}"/>
    <cellStyle name="Финансовый 3 2 7 3" xfId="307" xr:uid="{00000000-0005-0000-0000-000097040000}"/>
    <cellStyle name="Финансовый 3 2 7 3 2" xfId="1282" xr:uid="{00000000-0005-0000-0000-000098040000}"/>
    <cellStyle name="Финансовый 3 2 7 4" xfId="697" xr:uid="{00000000-0005-0000-0000-000099040000}"/>
    <cellStyle name="Финансовый 3 2 7 4 2" xfId="1018" xr:uid="{00000000-0005-0000-0000-00009A040000}"/>
    <cellStyle name="Финансовый 3 2 7 5" xfId="902" xr:uid="{00000000-0005-0000-0000-00009B040000}"/>
    <cellStyle name="Финансовый 3 2 7 6" xfId="1538" xr:uid="{00000000-0005-0000-0000-00009C040000}"/>
    <cellStyle name="Финансовый 3 2 7 7" xfId="765" xr:uid="{00000000-0005-0000-0000-00009D040000}"/>
    <cellStyle name="Финансовый 3 2 8" xfId="21" xr:uid="{00000000-0005-0000-0000-00009E040000}"/>
    <cellStyle name="Финансовый 3 2 8 2" xfId="159" xr:uid="{00000000-0005-0000-0000-00009F040000}"/>
    <cellStyle name="Финансовый 3 2 8 2 2" xfId="431" xr:uid="{00000000-0005-0000-0000-0000A0040000}"/>
    <cellStyle name="Финансовый 3 2 8 2 2 2" xfId="1398" xr:uid="{00000000-0005-0000-0000-0000A1040000}"/>
    <cellStyle name="Финансовый 3 2 8 2 3" xfId="1142" xr:uid="{00000000-0005-0000-0000-0000A2040000}"/>
    <cellStyle name="Финансовый 3 2 8 2 4" xfId="1663" xr:uid="{00000000-0005-0000-0000-0000A3040000}"/>
    <cellStyle name="Финансовый 3 2 8 3" xfId="295" xr:uid="{00000000-0005-0000-0000-0000A4040000}"/>
    <cellStyle name="Финансовый 3 2 8 3 2" xfId="1270" xr:uid="{00000000-0005-0000-0000-0000A5040000}"/>
    <cellStyle name="Финансовый 3 2 8 4" xfId="698" xr:uid="{00000000-0005-0000-0000-0000A6040000}"/>
    <cellStyle name="Финансовый 3 2 8 4 2" xfId="1006" xr:uid="{00000000-0005-0000-0000-0000A7040000}"/>
    <cellStyle name="Финансовый 3 2 8 5" xfId="890" xr:uid="{00000000-0005-0000-0000-0000A8040000}"/>
    <cellStyle name="Финансовый 3 2 8 6" xfId="1526" xr:uid="{00000000-0005-0000-0000-0000A9040000}"/>
    <cellStyle name="Финансовый 3 2 8 7" xfId="753" xr:uid="{00000000-0005-0000-0000-0000AA040000}"/>
    <cellStyle name="Финансовый 3 2 9" xfId="147" xr:uid="{00000000-0005-0000-0000-0000AB040000}"/>
    <cellStyle name="Финансовый 3 2 9 2" xfId="419" xr:uid="{00000000-0005-0000-0000-0000AC040000}"/>
    <cellStyle name="Финансовый 3 2 9 2 2" xfId="1386" xr:uid="{00000000-0005-0000-0000-0000AD040000}"/>
    <cellStyle name="Финансовый 3 2 9 3" xfId="1130" xr:uid="{00000000-0005-0000-0000-0000AE040000}"/>
    <cellStyle name="Финансовый 3 2 9 4" xfId="1651" xr:uid="{00000000-0005-0000-0000-0000AF040000}"/>
    <cellStyle name="Финансовый 3 3" xfId="39" xr:uid="{00000000-0005-0000-0000-0000B0040000}"/>
    <cellStyle name="Финансовый 3 3 2" xfId="121" xr:uid="{00000000-0005-0000-0000-0000B1040000}"/>
    <cellStyle name="Финансовый 3 3 2 2" xfId="257" xr:uid="{00000000-0005-0000-0000-0000B2040000}"/>
    <cellStyle name="Финансовый 3 3 2 2 2" xfId="529" xr:uid="{00000000-0005-0000-0000-0000B3040000}"/>
    <cellStyle name="Финансовый 3 3 2 2 2 2" xfId="1488" xr:uid="{00000000-0005-0000-0000-0000B4040000}"/>
    <cellStyle name="Финансовый 3 3 2 2 3" xfId="1232" xr:uid="{00000000-0005-0000-0000-0000B5040000}"/>
    <cellStyle name="Финансовый 3 3 2 2 4" xfId="1761" xr:uid="{00000000-0005-0000-0000-0000B6040000}"/>
    <cellStyle name="Финансовый 3 3 2 3" xfId="393" xr:uid="{00000000-0005-0000-0000-0000B7040000}"/>
    <cellStyle name="Финансовый 3 3 2 3 2" xfId="1360" xr:uid="{00000000-0005-0000-0000-0000B8040000}"/>
    <cellStyle name="Финансовый 3 3 2 4" xfId="700" xr:uid="{00000000-0005-0000-0000-0000B9040000}"/>
    <cellStyle name="Финансовый 3 3 2 4 2" xfId="1104" xr:uid="{00000000-0005-0000-0000-0000BA040000}"/>
    <cellStyle name="Финансовый 3 3 2 5" xfId="980" xr:uid="{00000000-0005-0000-0000-0000BB040000}"/>
    <cellStyle name="Финансовый 3 3 2 6" xfId="1625" xr:uid="{00000000-0005-0000-0000-0000BC040000}"/>
    <cellStyle name="Финансовый 3 3 2 7" xfId="852" xr:uid="{00000000-0005-0000-0000-0000BD040000}"/>
    <cellStyle name="Финансовый 3 3 3" xfId="85" xr:uid="{00000000-0005-0000-0000-0000BE040000}"/>
    <cellStyle name="Финансовый 3 3 3 2" xfId="221" xr:uid="{00000000-0005-0000-0000-0000BF040000}"/>
    <cellStyle name="Финансовый 3 3 3 2 2" xfId="493" xr:uid="{00000000-0005-0000-0000-0000C0040000}"/>
    <cellStyle name="Финансовый 3 3 3 2 2 2" xfId="1452" xr:uid="{00000000-0005-0000-0000-0000C1040000}"/>
    <cellStyle name="Финансовый 3 3 3 2 3" xfId="1196" xr:uid="{00000000-0005-0000-0000-0000C2040000}"/>
    <cellStyle name="Финансовый 3 3 3 2 4" xfId="1725" xr:uid="{00000000-0005-0000-0000-0000C3040000}"/>
    <cellStyle name="Финансовый 3 3 3 3" xfId="357" xr:uid="{00000000-0005-0000-0000-0000C4040000}"/>
    <cellStyle name="Финансовый 3 3 3 3 2" xfId="1324" xr:uid="{00000000-0005-0000-0000-0000C5040000}"/>
    <cellStyle name="Финансовый 3 3 3 4" xfId="701" xr:uid="{00000000-0005-0000-0000-0000C6040000}"/>
    <cellStyle name="Финансовый 3 3 3 4 2" xfId="1068" xr:uid="{00000000-0005-0000-0000-0000C7040000}"/>
    <cellStyle name="Финансовый 3 3 3 5" xfId="944" xr:uid="{00000000-0005-0000-0000-0000C8040000}"/>
    <cellStyle name="Финансовый 3 3 3 6" xfId="1589" xr:uid="{00000000-0005-0000-0000-0000C9040000}"/>
    <cellStyle name="Финансовый 3 3 3 7" xfId="816" xr:uid="{00000000-0005-0000-0000-0000CA040000}"/>
    <cellStyle name="Финансовый 3 3 4" xfId="177" xr:uid="{00000000-0005-0000-0000-0000CB040000}"/>
    <cellStyle name="Финансовый 3 3 4 2" xfId="449" xr:uid="{00000000-0005-0000-0000-0000CC040000}"/>
    <cellStyle name="Финансовый 3 3 4 2 2" xfId="1416" xr:uid="{00000000-0005-0000-0000-0000CD040000}"/>
    <cellStyle name="Финансовый 3 3 4 3" xfId="1160" xr:uid="{00000000-0005-0000-0000-0000CE040000}"/>
    <cellStyle name="Финансовый 3 3 4 4" xfId="1681" xr:uid="{00000000-0005-0000-0000-0000CF040000}"/>
    <cellStyle name="Финансовый 3 3 5" xfId="313" xr:uid="{00000000-0005-0000-0000-0000D0040000}"/>
    <cellStyle name="Финансовый 3 3 5 2" xfId="1288" xr:uid="{00000000-0005-0000-0000-0000D1040000}"/>
    <cellStyle name="Финансовый 3 3 6" xfId="699" xr:uid="{00000000-0005-0000-0000-0000D2040000}"/>
    <cellStyle name="Финансовый 3 3 6 2" xfId="1024" xr:uid="{00000000-0005-0000-0000-0000D3040000}"/>
    <cellStyle name="Финансовый 3 3 7" xfId="908" xr:uid="{00000000-0005-0000-0000-0000D4040000}"/>
    <cellStyle name="Финансовый 3 3 8" xfId="1544" xr:uid="{00000000-0005-0000-0000-0000D5040000}"/>
    <cellStyle name="Финансовый 3 3 9" xfId="771" xr:uid="{00000000-0005-0000-0000-0000D6040000}"/>
    <cellStyle name="Финансовый 3 4" xfId="91" xr:uid="{00000000-0005-0000-0000-0000D7040000}"/>
    <cellStyle name="Финансовый 3 4 2" xfId="227" xr:uid="{00000000-0005-0000-0000-0000D8040000}"/>
    <cellStyle name="Финансовый 3 4 2 2" xfId="499" xr:uid="{00000000-0005-0000-0000-0000D9040000}"/>
    <cellStyle name="Финансовый 3 4 2 2 2" xfId="1458" xr:uid="{00000000-0005-0000-0000-0000DA040000}"/>
    <cellStyle name="Финансовый 3 4 2 3" xfId="1202" xr:uid="{00000000-0005-0000-0000-0000DB040000}"/>
    <cellStyle name="Финансовый 3 4 2 4" xfId="1731" xr:uid="{00000000-0005-0000-0000-0000DC040000}"/>
    <cellStyle name="Финансовый 3 4 3" xfId="363" xr:uid="{00000000-0005-0000-0000-0000DD040000}"/>
    <cellStyle name="Финансовый 3 4 3 2" xfId="1330" xr:uid="{00000000-0005-0000-0000-0000DE040000}"/>
    <cellStyle name="Финансовый 3 4 4" xfId="702" xr:uid="{00000000-0005-0000-0000-0000DF040000}"/>
    <cellStyle name="Финансовый 3 4 4 2" xfId="1074" xr:uid="{00000000-0005-0000-0000-0000E0040000}"/>
    <cellStyle name="Финансовый 3 4 5" xfId="950" xr:uid="{00000000-0005-0000-0000-0000E1040000}"/>
    <cellStyle name="Финансовый 3 4 6" xfId="1595" xr:uid="{00000000-0005-0000-0000-0000E2040000}"/>
    <cellStyle name="Финансовый 3 4 7" xfId="822" xr:uid="{00000000-0005-0000-0000-0000E3040000}"/>
    <cellStyle name="Финансовый 3 5" xfId="97" xr:uid="{00000000-0005-0000-0000-0000E4040000}"/>
    <cellStyle name="Финансовый 3 5 2" xfId="233" xr:uid="{00000000-0005-0000-0000-0000E5040000}"/>
    <cellStyle name="Финансовый 3 5 2 2" xfId="505" xr:uid="{00000000-0005-0000-0000-0000E6040000}"/>
    <cellStyle name="Финансовый 3 5 2 2 2" xfId="1464" xr:uid="{00000000-0005-0000-0000-0000E7040000}"/>
    <cellStyle name="Финансовый 3 5 2 3" xfId="1208" xr:uid="{00000000-0005-0000-0000-0000E8040000}"/>
    <cellStyle name="Финансовый 3 5 2 4" xfId="1737" xr:uid="{00000000-0005-0000-0000-0000E9040000}"/>
    <cellStyle name="Финансовый 3 5 3" xfId="369" xr:uid="{00000000-0005-0000-0000-0000EA040000}"/>
    <cellStyle name="Финансовый 3 5 3 2" xfId="1336" xr:uid="{00000000-0005-0000-0000-0000EB040000}"/>
    <cellStyle name="Финансовый 3 5 4" xfId="703" xr:uid="{00000000-0005-0000-0000-0000EC040000}"/>
    <cellStyle name="Финансовый 3 5 4 2" xfId="1080" xr:uid="{00000000-0005-0000-0000-0000ED040000}"/>
    <cellStyle name="Финансовый 3 5 5" xfId="956" xr:uid="{00000000-0005-0000-0000-0000EE040000}"/>
    <cellStyle name="Финансовый 3 5 6" xfId="1601" xr:uid="{00000000-0005-0000-0000-0000EF040000}"/>
    <cellStyle name="Финансовый 3 5 7" xfId="828" xr:uid="{00000000-0005-0000-0000-0000F0040000}"/>
    <cellStyle name="Финансовый 3 6" xfId="109" xr:uid="{00000000-0005-0000-0000-0000F1040000}"/>
    <cellStyle name="Финансовый 3 6 2" xfId="245" xr:uid="{00000000-0005-0000-0000-0000F2040000}"/>
    <cellStyle name="Финансовый 3 6 2 2" xfId="517" xr:uid="{00000000-0005-0000-0000-0000F3040000}"/>
    <cellStyle name="Финансовый 3 6 2 2 2" xfId="1476" xr:uid="{00000000-0005-0000-0000-0000F4040000}"/>
    <cellStyle name="Финансовый 3 6 2 3" xfId="1220" xr:uid="{00000000-0005-0000-0000-0000F5040000}"/>
    <cellStyle name="Финансовый 3 6 2 4" xfId="1749" xr:uid="{00000000-0005-0000-0000-0000F6040000}"/>
    <cellStyle name="Финансовый 3 6 3" xfId="381" xr:uid="{00000000-0005-0000-0000-0000F7040000}"/>
    <cellStyle name="Финансовый 3 6 3 2" xfId="1348" xr:uid="{00000000-0005-0000-0000-0000F8040000}"/>
    <cellStyle name="Финансовый 3 6 4" xfId="704" xr:uid="{00000000-0005-0000-0000-0000F9040000}"/>
    <cellStyle name="Финансовый 3 6 4 2" xfId="1092" xr:uid="{00000000-0005-0000-0000-0000FA040000}"/>
    <cellStyle name="Финансовый 3 6 5" xfId="968" xr:uid="{00000000-0005-0000-0000-0000FB040000}"/>
    <cellStyle name="Финансовый 3 6 6" xfId="1613" xr:uid="{00000000-0005-0000-0000-0000FC040000}"/>
    <cellStyle name="Финансовый 3 6 7" xfId="840" xr:uid="{00000000-0005-0000-0000-0000FD040000}"/>
    <cellStyle name="Финансовый 3 7" xfId="74" xr:uid="{00000000-0005-0000-0000-0000FE040000}"/>
    <cellStyle name="Финансовый 3 7 2" xfId="210" xr:uid="{00000000-0005-0000-0000-0000FF040000}"/>
    <cellStyle name="Финансовый 3 7 2 2" xfId="482" xr:uid="{00000000-0005-0000-0000-000000050000}"/>
    <cellStyle name="Финансовый 3 7 2 2 2" xfId="1441" xr:uid="{00000000-0005-0000-0000-000001050000}"/>
    <cellStyle name="Финансовый 3 7 2 3" xfId="1185" xr:uid="{00000000-0005-0000-0000-000002050000}"/>
    <cellStyle name="Финансовый 3 7 2 4" xfId="1714" xr:uid="{00000000-0005-0000-0000-000003050000}"/>
    <cellStyle name="Финансовый 3 7 3" xfId="346" xr:uid="{00000000-0005-0000-0000-000004050000}"/>
    <cellStyle name="Финансовый 3 7 3 2" xfId="1313" xr:uid="{00000000-0005-0000-0000-000005050000}"/>
    <cellStyle name="Финансовый 3 7 4" xfId="705" xr:uid="{00000000-0005-0000-0000-000006050000}"/>
    <cellStyle name="Финансовый 3 7 4 2" xfId="1057" xr:uid="{00000000-0005-0000-0000-000007050000}"/>
    <cellStyle name="Финансовый 3 7 5" xfId="933" xr:uid="{00000000-0005-0000-0000-000008050000}"/>
    <cellStyle name="Финансовый 3 7 6" xfId="1578" xr:uid="{00000000-0005-0000-0000-000009050000}"/>
    <cellStyle name="Финансовый 3 7 7" xfId="805" xr:uid="{00000000-0005-0000-0000-00000A050000}"/>
    <cellStyle name="Финансовый 3 8" xfId="51" xr:uid="{00000000-0005-0000-0000-00000B050000}"/>
    <cellStyle name="Финансовый 3 8 2" xfId="189" xr:uid="{00000000-0005-0000-0000-00000C050000}"/>
    <cellStyle name="Финансовый 3 8 2 2" xfId="461" xr:uid="{00000000-0005-0000-0000-00000D050000}"/>
    <cellStyle name="Финансовый 3 8 2 2 2" xfId="1428" xr:uid="{00000000-0005-0000-0000-00000E050000}"/>
    <cellStyle name="Финансовый 3 8 2 3" xfId="1172" xr:uid="{00000000-0005-0000-0000-00000F050000}"/>
    <cellStyle name="Финансовый 3 8 2 4" xfId="1693" xr:uid="{00000000-0005-0000-0000-000010050000}"/>
    <cellStyle name="Финансовый 3 8 3" xfId="325" xr:uid="{00000000-0005-0000-0000-000011050000}"/>
    <cellStyle name="Финансовый 3 8 3 2" xfId="1300" xr:uid="{00000000-0005-0000-0000-000012050000}"/>
    <cellStyle name="Финансовый 3 8 4" xfId="595" xr:uid="{00000000-0005-0000-0000-000013050000}"/>
    <cellStyle name="Финансовый 3 8 4 2" xfId="1036" xr:uid="{00000000-0005-0000-0000-000014050000}"/>
    <cellStyle name="Финансовый 3 8 5" xfId="920" xr:uid="{00000000-0005-0000-0000-000015050000}"/>
    <cellStyle name="Финансовый 3 8 6" xfId="1556" xr:uid="{00000000-0005-0000-0000-000016050000}"/>
    <cellStyle name="Финансовый 3 8 7" xfId="783" xr:uid="{00000000-0005-0000-0000-000017050000}"/>
    <cellStyle name="Финансовый 3 9" xfId="129" xr:uid="{00000000-0005-0000-0000-000018050000}"/>
    <cellStyle name="Финансовый 3 9 2" xfId="265" xr:uid="{00000000-0005-0000-0000-000019050000}"/>
    <cellStyle name="Финансовый 3 9 2 2" xfId="537" xr:uid="{00000000-0005-0000-0000-00001A050000}"/>
    <cellStyle name="Финансовый 3 9 2 2 2" xfId="1496" xr:uid="{00000000-0005-0000-0000-00001B050000}"/>
    <cellStyle name="Финансовый 3 9 2 3" xfId="1240" xr:uid="{00000000-0005-0000-0000-00001C050000}"/>
    <cellStyle name="Финансовый 3 9 2 4" xfId="1769" xr:uid="{00000000-0005-0000-0000-00001D050000}"/>
    <cellStyle name="Финансовый 3 9 3" xfId="401" xr:uid="{00000000-0005-0000-0000-00001E050000}"/>
    <cellStyle name="Финансовый 3 9 3 2" xfId="1368" xr:uid="{00000000-0005-0000-0000-00001F050000}"/>
    <cellStyle name="Финансовый 3 9 4" xfId="598" xr:uid="{00000000-0005-0000-0000-000020050000}"/>
    <cellStyle name="Финансовый 3 9 4 2" xfId="1112" xr:uid="{00000000-0005-0000-0000-000021050000}"/>
    <cellStyle name="Финансовый 3 9 5" xfId="988" xr:uid="{00000000-0005-0000-0000-000022050000}"/>
    <cellStyle name="Финансовый 3 9 6" xfId="1633" xr:uid="{00000000-0005-0000-0000-000023050000}"/>
    <cellStyle name="Финансовый 3 9 7" xfId="860" xr:uid="{00000000-0005-0000-0000-000024050000}"/>
    <cellStyle name="Финансовый 30" xfId="795" xr:uid="{00000000-0005-0000-0000-000025050000}"/>
    <cellStyle name="Финансовый 4" xfId="5" xr:uid="{00000000-0005-0000-0000-000026050000}"/>
    <cellStyle name="Финансовый 4 10" xfId="29" xr:uid="{00000000-0005-0000-0000-000027050000}"/>
    <cellStyle name="Финансовый 4 10 2" xfId="167" xr:uid="{00000000-0005-0000-0000-000028050000}"/>
    <cellStyle name="Финансовый 4 10 2 2" xfId="439" xr:uid="{00000000-0005-0000-0000-000029050000}"/>
    <cellStyle name="Финансовый 4 10 2 2 2" xfId="1406" xr:uid="{00000000-0005-0000-0000-00002A050000}"/>
    <cellStyle name="Финансовый 4 10 2 3" xfId="1150" xr:uid="{00000000-0005-0000-0000-00002B050000}"/>
    <cellStyle name="Финансовый 4 10 2 4" xfId="1671" xr:uid="{00000000-0005-0000-0000-00002C050000}"/>
    <cellStyle name="Финансовый 4 10 3" xfId="303" xr:uid="{00000000-0005-0000-0000-00002D050000}"/>
    <cellStyle name="Финансовый 4 10 3 2" xfId="1278" xr:uid="{00000000-0005-0000-0000-00002E050000}"/>
    <cellStyle name="Финансовый 4 10 4" xfId="707" xr:uid="{00000000-0005-0000-0000-00002F050000}"/>
    <cellStyle name="Финансовый 4 10 4 2" xfId="1014" xr:uid="{00000000-0005-0000-0000-000030050000}"/>
    <cellStyle name="Финансовый 4 10 5" xfId="898" xr:uid="{00000000-0005-0000-0000-000031050000}"/>
    <cellStyle name="Финансовый 4 10 6" xfId="1534" xr:uid="{00000000-0005-0000-0000-000032050000}"/>
    <cellStyle name="Финансовый 4 10 7" xfId="761" xr:uid="{00000000-0005-0000-0000-000033050000}"/>
    <cellStyle name="Финансовый 4 11" xfId="17" xr:uid="{00000000-0005-0000-0000-000034050000}"/>
    <cellStyle name="Финансовый 4 11 2" xfId="155" xr:uid="{00000000-0005-0000-0000-000035050000}"/>
    <cellStyle name="Финансовый 4 11 2 2" xfId="427" xr:uid="{00000000-0005-0000-0000-000036050000}"/>
    <cellStyle name="Финансовый 4 11 2 2 2" xfId="1394" xr:uid="{00000000-0005-0000-0000-000037050000}"/>
    <cellStyle name="Финансовый 4 11 2 3" xfId="1138" xr:uid="{00000000-0005-0000-0000-000038050000}"/>
    <cellStyle name="Финансовый 4 11 2 4" xfId="1659" xr:uid="{00000000-0005-0000-0000-000039050000}"/>
    <cellStyle name="Финансовый 4 11 3" xfId="291" xr:uid="{00000000-0005-0000-0000-00003A050000}"/>
    <cellStyle name="Финансовый 4 11 3 2" xfId="1266" xr:uid="{00000000-0005-0000-0000-00003B050000}"/>
    <cellStyle name="Финансовый 4 11 4" xfId="708" xr:uid="{00000000-0005-0000-0000-00003C050000}"/>
    <cellStyle name="Финансовый 4 11 4 2" xfId="1002" xr:uid="{00000000-0005-0000-0000-00003D050000}"/>
    <cellStyle name="Финансовый 4 11 5" xfId="886" xr:uid="{00000000-0005-0000-0000-00003E050000}"/>
    <cellStyle name="Финансовый 4 11 6" xfId="1522" xr:uid="{00000000-0005-0000-0000-00003F050000}"/>
    <cellStyle name="Финансовый 4 11 7" xfId="749" xr:uid="{00000000-0005-0000-0000-000040050000}"/>
    <cellStyle name="Финансовый 4 12" xfId="143" xr:uid="{00000000-0005-0000-0000-000041050000}"/>
    <cellStyle name="Финансовый 4 12 2" xfId="415" xr:uid="{00000000-0005-0000-0000-000042050000}"/>
    <cellStyle name="Финансовый 4 12 2 2" xfId="1382" xr:uid="{00000000-0005-0000-0000-000043050000}"/>
    <cellStyle name="Финансовый 4 12 3" xfId="1126" xr:uid="{00000000-0005-0000-0000-000044050000}"/>
    <cellStyle name="Финансовый 4 12 4" xfId="1647" xr:uid="{00000000-0005-0000-0000-000045050000}"/>
    <cellStyle name="Финансовый 4 13" xfId="551" xr:uid="{00000000-0005-0000-0000-000046050000}"/>
    <cellStyle name="Финансовый 4 13 2" xfId="1254" xr:uid="{00000000-0005-0000-0000-000047050000}"/>
    <cellStyle name="Финансовый 4 14" xfId="279" xr:uid="{00000000-0005-0000-0000-000048050000}"/>
    <cellStyle name="Финансовый 4 15" xfId="706" xr:uid="{00000000-0005-0000-0000-000049050000}"/>
    <cellStyle name="Финансовый 4 15 2" xfId="874" xr:uid="{00000000-0005-0000-0000-00004A050000}"/>
    <cellStyle name="Финансовый 4 16" xfId="1510" xr:uid="{00000000-0005-0000-0000-00004B050000}"/>
    <cellStyle name="Финансовый 4 17" xfId="737" xr:uid="{00000000-0005-0000-0000-00004C050000}"/>
    <cellStyle name="Финансовый 4 2" xfId="11" xr:uid="{00000000-0005-0000-0000-00004D050000}"/>
    <cellStyle name="Финансовый 4 2 10" xfId="557" xr:uid="{00000000-0005-0000-0000-00004E050000}"/>
    <cellStyle name="Финансовый 4 2 10 2" xfId="1260" xr:uid="{00000000-0005-0000-0000-00004F050000}"/>
    <cellStyle name="Финансовый 4 2 11" xfId="285" xr:uid="{00000000-0005-0000-0000-000050050000}"/>
    <cellStyle name="Финансовый 4 2 12" xfId="709" xr:uid="{00000000-0005-0000-0000-000051050000}"/>
    <cellStyle name="Финансовый 4 2 12 2" xfId="880" xr:uid="{00000000-0005-0000-0000-000052050000}"/>
    <cellStyle name="Финансовый 4 2 13" xfId="1516" xr:uid="{00000000-0005-0000-0000-000053050000}"/>
    <cellStyle name="Финансовый 4 2 14" xfId="743" xr:uid="{00000000-0005-0000-0000-000054050000}"/>
    <cellStyle name="Финансовый 4 2 2" xfId="47" xr:uid="{00000000-0005-0000-0000-000055050000}"/>
    <cellStyle name="Финансовый 4 2 2 2" xfId="105" xr:uid="{00000000-0005-0000-0000-000056050000}"/>
    <cellStyle name="Финансовый 4 2 2 2 2" xfId="241" xr:uid="{00000000-0005-0000-0000-000057050000}"/>
    <cellStyle name="Финансовый 4 2 2 2 2 2" xfId="513" xr:uid="{00000000-0005-0000-0000-000058050000}"/>
    <cellStyle name="Финансовый 4 2 2 2 2 2 2" xfId="1472" xr:uid="{00000000-0005-0000-0000-000059050000}"/>
    <cellStyle name="Финансовый 4 2 2 2 2 3" xfId="1216" xr:uid="{00000000-0005-0000-0000-00005A050000}"/>
    <cellStyle name="Финансовый 4 2 2 2 2 4" xfId="1745" xr:uid="{00000000-0005-0000-0000-00005B050000}"/>
    <cellStyle name="Финансовый 4 2 2 2 3" xfId="377" xr:uid="{00000000-0005-0000-0000-00005C050000}"/>
    <cellStyle name="Финансовый 4 2 2 2 3 2" xfId="1344" xr:uid="{00000000-0005-0000-0000-00005D050000}"/>
    <cellStyle name="Финансовый 4 2 2 2 4" xfId="602" xr:uid="{00000000-0005-0000-0000-00005E050000}"/>
    <cellStyle name="Финансовый 4 2 2 2 4 2" xfId="1088" xr:uid="{00000000-0005-0000-0000-00005F050000}"/>
    <cellStyle name="Финансовый 4 2 2 2 5" xfId="964" xr:uid="{00000000-0005-0000-0000-000060050000}"/>
    <cellStyle name="Финансовый 4 2 2 2 6" xfId="1609" xr:uid="{00000000-0005-0000-0000-000061050000}"/>
    <cellStyle name="Финансовый 4 2 2 2 7" xfId="836" xr:uid="{00000000-0005-0000-0000-000062050000}"/>
    <cellStyle name="Финансовый 4 2 2 3" xfId="185" xr:uid="{00000000-0005-0000-0000-000063050000}"/>
    <cellStyle name="Финансовый 4 2 2 3 2" xfId="457" xr:uid="{00000000-0005-0000-0000-000064050000}"/>
    <cellStyle name="Финансовый 4 2 2 3 2 2" xfId="1424" xr:uid="{00000000-0005-0000-0000-000065050000}"/>
    <cellStyle name="Финансовый 4 2 2 3 3" xfId="1168" xr:uid="{00000000-0005-0000-0000-000066050000}"/>
    <cellStyle name="Финансовый 4 2 2 3 4" xfId="1689" xr:uid="{00000000-0005-0000-0000-000067050000}"/>
    <cellStyle name="Финансовый 4 2 2 4" xfId="321" xr:uid="{00000000-0005-0000-0000-000068050000}"/>
    <cellStyle name="Финансовый 4 2 2 4 2" xfId="1296" xr:uid="{00000000-0005-0000-0000-000069050000}"/>
    <cellStyle name="Финансовый 4 2 2 5" xfId="710" xr:uid="{00000000-0005-0000-0000-00006A050000}"/>
    <cellStyle name="Финансовый 4 2 2 5 2" xfId="1032" xr:uid="{00000000-0005-0000-0000-00006B050000}"/>
    <cellStyle name="Финансовый 4 2 2 6" xfId="916" xr:uid="{00000000-0005-0000-0000-00006C050000}"/>
    <cellStyle name="Финансовый 4 2 2 7" xfId="1552" xr:uid="{00000000-0005-0000-0000-00006D050000}"/>
    <cellStyle name="Финансовый 4 2 2 8" xfId="779" xr:uid="{00000000-0005-0000-0000-00006E050000}"/>
    <cellStyle name="Финансовый 4 2 3" xfId="117" xr:uid="{00000000-0005-0000-0000-00006F050000}"/>
    <cellStyle name="Финансовый 4 2 3 2" xfId="253" xr:uid="{00000000-0005-0000-0000-000070050000}"/>
    <cellStyle name="Финансовый 4 2 3 2 2" xfId="525" xr:uid="{00000000-0005-0000-0000-000071050000}"/>
    <cellStyle name="Финансовый 4 2 3 2 2 2" xfId="1484" xr:uid="{00000000-0005-0000-0000-000072050000}"/>
    <cellStyle name="Финансовый 4 2 3 2 3" xfId="1228" xr:uid="{00000000-0005-0000-0000-000073050000}"/>
    <cellStyle name="Финансовый 4 2 3 2 4" xfId="1757" xr:uid="{00000000-0005-0000-0000-000074050000}"/>
    <cellStyle name="Финансовый 4 2 3 3" xfId="389" xr:uid="{00000000-0005-0000-0000-000075050000}"/>
    <cellStyle name="Финансовый 4 2 3 3 2" xfId="1356" xr:uid="{00000000-0005-0000-0000-000076050000}"/>
    <cellStyle name="Финансовый 4 2 3 4" xfId="711" xr:uid="{00000000-0005-0000-0000-000077050000}"/>
    <cellStyle name="Финансовый 4 2 3 4 2" xfId="1100" xr:uid="{00000000-0005-0000-0000-000078050000}"/>
    <cellStyle name="Финансовый 4 2 3 5" xfId="976" xr:uid="{00000000-0005-0000-0000-000079050000}"/>
    <cellStyle name="Финансовый 4 2 3 6" xfId="1621" xr:uid="{00000000-0005-0000-0000-00007A050000}"/>
    <cellStyle name="Финансовый 4 2 3 7" xfId="848" xr:uid="{00000000-0005-0000-0000-00007B050000}"/>
    <cellStyle name="Финансовый 4 2 4" xfId="81" xr:uid="{00000000-0005-0000-0000-00007C050000}"/>
    <cellStyle name="Финансовый 4 2 4 2" xfId="217" xr:uid="{00000000-0005-0000-0000-00007D050000}"/>
    <cellStyle name="Финансовый 4 2 4 2 2" xfId="489" xr:uid="{00000000-0005-0000-0000-00007E050000}"/>
    <cellStyle name="Финансовый 4 2 4 2 2 2" xfId="1448" xr:uid="{00000000-0005-0000-0000-00007F050000}"/>
    <cellStyle name="Финансовый 4 2 4 2 3" xfId="1192" xr:uid="{00000000-0005-0000-0000-000080050000}"/>
    <cellStyle name="Финансовый 4 2 4 2 4" xfId="1721" xr:uid="{00000000-0005-0000-0000-000081050000}"/>
    <cellStyle name="Финансовый 4 2 4 3" xfId="353" xr:uid="{00000000-0005-0000-0000-000082050000}"/>
    <cellStyle name="Финансовый 4 2 4 3 2" xfId="1320" xr:uid="{00000000-0005-0000-0000-000083050000}"/>
    <cellStyle name="Финансовый 4 2 4 4" xfId="712" xr:uid="{00000000-0005-0000-0000-000084050000}"/>
    <cellStyle name="Финансовый 4 2 4 4 2" xfId="1064" xr:uid="{00000000-0005-0000-0000-000085050000}"/>
    <cellStyle name="Финансовый 4 2 4 5" xfId="940" xr:uid="{00000000-0005-0000-0000-000086050000}"/>
    <cellStyle name="Финансовый 4 2 4 6" xfId="1585" xr:uid="{00000000-0005-0000-0000-000087050000}"/>
    <cellStyle name="Финансовый 4 2 4 7" xfId="812" xr:uid="{00000000-0005-0000-0000-000088050000}"/>
    <cellStyle name="Финансовый 4 2 5" xfId="59" xr:uid="{00000000-0005-0000-0000-000089050000}"/>
    <cellStyle name="Финансовый 4 2 5 2" xfId="197" xr:uid="{00000000-0005-0000-0000-00008A050000}"/>
    <cellStyle name="Финансовый 4 2 5 2 2" xfId="469" xr:uid="{00000000-0005-0000-0000-00008B050000}"/>
    <cellStyle name="Финансовый 4 2 5 2 2 2" xfId="1436" xr:uid="{00000000-0005-0000-0000-00008C050000}"/>
    <cellStyle name="Финансовый 4 2 5 2 3" xfId="1180" xr:uid="{00000000-0005-0000-0000-00008D050000}"/>
    <cellStyle name="Финансовый 4 2 5 2 4" xfId="1701" xr:uid="{00000000-0005-0000-0000-00008E050000}"/>
    <cellStyle name="Финансовый 4 2 5 3" xfId="333" xr:uid="{00000000-0005-0000-0000-00008F050000}"/>
    <cellStyle name="Финансовый 4 2 5 3 2" xfId="1308" xr:uid="{00000000-0005-0000-0000-000090050000}"/>
    <cellStyle name="Финансовый 4 2 5 4" xfId="713" xr:uid="{00000000-0005-0000-0000-000091050000}"/>
    <cellStyle name="Финансовый 4 2 5 4 2" xfId="1044" xr:uid="{00000000-0005-0000-0000-000092050000}"/>
    <cellStyle name="Финансовый 4 2 5 5" xfId="928" xr:uid="{00000000-0005-0000-0000-000093050000}"/>
    <cellStyle name="Финансовый 4 2 5 6" xfId="1564" xr:uid="{00000000-0005-0000-0000-000094050000}"/>
    <cellStyle name="Финансовый 4 2 5 7" xfId="791" xr:uid="{00000000-0005-0000-0000-000095050000}"/>
    <cellStyle name="Финансовый 4 2 6" xfId="137" xr:uid="{00000000-0005-0000-0000-000096050000}"/>
    <cellStyle name="Финансовый 4 2 6 2" xfId="273" xr:uid="{00000000-0005-0000-0000-000097050000}"/>
    <cellStyle name="Финансовый 4 2 6 2 2" xfId="545" xr:uid="{00000000-0005-0000-0000-000098050000}"/>
    <cellStyle name="Финансовый 4 2 6 2 2 2" xfId="1504" xr:uid="{00000000-0005-0000-0000-000099050000}"/>
    <cellStyle name="Финансовый 4 2 6 2 3" xfId="1248" xr:uid="{00000000-0005-0000-0000-00009A050000}"/>
    <cellStyle name="Финансовый 4 2 6 2 4" xfId="1777" xr:uid="{00000000-0005-0000-0000-00009B050000}"/>
    <cellStyle name="Финансовый 4 2 6 3" xfId="409" xr:uid="{00000000-0005-0000-0000-00009C050000}"/>
    <cellStyle name="Финансовый 4 2 6 3 2" xfId="1376" xr:uid="{00000000-0005-0000-0000-00009D050000}"/>
    <cellStyle name="Финансовый 4 2 6 4" xfId="628" xr:uid="{00000000-0005-0000-0000-00009E050000}"/>
    <cellStyle name="Финансовый 4 2 6 4 2" xfId="1120" xr:uid="{00000000-0005-0000-0000-00009F050000}"/>
    <cellStyle name="Финансовый 4 2 6 5" xfId="996" xr:uid="{00000000-0005-0000-0000-0000A0050000}"/>
    <cellStyle name="Финансовый 4 2 6 6" xfId="1641" xr:uid="{00000000-0005-0000-0000-0000A1050000}"/>
    <cellStyle name="Финансовый 4 2 6 7" xfId="868" xr:uid="{00000000-0005-0000-0000-0000A2050000}"/>
    <cellStyle name="Финансовый 4 2 7" xfId="35" xr:uid="{00000000-0005-0000-0000-0000A3050000}"/>
    <cellStyle name="Финансовый 4 2 7 2" xfId="173" xr:uid="{00000000-0005-0000-0000-0000A4050000}"/>
    <cellStyle name="Финансовый 4 2 7 2 2" xfId="445" xr:uid="{00000000-0005-0000-0000-0000A5050000}"/>
    <cellStyle name="Финансовый 4 2 7 2 2 2" xfId="1412" xr:uid="{00000000-0005-0000-0000-0000A6050000}"/>
    <cellStyle name="Финансовый 4 2 7 2 3" xfId="1156" xr:uid="{00000000-0005-0000-0000-0000A7050000}"/>
    <cellStyle name="Финансовый 4 2 7 2 4" xfId="1677" xr:uid="{00000000-0005-0000-0000-0000A8050000}"/>
    <cellStyle name="Финансовый 4 2 7 3" xfId="309" xr:uid="{00000000-0005-0000-0000-0000A9050000}"/>
    <cellStyle name="Финансовый 4 2 7 3 2" xfId="1284" xr:uid="{00000000-0005-0000-0000-0000AA050000}"/>
    <cellStyle name="Финансовый 4 2 7 4" xfId="651" xr:uid="{00000000-0005-0000-0000-0000AB050000}"/>
    <cellStyle name="Финансовый 4 2 7 4 2" xfId="1020" xr:uid="{00000000-0005-0000-0000-0000AC050000}"/>
    <cellStyle name="Финансовый 4 2 7 5" xfId="904" xr:uid="{00000000-0005-0000-0000-0000AD050000}"/>
    <cellStyle name="Финансовый 4 2 7 6" xfId="1540" xr:uid="{00000000-0005-0000-0000-0000AE050000}"/>
    <cellStyle name="Финансовый 4 2 7 7" xfId="767" xr:uid="{00000000-0005-0000-0000-0000AF050000}"/>
    <cellStyle name="Финансовый 4 2 8" xfId="23" xr:uid="{00000000-0005-0000-0000-0000B0050000}"/>
    <cellStyle name="Финансовый 4 2 8 2" xfId="161" xr:uid="{00000000-0005-0000-0000-0000B1050000}"/>
    <cellStyle name="Финансовый 4 2 8 2 2" xfId="433" xr:uid="{00000000-0005-0000-0000-0000B2050000}"/>
    <cellStyle name="Финансовый 4 2 8 2 2 2" xfId="1400" xr:uid="{00000000-0005-0000-0000-0000B3050000}"/>
    <cellStyle name="Финансовый 4 2 8 2 3" xfId="1144" xr:uid="{00000000-0005-0000-0000-0000B4050000}"/>
    <cellStyle name="Финансовый 4 2 8 2 4" xfId="1665" xr:uid="{00000000-0005-0000-0000-0000B5050000}"/>
    <cellStyle name="Финансовый 4 2 8 3" xfId="297" xr:uid="{00000000-0005-0000-0000-0000B6050000}"/>
    <cellStyle name="Финансовый 4 2 8 3 2" xfId="1272" xr:uid="{00000000-0005-0000-0000-0000B7050000}"/>
    <cellStyle name="Финансовый 4 2 8 4" xfId="671" xr:uid="{00000000-0005-0000-0000-0000B8050000}"/>
    <cellStyle name="Финансовый 4 2 8 4 2" xfId="1008" xr:uid="{00000000-0005-0000-0000-0000B9050000}"/>
    <cellStyle name="Финансовый 4 2 8 5" xfId="892" xr:uid="{00000000-0005-0000-0000-0000BA050000}"/>
    <cellStyle name="Финансовый 4 2 8 6" xfId="1528" xr:uid="{00000000-0005-0000-0000-0000BB050000}"/>
    <cellStyle name="Финансовый 4 2 8 7" xfId="755" xr:uid="{00000000-0005-0000-0000-0000BC050000}"/>
    <cellStyle name="Финансовый 4 2 9" xfId="149" xr:uid="{00000000-0005-0000-0000-0000BD050000}"/>
    <cellStyle name="Финансовый 4 2 9 2" xfId="421" xr:uid="{00000000-0005-0000-0000-0000BE050000}"/>
    <cellStyle name="Финансовый 4 2 9 2 2" xfId="1388" xr:uid="{00000000-0005-0000-0000-0000BF050000}"/>
    <cellStyle name="Финансовый 4 2 9 3" xfId="1132" xr:uid="{00000000-0005-0000-0000-0000C0050000}"/>
    <cellStyle name="Финансовый 4 2 9 4" xfId="1653" xr:uid="{00000000-0005-0000-0000-0000C1050000}"/>
    <cellStyle name="Финансовый 4 3" xfId="41" xr:uid="{00000000-0005-0000-0000-0000C2050000}"/>
    <cellStyle name="Финансовый 4 3 2" xfId="123" xr:uid="{00000000-0005-0000-0000-0000C3050000}"/>
    <cellStyle name="Финансовый 4 3 2 2" xfId="259" xr:uid="{00000000-0005-0000-0000-0000C4050000}"/>
    <cellStyle name="Финансовый 4 3 2 2 2" xfId="531" xr:uid="{00000000-0005-0000-0000-0000C5050000}"/>
    <cellStyle name="Финансовый 4 3 2 2 2 2" xfId="1490" xr:uid="{00000000-0005-0000-0000-0000C6050000}"/>
    <cellStyle name="Финансовый 4 3 2 2 3" xfId="1234" xr:uid="{00000000-0005-0000-0000-0000C7050000}"/>
    <cellStyle name="Финансовый 4 3 2 2 4" xfId="1763" xr:uid="{00000000-0005-0000-0000-0000C8050000}"/>
    <cellStyle name="Финансовый 4 3 2 3" xfId="395" xr:uid="{00000000-0005-0000-0000-0000C9050000}"/>
    <cellStyle name="Финансовый 4 3 2 3 2" xfId="1362" xr:uid="{00000000-0005-0000-0000-0000CA050000}"/>
    <cellStyle name="Финансовый 4 3 2 4" xfId="714" xr:uid="{00000000-0005-0000-0000-0000CB050000}"/>
    <cellStyle name="Финансовый 4 3 2 4 2" xfId="1106" xr:uid="{00000000-0005-0000-0000-0000CC050000}"/>
    <cellStyle name="Финансовый 4 3 2 5" xfId="982" xr:uid="{00000000-0005-0000-0000-0000CD050000}"/>
    <cellStyle name="Финансовый 4 3 2 6" xfId="1627" xr:uid="{00000000-0005-0000-0000-0000CE050000}"/>
    <cellStyle name="Финансовый 4 3 2 7" xfId="854" xr:uid="{00000000-0005-0000-0000-0000CF050000}"/>
    <cellStyle name="Финансовый 4 3 3" xfId="87" xr:uid="{00000000-0005-0000-0000-0000D0050000}"/>
    <cellStyle name="Финансовый 4 3 3 2" xfId="223" xr:uid="{00000000-0005-0000-0000-0000D1050000}"/>
    <cellStyle name="Финансовый 4 3 3 2 2" xfId="495" xr:uid="{00000000-0005-0000-0000-0000D2050000}"/>
    <cellStyle name="Финансовый 4 3 3 2 2 2" xfId="1454" xr:uid="{00000000-0005-0000-0000-0000D3050000}"/>
    <cellStyle name="Финансовый 4 3 3 2 3" xfId="1198" xr:uid="{00000000-0005-0000-0000-0000D4050000}"/>
    <cellStyle name="Финансовый 4 3 3 2 4" xfId="1727" xr:uid="{00000000-0005-0000-0000-0000D5050000}"/>
    <cellStyle name="Финансовый 4 3 3 3" xfId="359" xr:uid="{00000000-0005-0000-0000-0000D6050000}"/>
    <cellStyle name="Финансовый 4 3 3 3 2" xfId="1326" xr:uid="{00000000-0005-0000-0000-0000D7050000}"/>
    <cellStyle name="Финансовый 4 3 3 4" xfId="715" xr:uid="{00000000-0005-0000-0000-0000D8050000}"/>
    <cellStyle name="Финансовый 4 3 3 4 2" xfId="1070" xr:uid="{00000000-0005-0000-0000-0000D9050000}"/>
    <cellStyle name="Финансовый 4 3 3 5" xfId="946" xr:uid="{00000000-0005-0000-0000-0000DA050000}"/>
    <cellStyle name="Финансовый 4 3 3 6" xfId="1591" xr:uid="{00000000-0005-0000-0000-0000DB050000}"/>
    <cellStyle name="Финансовый 4 3 3 7" xfId="818" xr:uid="{00000000-0005-0000-0000-0000DC050000}"/>
    <cellStyle name="Финансовый 4 3 4" xfId="179" xr:uid="{00000000-0005-0000-0000-0000DD050000}"/>
    <cellStyle name="Финансовый 4 3 4 2" xfId="451" xr:uid="{00000000-0005-0000-0000-0000DE050000}"/>
    <cellStyle name="Финансовый 4 3 4 2 2" xfId="1418" xr:uid="{00000000-0005-0000-0000-0000DF050000}"/>
    <cellStyle name="Финансовый 4 3 4 3" xfId="1162" xr:uid="{00000000-0005-0000-0000-0000E0050000}"/>
    <cellStyle name="Финансовый 4 3 4 4" xfId="1683" xr:uid="{00000000-0005-0000-0000-0000E1050000}"/>
    <cellStyle name="Финансовый 4 3 5" xfId="315" xr:uid="{00000000-0005-0000-0000-0000E2050000}"/>
    <cellStyle name="Финансовый 4 3 5 2" xfId="1290" xr:uid="{00000000-0005-0000-0000-0000E3050000}"/>
    <cellStyle name="Финансовый 4 3 6" xfId="607" xr:uid="{00000000-0005-0000-0000-0000E4050000}"/>
    <cellStyle name="Финансовый 4 3 6 2" xfId="1026" xr:uid="{00000000-0005-0000-0000-0000E5050000}"/>
    <cellStyle name="Финансовый 4 3 7" xfId="910" xr:uid="{00000000-0005-0000-0000-0000E6050000}"/>
    <cellStyle name="Финансовый 4 3 8" xfId="1546" xr:uid="{00000000-0005-0000-0000-0000E7050000}"/>
    <cellStyle name="Финансовый 4 3 9" xfId="773" xr:uid="{00000000-0005-0000-0000-0000E8050000}"/>
    <cellStyle name="Финансовый 4 4" xfId="93" xr:uid="{00000000-0005-0000-0000-0000E9050000}"/>
    <cellStyle name="Финансовый 4 4 2" xfId="229" xr:uid="{00000000-0005-0000-0000-0000EA050000}"/>
    <cellStyle name="Финансовый 4 4 2 2" xfId="501" xr:uid="{00000000-0005-0000-0000-0000EB050000}"/>
    <cellStyle name="Финансовый 4 4 2 2 2" xfId="1460" xr:uid="{00000000-0005-0000-0000-0000EC050000}"/>
    <cellStyle name="Финансовый 4 4 2 3" xfId="1204" xr:uid="{00000000-0005-0000-0000-0000ED050000}"/>
    <cellStyle name="Финансовый 4 4 2 4" xfId="1733" xr:uid="{00000000-0005-0000-0000-0000EE050000}"/>
    <cellStyle name="Финансовый 4 4 3" xfId="365" xr:uid="{00000000-0005-0000-0000-0000EF050000}"/>
    <cellStyle name="Финансовый 4 4 3 2" xfId="1332" xr:uid="{00000000-0005-0000-0000-0000F0050000}"/>
    <cellStyle name="Финансовый 4 4 4" xfId="716" xr:uid="{00000000-0005-0000-0000-0000F1050000}"/>
    <cellStyle name="Финансовый 4 4 4 2" xfId="1076" xr:uid="{00000000-0005-0000-0000-0000F2050000}"/>
    <cellStyle name="Финансовый 4 4 5" xfId="952" xr:uid="{00000000-0005-0000-0000-0000F3050000}"/>
    <cellStyle name="Финансовый 4 4 6" xfId="1597" xr:uid="{00000000-0005-0000-0000-0000F4050000}"/>
    <cellStyle name="Финансовый 4 4 7" xfId="824" xr:uid="{00000000-0005-0000-0000-0000F5050000}"/>
    <cellStyle name="Финансовый 4 5" xfId="99" xr:uid="{00000000-0005-0000-0000-0000F6050000}"/>
    <cellStyle name="Финансовый 4 5 2" xfId="235" xr:uid="{00000000-0005-0000-0000-0000F7050000}"/>
    <cellStyle name="Финансовый 4 5 2 2" xfId="507" xr:uid="{00000000-0005-0000-0000-0000F8050000}"/>
    <cellStyle name="Финансовый 4 5 2 2 2" xfId="1466" xr:uid="{00000000-0005-0000-0000-0000F9050000}"/>
    <cellStyle name="Финансовый 4 5 2 3" xfId="1210" xr:uid="{00000000-0005-0000-0000-0000FA050000}"/>
    <cellStyle name="Финансовый 4 5 2 4" xfId="1739" xr:uid="{00000000-0005-0000-0000-0000FB050000}"/>
    <cellStyle name="Финансовый 4 5 3" xfId="371" xr:uid="{00000000-0005-0000-0000-0000FC050000}"/>
    <cellStyle name="Финансовый 4 5 3 2" xfId="1338" xr:uid="{00000000-0005-0000-0000-0000FD050000}"/>
    <cellStyle name="Финансовый 4 5 4" xfId="717" xr:uid="{00000000-0005-0000-0000-0000FE050000}"/>
    <cellStyle name="Финансовый 4 5 4 2" xfId="1082" xr:uid="{00000000-0005-0000-0000-0000FF050000}"/>
    <cellStyle name="Финансовый 4 5 5" xfId="958" xr:uid="{00000000-0005-0000-0000-000000060000}"/>
    <cellStyle name="Финансовый 4 5 6" xfId="1603" xr:uid="{00000000-0005-0000-0000-000001060000}"/>
    <cellStyle name="Финансовый 4 5 7" xfId="830" xr:uid="{00000000-0005-0000-0000-000002060000}"/>
    <cellStyle name="Финансовый 4 6" xfId="111" xr:uid="{00000000-0005-0000-0000-000003060000}"/>
    <cellStyle name="Финансовый 4 6 2" xfId="247" xr:uid="{00000000-0005-0000-0000-000004060000}"/>
    <cellStyle name="Финансовый 4 6 2 2" xfId="519" xr:uid="{00000000-0005-0000-0000-000005060000}"/>
    <cellStyle name="Финансовый 4 6 2 2 2" xfId="1478" xr:uid="{00000000-0005-0000-0000-000006060000}"/>
    <cellStyle name="Финансовый 4 6 2 3" xfId="1222" xr:uid="{00000000-0005-0000-0000-000007060000}"/>
    <cellStyle name="Финансовый 4 6 2 4" xfId="1751" xr:uid="{00000000-0005-0000-0000-000008060000}"/>
    <cellStyle name="Финансовый 4 6 3" xfId="383" xr:uid="{00000000-0005-0000-0000-000009060000}"/>
    <cellStyle name="Финансовый 4 6 3 2" xfId="1350" xr:uid="{00000000-0005-0000-0000-00000A060000}"/>
    <cellStyle name="Финансовый 4 6 4" xfId="653" xr:uid="{00000000-0005-0000-0000-00000B060000}"/>
    <cellStyle name="Финансовый 4 6 4 2" xfId="1094" xr:uid="{00000000-0005-0000-0000-00000C060000}"/>
    <cellStyle name="Финансовый 4 6 5" xfId="970" xr:uid="{00000000-0005-0000-0000-00000D060000}"/>
    <cellStyle name="Финансовый 4 6 6" xfId="1615" xr:uid="{00000000-0005-0000-0000-00000E060000}"/>
    <cellStyle name="Финансовый 4 6 7" xfId="842" xr:uid="{00000000-0005-0000-0000-00000F060000}"/>
    <cellStyle name="Финансовый 4 7" xfId="75" xr:uid="{00000000-0005-0000-0000-000010060000}"/>
    <cellStyle name="Финансовый 4 7 2" xfId="211" xr:uid="{00000000-0005-0000-0000-000011060000}"/>
    <cellStyle name="Финансовый 4 7 2 2" xfId="483" xr:uid="{00000000-0005-0000-0000-000012060000}"/>
    <cellStyle name="Финансовый 4 7 2 2 2" xfId="1442" xr:uid="{00000000-0005-0000-0000-000013060000}"/>
    <cellStyle name="Финансовый 4 7 2 3" xfId="1186" xr:uid="{00000000-0005-0000-0000-000014060000}"/>
    <cellStyle name="Финансовый 4 7 2 4" xfId="1715" xr:uid="{00000000-0005-0000-0000-000015060000}"/>
    <cellStyle name="Финансовый 4 7 3" xfId="347" xr:uid="{00000000-0005-0000-0000-000016060000}"/>
    <cellStyle name="Финансовый 4 7 3 2" xfId="1314" xr:uid="{00000000-0005-0000-0000-000017060000}"/>
    <cellStyle name="Финансовый 4 7 4" xfId="621" xr:uid="{00000000-0005-0000-0000-000018060000}"/>
    <cellStyle name="Финансовый 4 7 4 2" xfId="1058" xr:uid="{00000000-0005-0000-0000-000019060000}"/>
    <cellStyle name="Финансовый 4 7 5" xfId="934" xr:uid="{00000000-0005-0000-0000-00001A060000}"/>
    <cellStyle name="Финансовый 4 7 6" xfId="1579" xr:uid="{00000000-0005-0000-0000-00001B060000}"/>
    <cellStyle name="Финансовый 4 7 7" xfId="806" xr:uid="{00000000-0005-0000-0000-00001C060000}"/>
    <cellStyle name="Финансовый 4 8" xfId="53" xr:uid="{00000000-0005-0000-0000-00001D060000}"/>
    <cellStyle name="Финансовый 4 8 2" xfId="191" xr:uid="{00000000-0005-0000-0000-00001E060000}"/>
    <cellStyle name="Финансовый 4 8 2 2" xfId="463" xr:uid="{00000000-0005-0000-0000-00001F060000}"/>
    <cellStyle name="Финансовый 4 8 2 2 2" xfId="1430" xr:uid="{00000000-0005-0000-0000-000020060000}"/>
    <cellStyle name="Финансовый 4 8 2 3" xfId="1174" xr:uid="{00000000-0005-0000-0000-000021060000}"/>
    <cellStyle name="Финансовый 4 8 2 4" xfId="1695" xr:uid="{00000000-0005-0000-0000-000022060000}"/>
    <cellStyle name="Финансовый 4 8 3" xfId="327" xr:uid="{00000000-0005-0000-0000-000023060000}"/>
    <cellStyle name="Финансовый 4 8 3 2" xfId="1302" xr:uid="{00000000-0005-0000-0000-000024060000}"/>
    <cellStyle name="Финансовый 4 8 4" xfId="608" xr:uid="{00000000-0005-0000-0000-000025060000}"/>
    <cellStyle name="Финансовый 4 8 4 2" xfId="1038" xr:uid="{00000000-0005-0000-0000-000026060000}"/>
    <cellStyle name="Финансовый 4 8 5" xfId="922" xr:uid="{00000000-0005-0000-0000-000027060000}"/>
    <cellStyle name="Финансовый 4 8 6" xfId="1558" xr:uid="{00000000-0005-0000-0000-000028060000}"/>
    <cellStyle name="Финансовый 4 8 7" xfId="785" xr:uid="{00000000-0005-0000-0000-000029060000}"/>
    <cellStyle name="Финансовый 4 9" xfId="131" xr:uid="{00000000-0005-0000-0000-00002A060000}"/>
    <cellStyle name="Финансовый 4 9 2" xfId="267" xr:uid="{00000000-0005-0000-0000-00002B060000}"/>
    <cellStyle name="Финансовый 4 9 2 2" xfId="539" xr:uid="{00000000-0005-0000-0000-00002C060000}"/>
    <cellStyle name="Финансовый 4 9 2 2 2" xfId="1498" xr:uid="{00000000-0005-0000-0000-00002D060000}"/>
    <cellStyle name="Финансовый 4 9 2 3" xfId="1242" xr:uid="{00000000-0005-0000-0000-00002E060000}"/>
    <cellStyle name="Финансовый 4 9 2 4" xfId="1771" xr:uid="{00000000-0005-0000-0000-00002F060000}"/>
    <cellStyle name="Финансовый 4 9 3" xfId="403" xr:uid="{00000000-0005-0000-0000-000030060000}"/>
    <cellStyle name="Финансовый 4 9 3 2" xfId="1370" xr:uid="{00000000-0005-0000-0000-000031060000}"/>
    <cellStyle name="Финансовый 4 9 4" xfId="624" xr:uid="{00000000-0005-0000-0000-000032060000}"/>
    <cellStyle name="Финансовый 4 9 4 2" xfId="1114" xr:uid="{00000000-0005-0000-0000-000033060000}"/>
    <cellStyle name="Финансовый 4 9 5" xfId="990" xr:uid="{00000000-0005-0000-0000-000034060000}"/>
    <cellStyle name="Финансовый 4 9 6" xfId="1635" xr:uid="{00000000-0005-0000-0000-000035060000}"/>
    <cellStyle name="Финансовый 4 9 7" xfId="862" xr:uid="{00000000-0005-0000-0000-000036060000}"/>
    <cellStyle name="Финансовый 5" xfId="7" xr:uid="{00000000-0005-0000-0000-000037060000}"/>
    <cellStyle name="Финансовый 5 10" xfId="553" xr:uid="{00000000-0005-0000-0000-000038060000}"/>
    <cellStyle name="Финансовый 5 10 2" xfId="1256" xr:uid="{00000000-0005-0000-0000-000039060000}"/>
    <cellStyle name="Финансовый 5 11" xfId="281" xr:uid="{00000000-0005-0000-0000-00003A060000}"/>
    <cellStyle name="Финансовый 5 12" xfId="718" xr:uid="{00000000-0005-0000-0000-00003B060000}"/>
    <cellStyle name="Финансовый 5 12 2" xfId="876" xr:uid="{00000000-0005-0000-0000-00003C060000}"/>
    <cellStyle name="Финансовый 5 13" xfId="1512" xr:uid="{00000000-0005-0000-0000-00003D060000}"/>
    <cellStyle name="Финансовый 5 14" xfId="739" xr:uid="{00000000-0005-0000-0000-00003E060000}"/>
    <cellStyle name="Финансовый 5 2" xfId="43" xr:uid="{00000000-0005-0000-0000-00003F060000}"/>
    <cellStyle name="Финансовый 5 2 2" xfId="101" xr:uid="{00000000-0005-0000-0000-000040060000}"/>
    <cellStyle name="Финансовый 5 2 2 2" xfId="237" xr:uid="{00000000-0005-0000-0000-000041060000}"/>
    <cellStyle name="Финансовый 5 2 2 2 2" xfId="509" xr:uid="{00000000-0005-0000-0000-000042060000}"/>
    <cellStyle name="Финансовый 5 2 2 2 2 2" xfId="1468" xr:uid="{00000000-0005-0000-0000-000043060000}"/>
    <cellStyle name="Финансовый 5 2 2 2 3" xfId="1212" xr:uid="{00000000-0005-0000-0000-000044060000}"/>
    <cellStyle name="Финансовый 5 2 2 2 4" xfId="1741" xr:uid="{00000000-0005-0000-0000-000045060000}"/>
    <cellStyle name="Финансовый 5 2 2 3" xfId="373" xr:uid="{00000000-0005-0000-0000-000046060000}"/>
    <cellStyle name="Финансовый 5 2 2 3 2" xfId="1340" xr:uid="{00000000-0005-0000-0000-000047060000}"/>
    <cellStyle name="Финансовый 5 2 2 4" xfId="720" xr:uid="{00000000-0005-0000-0000-000048060000}"/>
    <cellStyle name="Финансовый 5 2 2 4 2" xfId="1084" xr:uid="{00000000-0005-0000-0000-000049060000}"/>
    <cellStyle name="Финансовый 5 2 2 5" xfId="960" xr:uid="{00000000-0005-0000-0000-00004A060000}"/>
    <cellStyle name="Финансовый 5 2 2 6" xfId="1605" xr:uid="{00000000-0005-0000-0000-00004B060000}"/>
    <cellStyle name="Финансовый 5 2 2 7" xfId="832" xr:uid="{00000000-0005-0000-0000-00004C060000}"/>
    <cellStyle name="Финансовый 5 2 3" xfId="181" xr:uid="{00000000-0005-0000-0000-00004D060000}"/>
    <cellStyle name="Финансовый 5 2 3 2" xfId="453" xr:uid="{00000000-0005-0000-0000-00004E060000}"/>
    <cellStyle name="Финансовый 5 2 3 2 2" xfId="1420" xr:uid="{00000000-0005-0000-0000-00004F060000}"/>
    <cellStyle name="Финансовый 5 2 3 3" xfId="1164" xr:uid="{00000000-0005-0000-0000-000050060000}"/>
    <cellStyle name="Финансовый 5 2 3 4" xfId="1685" xr:uid="{00000000-0005-0000-0000-000051060000}"/>
    <cellStyle name="Финансовый 5 2 4" xfId="317" xr:uid="{00000000-0005-0000-0000-000052060000}"/>
    <cellStyle name="Финансовый 5 2 4 2" xfId="1292" xr:uid="{00000000-0005-0000-0000-000053060000}"/>
    <cellStyle name="Финансовый 5 2 5" xfId="719" xr:uid="{00000000-0005-0000-0000-000054060000}"/>
    <cellStyle name="Финансовый 5 2 5 2" xfId="1028" xr:uid="{00000000-0005-0000-0000-000055060000}"/>
    <cellStyle name="Финансовый 5 2 6" xfId="912" xr:uid="{00000000-0005-0000-0000-000056060000}"/>
    <cellStyle name="Финансовый 5 2 7" xfId="1548" xr:uid="{00000000-0005-0000-0000-000057060000}"/>
    <cellStyle name="Финансовый 5 2 8" xfId="775" xr:uid="{00000000-0005-0000-0000-000058060000}"/>
    <cellStyle name="Финансовый 5 3" xfId="113" xr:uid="{00000000-0005-0000-0000-000059060000}"/>
    <cellStyle name="Финансовый 5 3 2" xfId="249" xr:uid="{00000000-0005-0000-0000-00005A060000}"/>
    <cellStyle name="Финансовый 5 3 2 2" xfId="521" xr:uid="{00000000-0005-0000-0000-00005B060000}"/>
    <cellStyle name="Финансовый 5 3 2 2 2" xfId="1480" xr:uid="{00000000-0005-0000-0000-00005C060000}"/>
    <cellStyle name="Финансовый 5 3 2 3" xfId="1224" xr:uid="{00000000-0005-0000-0000-00005D060000}"/>
    <cellStyle name="Финансовый 5 3 2 4" xfId="1753" xr:uid="{00000000-0005-0000-0000-00005E060000}"/>
    <cellStyle name="Финансовый 5 3 3" xfId="385" xr:uid="{00000000-0005-0000-0000-00005F060000}"/>
    <cellStyle name="Финансовый 5 3 3 2" xfId="1352" xr:uid="{00000000-0005-0000-0000-000060060000}"/>
    <cellStyle name="Финансовый 5 3 4" xfId="721" xr:uid="{00000000-0005-0000-0000-000061060000}"/>
    <cellStyle name="Финансовый 5 3 4 2" xfId="1096" xr:uid="{00000000-0005-0000-0000-000062060000}"/>
    <cellStyle name="Финансовый 5 3 5" xfId="972" xr:uid="{00000000-0005-0000-0000-000063060000}"/>
    <cellStyle name="Финансовый 5 3 6" xfId="1617" xr:uid="{00000000-0005-0000-0000-000064060000}"/>
    <cellStyle name="Финансовый 5 3 7" xfId="844" xr:uid="{00000000-0005-0000-0000-000065060000}"/>
    <cellStyle name="Финансовый 5 4" xfId="77" xr:uid="{00000000-0005-0000-0000-000066060000}"/>
    <cellStyle name="Финансовый 5 4 2" xfId="213" xr:uid="{00000000-0005-0000-0000-000067060000}"/>
    <cellStyle name="Финансовый 5 4 2 2" xfId="485" xr:uid="{00000000-0005-0000-0000-000068060000}"/>
    <cellStyle name="Финансовый 5 4 2 2 2" xfId="1444" xr:uid="{00000000-0005-0000-0000-000069060000}"/>
    <cellStyle name="Финансовый 5 4 2 3" xfId="1188" xr:uid="{00000000-0005-0000-0000-00006A060000}"/>
    <cellStyle name="Финансовый 5 4 2 4" xfId="1717" xr:uid="{00000000-0005-0000-0000-00006B060000}"/>
    <cellStyle name="Финансовый 5 4 3" xfId="349" xr:uid="{00000000-0005-0000-0000-00006C060000}"/>
    <cellStyle name="Финансовый 5 4 3 2" xfId="1316" xr:uid="{00000000-0005-0000-0000-00006D060000}"/>
    <cellStyle name="Финансовый 5 4 4" xfId="722" xr:uid="{00000000-0005-0000-0000-00006E060000}"/>
    <cellStyle name="Финансовый 5 4 4 2" xfId="1060" xr:uid="{00000000-0005-0000-0000-00006F060000}"/>
    <cellStyle name="Финансовый 5 4 5" xfId="936" xr:uid="{00000000-0005-0000-0000-000070060000}"/>
    <cellStyle name="Финансовый 5 4 6" xfId="1581" xr:uid="{00000000-0005-0000-0000-000071060000}"/>
    <cellStyle name="Финансовый 5 4 7" xfId="808" xr:uid="{00000000-0005-0000-0000-000072060000}"/>
    <cellStyle name="Финансовый 5 5" xfId="55" xr:uid="{00000000-0005-0000-0000-000073060000}"/>
    <cellStyle name="Финансовый 5 5 2" xfId="193" xr:uid="{00000000-0005-0000-0000-000074060000}"/>
    <cellStyle name="Финансовый 5 5 2 2" xfId="465" xr:uid="{00000000-0005-0000-0000-000075060000}"/>
    <cellStyle name="Финансовый 5 5 2 2 2" xfId="1432" xr:uid="{00000000-0005-0000-0000-000076060000}"/>
    <cellStyle name="Финансовый 5 5 2 3" xfId="1176" xr:uid="{00000000-0005-0000-0000-000077060000}"/>
    <cellStyle name="Финансовый 5 5 2 4" xfId="1697" xr:uid="{00000000-0005-0000-0000-000078060000}"/>
    <cellStyle name="Финансовый 5 5 3" xfId="329" xr:uid="{00000000-0005-0000-0000-000079060000}"/>
    <cellStyle name="Финансовый 5 5 3 2" xfId="1304" xr:uid="{00000000-0005-0000-0000-00007A060000}"/>
    <cellStyle name="Финансовый 5 5 4" xfId="723" xr:uid="{00000000-0005-0000-0000-00007B060000}"/>
    <cellStyle name="Финансовый 5 5 4 2" xfId="1040" xr:uid="{00000000-0005-0000-0000-00007C060000}"/>
    <cellStyle name="Финансовый 5 5 5" xfId="924" xr:uid="{00000000-0005-0000-0000-00007D060000}"/>
    <cellStyle name="Финансовый 5 5 6" xfId="1560" xr:uid="{00000000-0005-0000-0000-00007E060000}"/>
    <cellStyle name="Финансовый 5 5 7" xfId="787" xr:uid="{00000000-0005-0000-0000-00007F060000}"/>
    <cellStyle name="Финансовый 5 6" xfId="133" xr:uid="{00000000-0005-0000-0000-000080060000}"/>
    <cellStyle name="Финансовый 5 6 2" xfId="269" xr:uid="{00000000-0005-0000-0000-000081060000}"/>
    <cellStyle name="Финансовый 5 6 2 2" xfId="541" xr:uid="{00000000-0005-0000-0000-000082060000}"/>
    <cellStyle name="Финансовый 5 6 2 2 2" xfId="1500" xr:uid="{00000000-0005-0000-0000-000083060000}"/>
    <cellStyle name="Финансовый 5 6 2 3" xfId="1244" xr:uid="{00000000-0005-0000-0000-000084060000}"/>
    <cellStyle name="Финансовый 5 6 2 4" xfId="1773" xr:uid="{00000000-0005-0000-0000-000085060000}"/>
    <cellStyle name="Финансовый 5 6 3" xfId="405" xr:uid="{00000000-0005-0000-0000-000086060000}"/>
    <cellStyle name="Финансовый 5 6 3 2" xfId="1372" xr:uid="{00000000-0005-0000-0000-000087060000}"/>
    <cellStyle name="Финансовый 5 6 4" xfId="724" xr:uid="{00000000-0005-0000-0000-000088060000}"/>
    <cellStyle name="Финансовый 5 6 4 2" xfId="1116" xr:uid="{00000000-0005-0000-0000-000089060000}"/>
    <cellStyle name="Финансовый 5 6 5" xfId="992" xr:uid="{00000000-0005-0000-0000-00008A060000}"/>
    <cellStyle name="Финансовый 5 6 6" xfId="1637" xr:uid="{00000000-0005-0000-0000-00008B060000}"/>
    <cellStyle name="Финансовый 5 6 7" xfId="864" xr:uid="{00000000-0005-0000-0000-00008C060000}"/>
    <cellStyle name="Финансовый 5 7" xfId="31" xr:uid="{00000000-0005-0000-0000-00008D060000}"/>
    <cellStyle name="Финансовый 5 7 2" xfId="169" xr:uid="{00000000-0005-0000-0000-00008E060000}"/>
    <cellStyle name="Финансовый 5 7 2 2" xfId="441" xr:uid="{00000000-0005-0000-0000-00008F060000}"/>
    <cellStyle name="Финансовый 5 7 2 2 2" xfId="1408" xr:uid="{00000000-0005-0000-0000-000090060000}"/>
    <cellStyle name="Финансовый 5 7 2 3" xfId="1152" xr:uid="{00000000-0005-0000-0000-000091060000}"/>
    <cellStyle name="Финансовый 5 7 2 4" xfId="1673" xr:uid="{00000000-0005-0000-0000-000092060000}"/>
    <cellStyle name="Финансовый 5 7 3" xfId="305" xr:uid="{00000000-0005-0000-0000-000093060000}"/>
    <cellStyle name="Финансовый 5 7 3 2" xfId="1280" xr:uid="{00000000-0005-0000-0000-000094060000}"/>
    <cellStyle name="Финансовый 5 7 4" xfId="725" xr:uid="{00000000-0005-0000-0000-000095060000}"/>
    <cellStyle name="Финансовый 5 7 4 2" xfId="1016" xr:uid="{00000000-0005-0000-0000-000096060000}"/>
    <cellStyle name="Финансовый 5 7 5" xfId="900" xr:uid="{00000000-0005-0000-0000-000097060000}"/>
    <cellStyle name="Финансовый 5 7 6" xfId="1536" xr:uid="{00000000-0005-0000-0000-000098060000}"/>
    <cellStyle name="Финансовый 5 7 7" xfId="763" xr:uid="{00000000-0005-0000-0000-000099060000}"/>
    <cellStyle name="Финансовый 5 8" xfId="19" xr:uid="{00000000-0005-0000-0000-00009A060000}"/>
    <cellStyle name="Финансовый 5 8 2" xfId="157" xr:uid="{00000000-0005-0000-0000-00009B060000}"/>
    <cellStyle name="Финансовый 5 8 2 2" xfId="429" xr:uid="{00000000-0005-0000-0000-00009C060000}"/>
    <cellStyle name="Финансовый 5 8 2 2 2" xfId="1396" xr:uid="{00000000-0005-0000-0000-00009D060000}"/>
    <cellStyle name="Финансовый 5 8 2 3" xfId="1140" xr:uid="{00000000-0005-0000-0000-00009E060000}"/>
    <cellStyle name="Финансовый 5 8 2 4" xfId="1661" xr:uid="{00000000-0005-0000-0000-00009F060000}"/>
    <cellStyle name="Финансовый 5 8 3" xfId="293" xr:uid="{00000000-0005-0000-0000-0000A0060000}"/>
    <cellStyle name="Финансовый 5 8 3 2" xfId="1268" xr:uid="{00000000-0005-0000-0000-0000A1060000}"/>
    <cellStyle name="Финансовый 5 8 4" xfId="726" xr:uid="{00000000-0005-0000-0000-0000A2060000}"/>
    <cellStyle name="Финансовый 5 8 4 2" xfId="1004" xr:uid="{00000000-0005-0000-0000-0000A3060000}"/>
    <cellStyle name="Финансовый 5 8 5" xfId="888" xr:uid="{00000000-0005-0000-0000-0000A4060000}"/>
    <cellStyle name="Финансовый 5 8 6" xfId="1524" xr:uid="{00000000-0005-0000-0000-0000A5060000}"/>
    <cellStyle name="Финансовый 5 8 7" xfId="751" xr:uid="{00000000-0005-0000-0000-0000A6060000}"/>
    <cellStyle name="Финансовый 5 9" xfId="145" xr:uid="{00000000-0005-0000-0000-0000A7060000}"/>
    <cellStyle name="Финансовый 5 9 2" xfId="417" xr:uid="{00000000-0005-0000-0000-0000A8060000}"/>
    <cellStyle name="Финансовый 5 9 2 2" xfId="1384" xr:uid="{00000000-0005-0000-0000-0000A9060000}"/>
    <cellStyle name="Финансовый 5 9 3" xfId="1128" xr:uid="{00000000-0005-0000-0000-0000AA060000}"/>
    <cellStyle name="Финансовый 5 9 4" xfId="1649" xr:uid="{00000000-0005-0000-0000-0000AB060000}"/>
    <cellStyle name="Финансовый 6" xfId="37" xr:uid="{00000000-0005-0000-0000-0000AC060000}"/>
    <cellStyle name="Финансовый 6 2" xfId="119" xr:uid="{00000000-0005-0000-0000-0000AD060000}"/>
    <cellStyle name="Финансовый 6 2 2" xfId="255" xr:uid="{00000000-0005-0000-0000-0000AE060000}"/>
    <cellStyle name="Финансовый 6 2 2 2" xfId="527" xr:uid="{00000000-0005-0000-0000-0000AF060000}"/>
    <cellStyle name="Финансовый 6 2 2 2 2" xfId="1486" xr:uid="{00000000-0005-0000-0000-0000B0060000}"/>
    <cellStyle name="Финансовый 6 2 2 3" xfId="1230" xr:uid="{00000000-0005-0000-0000-0000B1060000}"/>
    <cellStyle name="Финансовый 6 2 2 4" xfId="1759" xr:uid="{00000000-0005-0000-0000-0000B2060000}"/>
    <cellStyle name="Финансовый 6 2 3" xfId="391" xr:uid="{00000000-0005-0000-0000-0000B3060000}"/>
    <cellStyle name="Финансовый 6 2 3 2" xfId="1358" xr:uid="{00000000-0005-0000-0000-0000B4060000}"/>
    <cellStyle name="Финансовый 6 2 4" xfId="728" xr:uid="{00000000-0005-0000-0000-0000B5060000}"/>
    <cellStyle name="Финансовый 6 2 4 2" xfId="1102" xr:uid="{00000000-0005-0000-0000-0000B6060000}"/>
    <cellStyle name="Финансовый 6 2 5" xfId="978" xr:uid="{00000000-0005-0000-0000-0000B7060000}"/>
    <cellStyle name="Финансовый 6 2 6" xfId="1623" xr:uid="{00000000-0005-0000-0000-0000B8060000}"/>
    <cellStyle name="Финансовый 6 2 7" xfId="850" xr:uid="{00000000-0005-0000-0000-0000B9060000}"/>
    <cellStyle name="Финансовый 6 3" xfId="83" xr:uid="{00000000-0005-0000-0000-0000BA060000}"/>
    <cellStyle name="Финансовый 6 3 2" xfId="219" xr:uid="{00000000-0005-0000-0000-0000BB060000}"/>
    <cellStyle name="Финансовый 6 3 2 2" xfId="491" xr:uid="{00000000-0005-0000-0000-0000BC060000}"/>
    <cellStyle name="Финансовый 6 3 2 2 2" xfId="1450" xr:uid="{00000000-0005-0000-0000-0000BD060000}"/>
    <cellStyle name="Финансовый 6 3 2 3" xfId="1194" xr:uid="{00000000-0005-0000-0000-0000BE060000}"/>
    <cellStyle name="Финансовый 6 3 2 4" xfId="1723" xr:uid="{00000000-0005-0000-0000-0000BF060000}"/>
    <cellStyle name="Финансовый 6 3 3" xfId="355" xr:uid="{00000000-0005-0000-0000-0000C0060000}"/>
    <cellStyle name="Финансовый 6 3 3 2" xfId="1322" xr:uid="{00000000-0005-0000-0000-0000C1060000}"/>
    <cellStyle name="Финансовый 6 3 4" xfId="618" xr:uid="{00000000-0005-0000-0000-0000C2060000}"/>
    <cellStyle name="Финансовый 6 3 4 2" xfId="1066" xr:uid="{00000000-0005-0000-0000-0000C3060000}"/>
    <cellStyle name="Финансовый 6 3 5" xfId="942" xr:uid="{00000000-0005-0000-0000-0000C4060000}"/>
    <cellStyle name="Финансовый 6 3 6" xfId="1587" xr:uid="{00000000-0005-0000-0000-0000C5060000}"/>
    <cellStyle name="Финансовый 6 3 7" xfId="814" xr:uid="{00000000-0005-0000-0000-0000C6060000}"/>
    <cellStyle name="Финансовый 6 4" xfId="175" xr:uid="{00000000-0005-0000-0000-0000C7060000}"/>
    <cellStyle name="Финансовый 6 4 2" xfId="447" xr:uid="{00000000-0005-0000-0000-0000C8060000}"/>
    <cellStyle name="Финансовый 6 4 2 2" xfId="1414" xr:uid="{00000000-0005-0000-0000-0000C9060000}"/>
    <cellStyle name="Финансовый 6 4 3" xfId="1158" xr:uid="{00000000-0005-0000-0000-0000CA060000}"/>
    <cellStyle name="Финансовый 6 4 4" xfId="1679" xr:uid="{00000000-0005-0000-0000-0000CB060000}"/>
    <cellStyle name="Финансовый 6 5" xfId="311" xr:uid="{00000000-0005-0000-0000-0000CC060000}"/>
    <cellStyle name="Финансовый 6 5 2" xfId="1286" xr:uid="{00000000-0005-0000-0000-0000CD060000}"/>
    <cellStyle name="Финансовый 6 6" xfId="727" xr:uid="{00000000-0005-0000-0000-0000CE060000}"/>
    <cellStyle name="Финансовый 6 6 2" xfId="1022" xr:uid="{00000000-0005-0000-0000-0000CF060000}"/>
    <cellStyle name="Финансовый 6 7" xfId="906" xr:uid="{00000000-0005-0000-0000-0000D0060000}"/>
    <cellStyle name="Финансовый 6 8" xfId="1542" xr:uid="{00000000-0005-0000-0000-0000D1060000}"/>
    <cellStyle name="Финансовый 6 9" xfId="769" xr:uid="{00000000-0005-0000-0000-0000D2060000}"/>
    <cellStyle name="Финансовый 7" xfId="89" xr:uid="{00000000-0005-0000-0000-0000D3060000}"/>
    <cellStyle name="Финансовый 7 2" xfId="225" xr:uid="{00000000-0005-0000-0000-0000D4060000}"/>
    <cellStyle name="Финансовый 7 2 2" xfId="497" xr:uid="{00000000-0005-0000-0000-0000D5060000}"/>
    <cellStyle name="Финансовый 7 2 2 2" xfId="1456" xr:uid="{00000000-0005-0000-0000-0000D6060000}"/>
    <cellStyle name="Финансовый 7 2 3" xfId="1200" xr:uid="{00000000-0005-0000-0000-0000D7060000}"/>
    <cellStyle name="Финансовый 7 2 4" xfId="1729" xr:uid="{00000000-0005-0000-0000-0000D8060000}"/>
    <cellStyle name="Финансовый 7 3" xfId="361" xr:uid="{00000000-0005-0000-0000-0000D9060000}"/>
    <cellStyle name="Финансовый 7 3 2" xfId="1328" xr:uid="{00000000-0005-0000-0000-0000DA060000}"/>
    <cellStyle name="Финансовый 7 4" xfId="729" xr:uid="{00000000-0005-0000-0000-0000DB060000}"/>
    <cellStyle name="Финансовый 7 4 2" xfId="1072" xr:uid="{00000000-0005-0000-0000-0000DC060000}"/>
    <cellStyle name="Финансовый 7 5" xfId="948" xr:uid="{00000000-0005-0000-0000-0000DD060000}"/>
    <cellStyle name="Финансовый 7 6" xfId="1593" xr:uid="{00000000-0005-0000-0000-0000DE060000}"/>
    <cellStyle name="Финансовый 7 7" xfId="820" xr:uid="{00000000-0005-0000-0000-0000DF060000}"/>
    <cellStyle name="Финансовый 8" xfId="95" xr:uid="{00000000-0005-0000-0000-0000E0060000}"/>
    <cellStyle name="Финансовый 8 2" xfId="231" xr:uid="{00000000-0005-0000-0000-0000E1060000}"/>
    <cellStyle name="Финансовый 8 2 2" xfId="503" xr:uid="{00000000-0005-0000-0000-0000E2060000}"/>
    <cellStyle name="Финансовый 8 2 2 2" xfId="1462" xr:uid="{00000000-0005-0000-0000-0000E3060000}"/>
    <cellStyle name="Финансовый 8 2 3" xfId="1206" xr:uid="{00000000-0005-0000-0000-0000E4060000}"/>
    <cellStyle name="Финансовый 8 2 4" xfId="1735" xr:uid="{00000000-0005-0000-0000-0000E5060000}"/>
    <cellStyle name="Финансовый 8 3" xfId="367" xr:uid="{00000000-0005-0000-0000-0000E6060000}"/>
    <cellStyle name="Финансовый 8 3 2" xfId="1334" xr:uid="{00000000-0005-0000-0000-0000E7060000}"/>
    <cellStyle name="Финансовый 8 4" xfId="730" xr:uid="{00000000-0005-0000-0000-0000E8060000}"/>
    <cellStyle name="Финансовый 8 4 2" xfId="1078" xr:uid="{00000000-0005-0000-0000-0000E9060000}"/>
    <cellStyle name="Финансовый 8 5" xfId="954" xr:uid="{00000000-0005-0000-0000-0000EA060000}"/>
    <cellStyle name="Финансовый 8 6" xfId="1599" xr:uid="{00000000-0005-0000-0000-0000EB060000}"/>
    <cellStyle name="Финансовый 8 7" xfId="826" xr:uid="{00000000-0005-0000-0000-0000EC060000}"/>
    <cellStyle name="Финансовый 9" xfId="107" xr:uid="{00000000-0005-0000-0000-0000ED060000}"/>
    <cellStyle name="Финансовый 9 2" xfId="243" xr:uid="{00000000-0005-0000-0000-0000EE060000}"/>
    <cellStyle name="Финансовый 9 2 2" xfId="515" xr:uid="{00000000-0005-0000-0000-0000EF060000}"/>
    <cellStyle name="Финансовый 9 2 2 2" xfId="1474" xr:uid="{00000000-0005-0000-0000-0000F0060000}"/>
    <cellStyle name="Финансовый 9 2 3" xfId="1218" xr:uid="{00000000-0005-0000-0000-0000F1060000}"/>
    <cellStyle name="Финансовый 9 2 4" xfId="1747" xr:uid="{00000000-0005-0000-0000-0000F2060000}"/>
    <cellStyle name="Финансовый 9 3" xfId="379" xr:uid="{00000000-0005-0000-0000-0000F3060000}"/>
    <cellStyle name="Финансовый 9 3 2" xfId="1346" xr:uid="{00000000-0005-0000-0000-0000F4060000}"/>
    <cellStyle name="Финансовый 9 4" xfId="731" xr:uid="{00000000-0005-0000-0000-0000F5060000}"/>
    <cellStyle name="Финансовый 9 4 2" xfId="1090" xr:uid="{00000000-0005-0000-0000-0000F6060000}"/>
    <cellStyle name="Финансовый 9 5" xfId="966" xr:uid="{00000000-0005-0000-0000-0000F7060000}"/>
    <cellStyle name="Финансовый 9 6" xfId="1611" xr:uid="{00000000-0005-0000-0000-0000F8060000}"/>
    <cellStyle name="Финансовый 9 7" xfId="838" xr:uid="{00000000-0005-0000-0000-0000F9060000}"/>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2">
    <tabColor rgb="FF00B050"/>
  </sheetPr>
  <dimension ref="A1:BK171"/>
  <sheetViews>
    <sheetView topLeftCell="A75" zoomScaleNormal="100" workbookViewId="0">
      <selection activeCell="B1" sqref="B1"/>
    </sheetView>
  </sheetViews>
  <sheetFormatPr defaultColWidth="0" defaultRowHeight="15" zeroHeight="1"/>
  <cols>
    <col min="1" max="1" width="50" style="181" customWidth="1"/>
    <col min="2" max="2" width="61.85546875" style="183" customWidth="1"/>
    <col min="3" max="3" width="63.85546875" style="173" customWidth="1"/>
    <col min="4" max="4" width="29.7109375" style="173" customWidth="1"/>
    <col min="5" max="7" width="9.140625" style="173" hidden="1" customWidth="1"/>
    <col min="8" max="8" width="62.5703125" style="173" hidden="1" customWidth="1"/>
    <col min="9" max="13" width="9.140625" style="173" hidden="1" customWidth="1"/>
    <col min="14" max="14" width="70.7109375" style="173" hidden="1" customWidth="1"/>
    <col min="15" max="16" width="9.140625" style="173" hidden="1" customWidth="1"/>
    <col min="17" max="17" width="59.7109375" style="173" hidden="1" customWidth="1"/>
    <col min="18" max="18" width="49.85546875" style="173" hidden="1" customWidth="1"/>
    <col min="19" max="16384" width="9.140625" style="173" hidden="1"/>
  </cols>
  <sheetData>
    <row r="1" spans="1:4">
      <c r="A1" s="3" t="str">
        <f>CONCATENATE(B65," olish uchun ariza")</f>
        <v>mikroqarz olish uchun ariza</v>
      </c>
      <c r="B1" s="49" t="s">
        <v>449</v>
      </c>
    </row>
    <row r="2" spans="1:4" ht="15" customHeight="1">
      <c r="A2" s="3" t="str">
        <f>CONCATENATE(B65," olish uchun ariza sanasi QO’L BILAN KIRITILADI")</f>
        <v>mikroqarz olish uchun ariza sanasi QO’L BILAN KIRITILADI</v>
      </c>
      <c r="B2" s="57" t="s">
        <v>419</v>
      </c>
      <c r="D2" s="173">
        <f>180+B2</f>
        <v>45920</v>
      </c>
    </row>
    <row r="3" spans="1:4">
      <c r="A3" s="3"/>
      <c r="B3" s="1"/>
    </row>
    <row r="4" spans="1:4">
      <c r="A4" s="268" t="s">
        <v>53</v>
      </c>
      <c r="B4" s="268"/>
    </row>
    <row r="5" spans="1:4" ht="30">
      <c r="A5" s="3" t="s">
        <v>54</v>
      </c>
      <c r="B5" s="49" t="s">
        <v>420</v>
      </c>
      <c r="C5" s="173" t="s">
        <v>387</v>
      </c>
    </row>
    <row r="6" spans="1:4" ht="30">
      <c r="A6" s="3" t="s">
        <v>55</v>
      </c>
      <c r="B6" s="49" t="s">
        <v>134</v>
      </c>
      <c r="C6" s="173" t="s">
        <v>256</v>
      </c>
      <c r="D6" s="173" t="s">
        <v>134</v>
      </c>
    </row>
    <row r="7" spans="1:4" ht="30">
      <c r="A7" s="3" t="s">
        <v>56</v>
      </c>
      <c r="B7" s="49" t="s">
        <v>421</v>
      </c>
    </row>
    <row r="8" spans="1:4" ht="30" hidden="1">
      <c r="A8" s="3" t="s">
        <v>57</v>
      </c>
      <c r="B8" s="72" t="str">
        <f>B5</f>
        <v>SHAYMARDANOVA SABOXAT YULDASHEVNA</v>
      </c>
    </row>
    <row r="9" spans="1:4" hidden="1">
      <c r="A9" s="3" t="s">
        <v>58</v>
      </c>
      <c r="B9" s="72" t="str">
        <f>B7</f>
        <v>SHAYMARDANOVA S.Y.</v>
      </c>
    </row>
    <row r="10" spans="1:4" ht="30" hidden="1">
      <c r="A10" s="3" t="s">
        <v>59</v>
      </c>
      <c r="B10" s="72" t="str">
        <f>B8</f>
        <v>SHAYMARDANOVA SABOXAT YULDASHEVNA</v>
      </c>
    </row>
    <row r="11" spans="1:4" hidden="1">
      <c r="A11" s="3" t="s">
        <v>60</v>
      </c>
      <c r="B11" s="72" t="str">
        <f>B9</f>
        <v>SHAYMARDANOVA S.Y.</v>
      </c>
    </row>
    <row r="12" spans="1:4" ht="30" hidden="1">
      <c r="A12" s="3" t="s">
        <v>61</v>
      </c>
      <c r="B12" s="72" t="str">
        <f>B10</f>
        <v>SHAYMARDANOVA SABOXAT YULDASHEVNA</v>
      </c>
    </row>
    <row r="13" spans="1:4" hidden="1">
      <c r="A13" s="3" t="s">
        <v>62</v>
      </c>
      <c r="B13" s="72" t="str">
        <f>B11</f>
        <v>SHAYMARDANOVA S.Y.</v>
      </c>
    </row>
    <row r="14" spans="1:4" hidden="1">
      <c r="A14" s="3" t="s">
        <v>63</v>
      </c>
      <c r="B14" s="72" t="s">
        <v>66</v>
      </c>
    </row>
    <row r="15" spans="1:4">
      <c r="A15" s="3" t="s">
        <v>64</v>
      </c>
      <c r="B15" s="209" t="s">
        <v>422</v>
      </c>
    </row>
    <row r="16" spans="1:4">
      <c r="A16" s="3" t="s">
        <v>65</v>
      </c>
      <c r="B16" s="49" t="s">
        <v>423</v>
      </c>
    </row>
    <row r="17" spans="1:7">
      <c r="A17" s="3"/>
      <c r="B17" s="49" t="s">
        <v>424</v>
      </c>
      <c r="D17" s="173" t="str">
        <f>TEXT(C17,"ДД.ММ.ГГГГ")</f>
        <v>00.01.1900</v>
      </c>
    </row>
    <row r="18" spans="1:7">
      <c r="A18" s="3"/>
      <c r="B18" s="185">
        <v>43517</v>
      </c>
      <c r="C18" s="192" t="str">
        <f>TEXT(B18,"ДД.ММ.ГГГГ")</f>
        <v>21.02.2019</v>
      </c>
    </row>
    <row r="19" spans="1:7">
      <c r="A19" s="3"/>
      <c r="B19" s="185">
        <v>47169</v>
      </c>
      <c r="C19" s="192" t="str">
        <f>TEXT(B19,"ДД.ММ.ГГГГ")</f>
        <v>20.02.2029</v>
      </c>
    </row>
    <row r="20" spans="1:7" ht="60">
      <c r="A20" s="3" t="s">
        <v>68</v>
      </c>
      <c r="B20" s="60" t="str">
        <f>""&amp;B17&amp;" tomonidan "&amp;C18&amp;" yilda berilgan"</f>
        <v>SURXONDARYO VILOYATI JARQO'RG'ON TUMANI IIB tomonidan 21.02.2019 yilda berilgan</v>
      </c>
      <c r="C20" s="193" t="str">
        <f>""&amp;B17&amp;" tomonidan "&amp;C18&amp;" yilda berilgan"</f>
        <v>SURXONDARYO VILOYATI JARQO'RG'ON TUMANI IIB tomonidan 21.02.2019 yilda berilgan</v>
      </c>
    </row>
    <row r="21" spans="1:7" ht="45">
      <c r="A21" s="3" t="s">
        <v>69</v>
      </c>
      <c r="B21" s="60" t="str">
        <f>""&amp;C19&amp;" y."</f>
        <v>20.02.2029 y.</v>
      </c>
      <c r="C21" s="192" t="str">
        <f>""&amp;C19&amp;" yilgacha"</f>
        <v>20.02.2029 yilgacha</v>
      </c>
    </row>
    <row r="22" spans="1:7" ht="57.75" customHeight="1">
      <c r="A22" s="3" t="s">
        <v>70</v>
      </c>
      <c r="B22" s="49" t="s">
        <v>425</v>
      </c>
      <c r="C22" s="192" t="str">
        <f>TEXT(B19,"ДД.ММ.ГГГГ")</f>
        <v>20.02.2029</v>
      </c>
    </row>
    <row r="23" spans="1:7" ht="30">
      <c r="A23" s="3" t="s">
        <v>71</v>
      </c>
      <c r="B23" s="49" t="s">
        <v>95</v>
      </c>
      <c r="C23" s="173" t="s">
        <v>95</v>
      </c>
      <c r="D23" s="173" t="s">
        <v>96</v>
      </c>
    </row>
    <row r="24" spans="1:7" ht="30" hidden="1">
      <c r="A24" s="3" t="s">
        <v>72</v>
      </c>
      <c r="B24" s="72" t="s">
        <v>93</v>
      </c>
      <c r="C24" s="173" t="s">
        <v>93</v>
      </c>
      <c r="D24" s="173" t="s">
        <v>94</v>
      </c>
      <c r="E24" s="173" t="s">
        <v>0</v>
      </c>
      <c r="F24" s="173" t="s">
        <v>1</v>
      </c>
      <c r="G24" s="173" t="s">
        <v>3</v>
      </c>
    </row>
    <row r="25" spans="1:7">
      <c r="A25" s="3" t="s">
        <v>73</v>
      </c>
      <c r="B25" s="49" t="s">
        <v>426</v>
      </c>
    </row>
    <row r="26" spans="1:7" ht="44.25" customHeight="1">
      <c r="A26" s="3" t="s">
        <v>74</v>
      </c>
      <c r="B26" s="49" t="s">
        <v>427</v>
      </c>
      <c r="C26" s="173" t="s">
        <v>27</v>
      </c>
    </row>
    <row r="27" spans="1:7" ht="44.25" hidden="1" customHeight="1">
      <c r="A27" s="3"/>
      <c r="B27" s="49" t="str">
        <f>IF(B23="mos keladi",B22,B28)</f>
        <v>SURXONDAEYO VILOYATU JARQO'RG'ON TUMANI QORAYONTOQ MFY IBN SINO KO'CHASI 114-UY</v>
      </c>
    </row>
    <row r="28" spans="1:7" ht="45">
      <c r="A28" s="3" t="s">
        <v>75</v>
      </c>
      <c r="B28" s="49" t="s">
        <v>428</v>
      </c>
    </row>
    <row r="29" spans="1:7">
      <c r="A29" s="3" t="s">
        <v>76</v>
      </c>
      <c r="B29" s="49" t="s">
        <v>93</v>
      </c>
      <c r="C29" s="173" t="s">
        <v>93</v>
      </c>
      <c r="D29" s="173" t="s">
        <v>94</v>
      </c>
      <c r="E29" s="173" t="s">
        <v>327</v>
      </c>
      <c r="F29" s="173" t="s">
        <v>328</v>
      </c>
      <c r="G29" s="173" t="s">
        <v>3</v>
      </c>
    </row>
    <row r="30" spans="1:7" ht="27">
      <c r="A30" s="3" t="s">
        <v>77</v>
      </c>
      <c r="B30" s="165" t="s">
        <v>331</v>
      </c>
      <c r="C30" s="173" t="s">
        <v>148</v>
      </c>
      <c r="D30" s="173" t="s">
        <v>331</v>
      </c>
    </row>
    <row r="31" spans="1:7">
      <c r="A31" s="3" t="s">
        <v>78</v>
      </c>
      <c r="B31" s="49" t="s">
        <v>429</v>
      </c>
      <c r="C31" s="173" t="s">
        <v>386</v>
      </c>
    </row>
    <row r="32" spans="1:7">
      <c r="A32" s="3" t="s">
        <v>63</v>
      </c>
      <c r="B32" s="49" t="s">
        <v>66</v>
      </c>
    </row>
    <row r="33" spans="1:4">
      <c r="A33" s="3" t="s">
        <v>73</v>
      </c>
      <c r="B33" s="49" t="s">
        <v>430</v>
      </c>
    </row>
    <row r="34" spans="1:4" hidden="1">
      <c r="A34" s="3"/>
      <c r="B34" s="49" t="str">
        <f>IF(B23="mos keladi",B26,B35)</f>
        <v>QORAYONTOQ BEKAT</v>
      </c>
    </row>
    <row r="35" spans="1:4">
      <c r="A35" s="3" t="s">
        <v>74</v>
      </c>
      <c r="B35" s="49"/>
    </row>
    <row r="36" spans="1:4">
      <c r="A36" s="3" t="s">
        <v>79</v>
      </c>
      <c r="B36" s="49"/>
    </row>
    <row r="37" spans="1:4">
      <c r="A37" s="3" t="s">
        <v>80</v>
      </c>
      <c r="B37" s="49"/>
    </row>
    <row r="38" spans="1:4">
      <c r="A38" s="3" t="s">
        <v>81</v>
      </c>
      <c r="B38" s="49"/>
    </row>
    <row r="39" spans="1:4">
      <c r="A39" s="3" t="s">
        <v>82</v>
      </c>
      <c r="B39" s="49" t="str" cm="1">
        <f t="array" aca="1" ref="B39" ca="1">+A39:B102</f>
        <v>Mutaxassisligi</v>
      </c>
    </row>
    <row r="40" spans="1:4" ht="24.75" customHeight="1">
      <c r="A40" s="3" t="s">
        <v>83</v>
      </c>
      <c r="B40" s="49" t="s">
        <v>431</v>
      </c>
    </row>
    <row r="41" spans="1:4" ht="24.75" customHeight="1">
      <c r="A41" s="3" t="s">
        <v>84</v>
      </c>
      <c r="B41" s="49" t="s">
        <v>426</v>
      </c>
    </row>
    <row r="42" spans="1:4" ht="24.75" customHeight="1">
      <c r="A42" s="3" t="s">
        <v>83</v>
      </c>
      <c r="B42" s="49" t="s">
        <v>430</v>
      </c>
    </row>
    <row r="43" spans="1:4" ht="30">
      <c r="A43" s="3" t="s">
        <v>84</v>
      </c>
      <c r="B43" s="49"/>
    </row>
    <row r="44" spans="1:4" ht="23.25">
      <c r="A44" s="167" t="s">
        <v>85</v>
      </c>
      <c r="B44" s="166" t="s">
        <v>344</v>
      </c>
      <c r="C44" s="173" t="s">
        <v>344</v>
      </c>
      <c r="D44" s="173" t="s">
        <v>351</v>
      </c>
    </row>
    <row r="45" spans="1:4" hidden="1">
      <c r="A45" s="3"/>
      <c r="B45" s="164" t="str">
        <f>IF(B44=D44,CONCATENATE("MA'LUMOTNOMA ",B47,B46),C44)</f>
        <v>Yakka tartibdagi tadbirkor</v>
      </c>
    </row>
    <row r="46" spans="1:4" ht="69.75">
      <c r="A46" s="167" t="s">
        <v>352</v>
      </c>
      <c r="B46" s="210"/>
    </row>
    <row r="47" spans="1:4" ht="23.25">
      <c r="A47" s="167"/>
      <c r="B47" s="184"/>
      <c r="C47" s="173" t="s">
        <v>15</v>
      </c>
    </row>
    <row r="48" spans="1:4" ht="69.75">
      <c r="A48" s="167" t="s">
        <v>353</v>
      </c>
      <c r="B48" s="164"/>
    </row>
    <row r="49" spans="1:4" hidden="1">
      <c r="A49" s="3" t="s">
        <v>86</v>
      </c>
      <c r="B49" s="49" t="str">
        <f>IF(B44=C44,C44,B48)</f>
        <v>Yakka tartibdagi tadbirkor</v>
      </c>
    </row>
    <row r="50" spans="1:4" ht="45">
      <c r="A50" s="3" t="s">
        <v>87</v>
      </c>
      <c r="B50" s="49"/>
    </row>
    <row r="51" spans="1:4">
      <c r="A51" s="3" t="s">
        <v>74</v>
      </c>
      <c r="B51" s="49"/>
    </row>
    <row r="52" spans="1:4">
      <c r="A52" s="3" t="s">
        <v>88</v>
      </c>
      <c r="B52" s="49"/>
    </row>
    <row r="53" spans="1:4">
      <c r="A53" s="3" t="s">
        <v>89</v>
      </c>
      <c r="B53" s="49"/>
    </row>
    <row r="54" spans="1:4">
      <c r="A54" s="3" t="s">
        <v>90</v>
      </c>
      <c r="B54" s="49"/>
    </row>
    <row r="55" spans="1:4">
      <c r="A55" s="3" t="s">
        <v>91</v>
      </c>
      <c r="B55" s="2"/>
    </row>
    <row r="56" spans="1:4">
      <c r="A56" s="3" t="s">
        <v>92</v>
      </c>
      <c r="B56" s="2" t="s">
        <v>22</v>
      </c>
    </row>
    <row r="57" spans="1:4" ht="30" customHeight="1">
      <c r="A57" s="269" t="s">
        <v>97</v>
      </c>
      <c r="B57" s="270"/>
    </row>
    <row r="58" spans="1:4" ht="20.25" hidden="1" customHeight="1">
      <c r="A58" s="3" t="s">
        <v>98</v>
      </c>
      <c r="B58" s="49" t="str">
        <f>IF(B44=C44,C44,CONCATENATE(B44," ",B47))</f>
        <v>Yakka tartibdagi tadbirkor</v>
      </c>
    </row>
    <row r="59" spans="1:4" ht="31.5" hidden="1" customHeight="1">
      <c r="A59" s="3" t="s">
        <v>86</v>
      </c>
      <c r="B59" s="49" t="str">
        <f>B49</f>
        <v>Yakka tartibdagi tadbirkor</v>
      </c>
    </row>
    <row r="60" spans="1:4" ht="23.25">
      <c r="A60" s="167" t="s">
        <v>99</v>
      </c>
      <c r="B60" s="171">
        <v>14000000</v>
      </c>
      <c r="C60" s="188">
        <f>C63/B75</f>
        <v>0.47242009480769231</v>
      </c>
    </row>
    <row r="61" spans="1:4">
      <c r="A61" s="3" t="s">
        <v>100</v>
      </c>
      <c r="B61" s="5">
        <v>0</v>
      </c>
      <c r="C61" s="189" t="s">
        <v>391</v>
      </c>
    </row>
    <row r="62" spans="1:4" hidden="1">
      <c r="A62" s="3" t="s">
        <v>101</v>
      </c>
      <c r="B62" s="49">
        <f>B53</f>
        <v>0</v>
      </c>
      <c r="C62" s="186"/>
    </row>
    <row r="63" spans="1:4">
      <c r="A63" s="3" t="s">
        <v>102</v>
      </c>
      <c r="B63" s="49"/>
      <c r="C63" s="187">
        <f>SUM(grafik!E9:E20)</f>
        <v>24565844.93</v>
      </c>
    </row>
    <row r="64" spans="1:4">
      <c r="A64" s="268" t="s">
        <v>103</v>
      </c>
      <c r="B64" s="268"/>
      <c r="C64" s="173" t="str">
        <f>PROPER(B65)</f>
        <v>Mikroqarz</v>
      </c>
      <c r="D64" s="173" t="str">
        <f>UPPER(B65)</f>
        <v>MIKROQARZ</v>
      </c>
    </row>
    <row r="65" spans="1:14" ht="15.75" thickBot="1">
      <c r="A65" s="3" t="s">
        <v>104</v>
      </c>
      <c r="B65" s="1" t="str">
        <f>IF(B75&gt;100000001,"mikrokredit",IF(B75&lt;100000001,"mikroqarz",0))</f>
        <v>mikroqarz</v>
      </c>
      <c r="C65" s="175">
        <f>DATE(YEAR(B67),MONTH(B67)+B81,DAY(B67))</f>
        <v>46836</v>
      </c>
    </row>
    <row r="66" spans="1:14" hidden="1">
      <c r="A66" s="3" t="s">
        <v>105</v>
      </c>
      <c r="B66" s="49" t="str">
        <f>B1</f>
        <v>№659-SR</v>
      </c>
      <c r="C66" s="173">
        <f>MONTH(C65)</f>
        <v>3</v>
      </c>
      <c r="D66" s="173" t="str">
        <f>IF(C66=C68,C70,IF(C66=D68,D70,IF(C66=E68,E70,IF(C66=F68,F70,IF(C66=G68,G70,IF(C66=H68,H70,IF(C66=I68,I70,IF(C66=J68,J70,IF(C66=K68,K70,IF(C66=L68,L70,IF(C66=M68,M70,IF(C66=N68,N70,))))))))))))</f>
        <v>mart</v>
      </c>
      <c r="E66" s="173">
        <f>DAY(C65)</f>
        <v>24</v>
      </c>
      <c r="F66" s="173">
        <f>YEAR(C65)</f>
        <v>2028</v>
      </c>
      <c r="G66" s="173">
        <f>MONTH(C65)</f>
        <v>3</v>
      </c>
      <c r="H66" s="173" t="str">
        <f>IF(C66=C68,C71,IF(C66=D68,D71,IF(C66=E68,E71,IF(C66=F68,F71,IF(C66=G68,G71,IF(C66=H68,H71,IF(C66=I68,I71,IF(C66=J68,J71,IF(C66=K68,K71,IF(C66=L68,L71,IF(C66=M68,M71,IF(C66=N68,N71,))))))))))))</f>
        <v>mart</v>
      </c>
      <c r="I66" s="173">
        <f>YEAR(C65)</f>
        <v>2028</v>
      </c>
    </row>
    <row r="67" spans="1:14" hidden="1">
      <c r="A67" s="3" t="s">
        <v>106</v>
      </c>
      <c r="B67" s="81" t="str">
        <f>B2</f>
        <v>24.03.2025</v>
      </c>
      <c r="C67" s="173">
        <f>MONTH(B67)</f>
        <v>3</v>
      </c>
      <c r="D67" s="173" t="str">
        <f>IF(C67=C68,C70,IF(C67=D68,D70,IF(C67=E68,E70,IF(C67=F68,F70,IF(C67=G68,G70,IF(C67=H68,H70,IF(C67=I68,I70,IF(C67=J68,J70,IF(C67=K68,K70,IF(C67=L68,L70,IF(C67=M68,M70,IF(C67=N68,N70,))))))))))))</f>
        <v>mart</v>
      </c>
      <c r="E67" s="173">
        <f>DAY(B67)</f>
        <v>24</v>
      </c>
      <c r="F67" s="173">
        <f>YEAR(B67)</f>
        <v>2025</v>
      </c>
      <c r="G67" s="173">
        <f>MONTH(B67)</f>
        <v>3</v>
      </c>
      <c r="H67" s="173" t="str">
        <f>IF(C67=C68,C71,IF(C67=D68,D71,IF(C67=E68,E71,IF(C67=F68,F71,IF(C67=G68,G71,IF(C67=H68,H71,IF(C67=I68,I71,IF(C67=J68,J71,IF(C67=K68,K71,IF(C67=L68,L71,IF(C67=M68,M71,IF(C67=N68,N71,))))))))))))</f>
        <v>mart</v>
      </c>
      <c r="I67" s="173">
        <f>YEAR(B67)</f>
        <v>2025</v>
      </c>
    </row>
    <row r="68" spans="1:14" hidden="1">
      <c r="A68" s="3" t="s">
        <v>107</v>
      </c>
      <c r="B68" s="73" t="str">
        <f>""&amp;E67&amp;" "&amp;D67&amp;" "&amp;F67&amp;" y."</f>
        <v>24 mart 2025 y.</v>
      </c>
      <c r="C68" s="173">
        <v>1</v>
      </c>
      <c r="D68" s="173">
        <v>2</v>
      </c>
      <c r="E68" s="173">
        <v>3</v>
      </c>
      <c r="F68" s="173">
        <v>4</v>
      </c>
      <c r="G68" s="173">
        <v>5</v>
      </c>
      <c r="H68" s="173">
        <v>6</v>
      </c>
      <c r="I68" s="173">
        <v>7</v>
      </c>
      <c r="J68" s="173">
        <v>8</v>
      </c>
      <c r="K68" s="173">
        <v>9</v>
      </c>
      <c r="L68" s="173">
        <v>10</v>
      </c>
      <c r="M68" s="173">
        <v>11</v>
      </c>
      <c r="N68" s="173">
        <v>12</v>
      </c>
    </row>
    <row r="69" spans="1:14" hidden="1">
      <c r="A69" s="3"/>
      <c r="B69" s="73" t="str">
        <f>""&amp;E67&amp;" "&amp;H67&amp;" "&amp;F67&amp;" y."</f>
        <v>24 mart 2025 y.</v>
      </c>
    </row>
    <row r="70" spans="1:14" hidden="1">
      <c r="A70" s="3"/>
      <c r="B70" s="59" t="str">
        <f>B68</f>
        <v>24 mart 2025 y.</v>
      </c>
      <c r="C70" s="173" t="s">
        <v>119</v>
      </c>
      <c r="D70" s="173" t="s">
        <v>120</v>
      </c>
      <c r="E70" s="173" t="s">
        <v>109</v>
      </c>
      <c r="F70" s="173" t="s">
        <v>110</v>
      </c>
      <c r="G70" s="173" t="s">
        <v>111</v>
      </c>
      <c r="H70" s="173" t="s">
        <v>112</v>
      </c>
      <c r="I70" s="173" t="s">
        <v>113</v>
      </c>
      <c r="J70" s="173" t="s">
        <v>114</v>
      </c>
      <c r="K70" s="173" t="s">
        <v>115</v>
      </c>
      <c r="L70" s="173" t="s">
        <v>116</v>
      </c>
      <c r="M70" s="173" t="s">
        <v>117</v>
      </c>
      <c r="N70" s="173" t="s">
        <v>118</v>
      </c>
    </row>
    <row r="71" spans="1:14" hidden="1">
      <c r="A71" s="3"/>
      <c r="B71" s="59" t="str">
        <f>B69</f>
        <v>24 mart 2025 y.</v>
      </c>
      <c r="C71" s="173" t="s">
        <v>119</v>
      </c>
      <c r="D71" s="173" t="s">
        <v>120</v>
      </c>
      <c r="E71" s="173" t="s">
        <v>109</v>
      </c>
      <c r="F71" s="173" t="s">
        <v>110</v>
      </c>
      <c r="G71" s="173" t="s">
        <v>111</v>
      </c>
      <c r="H71" s="173" t="s">
        <v>112</v>
      </c>
      <c r="I71" s="173" t="s">
        <v>113</v>
      </c>
      <c r="J71" s="173" t="s">
        <v>114</v>
      </c>
      <c r="K71" s="173" t="s">
        <v>115</v>
      </c>
      <c r="L71" s="173" t="s">
        <v>116</v>
      </c>
      <c r="M71" s="173" t="s">
        <v>117</v>
      </c>
      <c r="N71" s="173" t="s">
        <v>118</v>
      </c>
    </row>
    <row r="72" spans="1:14" hidden="1">
      <c r="A72" s="3" t="s">
        <v>108</v>
      </c>
      <c r="B72" s="58" t="str">
        <f>""&amp;E66&amp;" "&amp;D66&amp;" "&amp;F66&amp;" y."</f>
        <v>24 mart 2028 y.</v>
      </c>
    </row>
    <row r="73" spans="1:14" hidden="1">
      <c r="A73" s="3"/>
      <c r="B73" s="58" t="str">
        <f>""&amp;E66&amp;" "&amp;H66&amp;" "&amp;F66&amp;" y."</f>
        <v>24 mart 2028 y.</v>
      </c>
    </row>
    <row r="74" spans="1:14" ht="15.75" hidden="1" thickBot="1">
      <c r="A74" s="3" t="s">
        <v>121</v>
      </c>
      <c r="B74" s="1" t="str">
        <f>""&amp;B68&amp;"dan "&amp;B66&amp;""</f>
        <v>24 mart 2025 y.dan №659-SR</v>
      </c>
    </row>
    <row r="75" spans="1:14">
      <c r="A75" s="3" t="str">
        <f>CONCATENATE(B65," miqdori (summasi)")</f>
        <v>mikroqarz miqdori (summasi)</v>
      </c>
      <c r="B75" s="67">
        <v>52000000</v>
      </c>
      <c r="C75" s="176" t="s">
        <v>127</v>
      </c>
    </row>
    <row r="76" spans="1:14">
      <c r="A76" s="144" t="s">
        <v>122</v>
      </c>
      <c r="B76"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75))&gt;6,ROMAN(MID(INT(B75),1,LEN(INT(B75))-6)+0)&amp;" million "&amp;ROMAN(MID(INT(B75),LEN(INT(B75))-5,3)+0)&amp;" ming "&amp;ROMAN(MID(INT(B75),LEN(INT(B75))-2,3)+0),IF(LEN(INT(B75))&gt;3,ROMAN(MID(INT(B75),1,LEN(INT(B75))-3)+0)&amp;" ming "&amp;ROMAN(MID(INT(B75),LEN(INT(B75))-2,3)+0),ROMAN(INT(B75)))),"DCCC","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ellik ikki million so'm</v>
      </c>
      <c r="C76" s="174"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Ellik ikki million so'm</v>
      </c>
    </row>
    <row r="77" spans="1:14">
      <c r="A77" s="3" t="s">
        <v>123</v>
      </c>
      <c r="B77" s="49" t="s">
        <v>129</v>
      </c>
      <c r="C77" s="173" t="s">
        <v>129</v>
      </c>
      <c r="D77" s="173" t="s">
        <v>128</v>
      </c>
    </row>
    <row r="78" spans="1:14">
      <c r="A78" s="3" t="str">
        <f>CONCATENATE(B65,"ni to'lash sanasi (14.10.2011)")</f>
        <v>mikroqarzni to'lash sanasi (14.10.2011)</v>
      </c>
      <c r="B78" s="49">
        <v>1</v>
      </c>
      <c r="C78" s="175">
        <f>DATE(YEAR(B67),MONTH(B67)+1,DAY(B78))</f>
        <v>45748</v>
      </c>
      <c r="D78" s="173" t="s">
        <v>29</v>
      </c>
      <c r="E78" s="173" t="s">
        <v>30</v>
      </c>
      <c r="F78" s="173" t="s">
        <v>31</v>
      </c>
      <c r="G78" s="173" t="s">
        <v>32</v>
      </c>
      <c r="H78" s="173" t="s">
        <v>33</v>
      </c>
      <c r="I78" s="173" t="s">
        <v>34</v>
      </c>
      <c r="J78" s="173" t="s">
        <v>35</v>
      </c>
    </row>
    <row r="79" spans="1:14" ht="30" hidden="1">
      <c r="A79" s="3" t="str">
        <f>CONCATENATE(B65,"ni to'lash sanasi (14.10.2011 y.) QO’L BILAN KIRITILADI")</f>
        <v>mikroqarzni to'lash sanasi (14.10.2011 y.) QO’L BILAN KIRITILADI</v>
      </c>
      <c r="B79" s="74">
        <f>DATE(YEAR(B67),MONTH(B67)+1,DAY(B78+C80))</f>
        <v>45748</v>
      </c>
      <c r="C79" s="177" t="str">
        <f>TEXT(C78,"ддд")</f>
        <v>Вт</v>
      </c>
      <c r="D79" s="173" t="s">
        <v>29</v>
      </c>
      <c r="E79" s="173" t="s">
        <v>30</v>
      </c>
      <c r="F79" s="173" t="s">
        <v>31</v>
      </c>
      <c r="G79" s="173" t="s">
        <v>32</v>
      </c>
      <c r="H79" s="173" t="s">
        <v>33</v>
      </c>
      <c r="I79" s="173" t="s">
        <v>34</v>
      </c>
      <c r="J79" s="173" t="s">
        <v>35</v>
      </c>
    </row>
    <row r="80" spans="1:14" ht="30" hidden="1">
      <c r="A80" s="3" t="s">
        <v>124</v>
      </c>
      <c r="B80" s="75">
        <f>B79</f>
        <v>45748</v>
      </c>
      <c r="C80" s="173">
        <f>IF(C79=I79,2,IF(C79=J79,1,0))</f>
        <v>0</v>
      </c>
    </row>
    <row r="81" spans="1:63">
      <c r="A81" s="3" t="str">
        <f>CONCATENATE(B65," muddati")</f>
        <v>mikroqarz muddati</v>
      </c>
      <c r="B81" s="49">
        <v>36</v>
      </c>
      <c r="C81" s="173">
        <v>6</v>
      </c>
      <c r="D81" s="173">
        <v>12</v>
      </c>
      <c r="E81" s="173">
        <v>18</v>
      </c>
      <c r="F81" s="173">
        <v>24</v>
      </c>
      <c r="G81" s="173">
        <v>36</v>
      </c>
    </row>
    <row r="82" spans="1:63">
      <c r="A82" s="3" t="str">
        <f>CONCATENATE(B65," muddati QO’L BILAN KIRITILADI")</f>
        <v>mikroqarz muddati QO’L BILAN KIRITILADI</v>
      </c>
      <c r="B82" s="140" t="s">
        <v>395</v>
      </c>
    </row>
    <row r="83" spans="1:63" ht="30">
      <c r="A83" s="162" t="s">
        <v>348</v>
      </c>
      <c r="B83" s="140">
        <v>0</v>
      </c>
      <c r="BJ83" s="173">
        <v>1</v>
      </c>
      <c r="BK83" s="173">
        <v>0</v>
      </c>
    </row>
    <row r="84" spans="1:63">
      <c r="A84" s="3" t="str">
        <f>CONCATENATE(B65," stavkasi")</f>
        <v>mikroqarz stavkasi</v>
      </c>
      <c r="B84" s="77">
        <v>0.6</v>
      </c>
    </row>
    <row r="85" spans="1:63">
      <c r="A85" s="3" t="str">
        <f>CONCATENATE(B65," stavkasi")</f>
        <v>mikroqarz stavkasi</v>
      </c>
      <c r="B85" s="78" t="s">
        <v>389</v>
      </c>
    </row>
    <row r="86" spans="1:63">
      <c r="A86" s="3" t="str">
        <f>CONCATENATE(B65," stavkasi (so’z bilan)")</f>
        <v>mikroqarz stavkasi (so’z bilan)</v>
      </c>
      <c r="B86" s="76" t="s">
        <v>390</v>
      </c>
      <c r="C86" s="173" t="s">
        <v>390</v>
      </c>
    </row>
    <row r="87" spans="1:63">
      <c r="A87" s="3" t="str">
        <f>CONCATENATE("Muddati o'tgan ",B65," bo’yicha stavka")</f>
        <v>Muddati o'tgan mikroqarz bo’yicha stavka</v>
      </c>
      <c r="B87" s="77">
        <v>1</v>
      </c>
    </row>
    <row r="88" spans="1:63">
      <c r="A88" s="144" t="s">
        <v>122</v>
      </c>
      <c r="B88" s="78" t="s">
        <v>392</v>
      </c>
    </row>
    <row r="89" spans="1:63">
      <c r="A89" s="3" t="str">
        <f>CONCATENATE("Muddati o'tgan ",B65," bo’yicha stavka")</f>
        <v>Muddati o'tgan mikroqarz bo’yicha stavka</v>
      </c>
      <c r="B89" s="76" t="s">
        <v>393</v>
      </c>
      <c r="C89" s="173" t="s">
        <v>393</v>
      </c>
    </row>
    <row r="90" spans="1:63">
      <c r="A90" s="3" t="s">
        <v>125</v>
      </c>
      <c r="B90" s="79">
        <f>IF(B77=C77,LARGE(grafik!F9:F26,1),ROUND(PMT(B84/12,B81,-B75,0),-3))</f>
        <v>4027823.32</v>
      </c>
    </row>
    <row r="91" spans="1:63">
      <c r="A91" s="268" t="s">
        <v>405</v>
      </c>
      <c r="B91" s="268"/>
    </row>
    <row r="92" spans="1:63">
      <c r="A92" s="245" t="s">
        <v>407</v>
      </c>
      <c r="B92" s="246" t="s">
        <v>415</v>
      </c>
    </row>
    <row r="93" spans="1:63">
      <c r="A93" s="245" t="s">
        <v>408</v>
      </c>
      <c r="B93" s="247" t="s">
        <v>416</v>
      </c>
    </row>
    <row r="94" spans="1:63">
      <c r="A94" s="245" t="s">
        <v>409</v>
      </c>
      <c r="B94" s="248" t="s">
        <v>417</v>
      </c>
    </row>
    <row r="95" spans="1:63">
      <c r="A95" s="245" t="s">
        <v>410</v>
      </c>
      <c r="B95" s="248" t="s">
        <v>418</v>
      </c>
    </row>
    <row r="96" spans="1:63">
      <c r="A96" s="245" t="s">
        <v>406</v>
      </c>
      <c r="B96" s="248" t="s">
        <v>446</v>
      </c>
    </row>
    <row r="97" spans="1:4">
      <c r="A97" s="268" t="s">
        <v>126</v>
      </c>
      <c r="B97" s="268"/>
    </row>
    <row r="98" spans="1:4" ht="18">
      <c r="A98" s="80"/>
      <c r="B98" s="134" t="s">
        <v>131</v>
      </c>
      <c r="C98" s="178" t="s">
        <v>131</v>
      </c>
      <c r="D98" s="173" t="s">
        <v>132</v>
      </c>
    </row>
    <row r="99" spans="1:4" ht="18">
      <c r="A99" s="8" t="s">
        <v>137</v>
      </c>
      <c r="B99" s="134" t="s">
        <v>134</v>
      </c>
      <c r="C99" s="179" t="s">
        <v>133</v>
      </c>
      <c r="D99" s="173" t="s">
        <v>134</v>
      </c>
    </row>
    <row r="100" spans="1:4" ht="54">
      <c r="A100" s="8" t="s">
        <v>138</v>
      </c>
      <c r="B100" s="134" t="s">
        <v>135</v>
      </c>
      <c r="C100" s="173" t="s">
        <v>135</v>
      </c>
      <c r="D100" s="173" t="s">
        <v>136</v>
      </c>
    </row>
    <row r="101" spans="1:4" ht="36">
      <c r="A101" s="8" t="s">
        <v>139</v>
      </c>
      <c r="B101" s="134"/>
    </row>
    <row r="102" spans="1:4" ht="36">
      <c r="A102" s="8" t="s">
        <v>140</v>
      </c>
      <c r="B102" s="134"/>
    </row>
    <row r="103" spans="1:4">
      <c r="A103" s="268"/>
      <c r="B103" s="268"/>
    </row>
    <row r="104" spans="1:4" ht="36">
      <c r="A104" s="8" t="s">
        <v>141</v>
      </c>
      <c r="B104" s="134"/>
    </row>
    <row r="105" spans="1:4" ht="54">
      <c r="A105" s="8" t="s">
        <v>142</v>
      </c>
      <c r="B105" s="134"/>
    </row>
    <row r="106" spans="1:4" ht="18">
      <c r="A106" s="8" t="s">
        <v>143</v>
      </c>
      <c r="B106" s="141"/>
    </row>
    <row r="107" spans="1:4" ht="18">
      <c r="A107" s="8" t="s">
        <v>144</v>
      </c>
      <c r="B107" s="141"/>
    </row>
    <row r="108" spans="1:4" ht="18" hidden="1">
      <c r="A108" s="8"/>
      <c r="B108" s="134" t="str">
        <f>TEXT(B107,"ДД.ММ.ГГГГ")</f>
        <v>00.01.1900</v>
      </c>
    </row>
    <row r="109" spans="1:4" ht="18">
      <c r="A109" s="8"/>
      <c r="B109" s="9" t="s">
        <v>145</v>
      </c>
      <c r="C109" s="173" t="s">
        <v>145</v>
      </c>
      <c r="D109" s="173" t="s">
        <v>146</v>
      </c>
    </row>
    <row r="110" spans="1:4" ht="60">
      <c r="A110" s="170" t="s">
        <v>350</v>
      </c>
      <c r="B110" s="169" t="s">
        <v>349</v>
      </c>
      <c r="C110" s="194" t="s">
        <v>146</v>
      </c>
    </row>
    <row r="111" spans="1:4" ht="36">
      <c r="A111" s="161" t="s">
        <v>371</v>
      </c>
      <c r="B111" s="9" t="s">
        <v>432</v>
      </c>
      <c r="C111" s="194"/>
    </row>
    <row r="112" spans="1:4" ht="30">
      <c r="A112" s="161" t="s">
        <v>372</v>
      </c>
      <c r="B112" s="9" t="s">
        <v>433</v>
      </c>
      <c r="C112" s="194"/>
    </row>
    <row r="113" spans="1:4" ht="60">
      <c r="A113" s="161" t="str">
        <f>A119</f>
        <v>Tug’ilgan sanasi (01.10.2011 y.)</v>
      </c>
      <c r="B113" s="190" t="s">
        <v>434</v>
      </c>
      <c r="C113" s="194"/>
    </row>
    <row r="114" spans="1:4" ht="60">
      <c r="A114" s="161" t="str">
        <f>A120</f>
        <v>Pasport seriyasi (СА №1234567)</v>
      </c>
      <c r="B114" s="9" t="s">
        <v>435</v>
      </c>
      <c r="C114" s="194"/>
    </row>
    <row r="115" spans="1:4" ht="210">
      <c r="A115" s="161" t="str">
        <f>A121</f>
        <v xml:space="preserve">Kim va qachon berilgan
(Toshkent shahri Chilonzor IIB tomonidan 2011 yil __.____)
</v>
      </c>
      <c r="B115" s="9" t="s">
        <v>447</v>
      </c>
      <c r="C115" s="194"/>
    </row>
    <row r="116" spans="1:4" ht="210">
      <c r="A116" s="161" t="str">
        <f>A122</f>
        <v xml:space="preserve">doimiy ro’yhatdan o’tgan joyi
(Toshkent sh., Mirobod tumani, Nukus ko’chasi, 1 uy, 1 honadon)
</v>
      </c>
      <c r="B116" s="9" t="s">
        <v>436</v>
      </c>
      <c r="C116" s="194"/>
    </row>
    <row r="117" spans="1:4" hidden="1">
      <c r="A117" s="132" t="s">
        <v>158</v>
      </c>
      <c r="B117" s="125" t="str">
        <f>IF(B99="HA",B5,B111)</f>
        <v>XUDOYKULOV ALMURAT KURBONAZAROVICH</v>
      </c>
      <c r="C117" s="195">
        <f>IF(B99="HA",B5,C111)</f>
        <v>0</v>
      </c>
    </row>
    <row r="118" spans="1:4" hidden="1">
      <c r="A118" s="132"/>
      <c r="B118" s="125" t="str">
        <f>IF(B99="HA",B7,B112)</f>
        <v>XUDOYKULOV A.K.</v>
      </c>
      <c r="C118" s="195">
        <f>IF(B99="HA",B7,C112)</f>
        <v>0</v>
      </c>
    </row>
    <row r="119" spans="1:4" hidden="1">
      <c r="A119" s="133" t="s">
        <v>159</v>
      </c>
      <c r="B119" s="160" t="str">
        <f>IF(B99="HA",B15,B113)</f>
        <v>09.11.1967 y.</v>
      </c>
      <c r="C119" s="195">
        <f>IF(B99="HA",B15,C113)</f>
        <v>0</v>
      </c>
    </row>
    <row r="120" spans="1:4" hidden="1">
      <c r="A120" s="133" t="s">
        <v>65</v>
      </c>
      <c r="B120" s="160" t="str">
        <f>IF(B99="HA",B16,B114)</f>
        <v>AB 6443927</v>
      </c>
      <c r="C120" s="195">
        <f>IF(B99="HA",B16,C114)</f>
        <v>0</v>
      </c>
    </row>
    <row r="121" spans="1:4" ht="30" hidden="1" customHeight="1">
      <c r="A121" s="133" t="s">
        <v>68</v>
      </c>
      <c r="B121" s="125" t="str">
        <f>IF(B99="HA",B20,B115)</f>
        <v xml:space="preserve">SURXONDARYO VILOYATI JARQO'RG'ON TUMANI IIB tomonidan 10.04.2017 yilda berilgan </v>
      </c>
      <c r="C121" s="195">
        <f>IF(B99="HA",B20,C115)</f>
        <v>0</v>
      </c>
      <c r="D121" s="173">
        <v>493193762</v>
      </c>
    </row>
    <row r="122" spans="1:4" ht="53.25" hidden="1" customHeight="1">
      <c r="A122" s="133" t="s">
        <v>70</v>
      </c>
      <c r="B122" s="125" t="str">
        <f>IF(B99="HA",B22,B116)</f>
        <v>SURXONDARYO VILOYATI JARQO'RG'ON TUMANI OQQURG'ON QFY QORAYONTOQ MFY IBN SINO KO'CHASI 114-UY</v>
      </c>
      <c r="C122" s="196">
        <f>IF(B99="HA",B22,C116)</f>
        <v>0</v>
      </c>
    </row>
    <row r="123" spans="1:4" hidden="1">
      <c r="A123" s="133" t="s">
        <v>160</v>
      </c>
      <c r="B123" s="1" t="str">
        <f>IF(B99="ha",B5,B117)</f>
        <v>XUDOYKULOV ALMURAT KURBONAZAROVICH</v>
      </c>
      <c r="C123" s="197">
        <f>IF(B99="ha",B5,C117)</f>
        <v>0</v>
      </c>
    </row>
    <row r="124" spans="1:4" hidden="1">
      <c r="A124" s="133"/>
      <c r="B124" s="1" t="str">
        <f>IF(B99="ha",B7,B118)</f>
        <v>XUDOYKULOV A.K.</v>
      </c>
      <c r="C124" s="197">
        <f>IF(B99="ha",B7,C118)</f>
        <v>0</v>
      </c>
    </row>
    <row r="125" spans="1:4" hidden="1">
      <c r="A125" s="3" t="s">
        <v>159</v>
      </c>
      <c r="B125" s="1" t="str">
        <f>IF(B99="ha",B15,B119)</f>
        <v>09.11.1967 y.</v>
      </c>
      <c r="C125" s="197">
        <f>IF(B99="ha",B15,C119)</f>
        <v>0</v>
      </c>
    </row>
    <row r="126" spans="1:4" hidden="1">
      <c r="A126" s="3" t="s">
        <v>65</v>
      </c>
      <c r="B126" s="1" t="str">
        <f>IF(B99="ha",B16,B120)</f>
        <v>AB 6443927</v>
      </c>
      <c r="C126" s="197">
        <f>IF(B99="ha",B16,C120)</f>
        <v>0</v>
      </c>
    </row>
    <row r="127" spans="1:4" ht="60" hidden="1">
      <c r="A127" s="3" t="s">
        <v>68</v>
      </c>
      <c r="B127" s="1" t="str">
        <f>IF(B99="ha",B20,B121)</f>
        <v xml:space="preserve">SURXONDARYO VILOYATI JARQO'RG'ON TUMANI IIB tomonidan 10.04.2017 yilda berilgan </v>
      </c>
      <c r="C127" s="197">
        <f>IF(B99="ha",B20,C121)</f>
        <v>0</v>
      </c>
    </row>
    <row r="128" spans="1:4" ht="60" hidden="1">
      <c r="A128" s="3" t="s">
        <v>70</v>
      </c>
      <c r="B128" s="157" t="str">
        <f>IF(B99="ha",B22,B122)</f>
        <v>SURXONDARYO VILOYATI JARQO'RG'ON TUMANI OQQURG'ON QFY QORAYONTOQ MFY IBN SINO KO'CHASI 114-UY</v>
      </c>
      <c r="C128" s="198">
        <f>IF(B99="ha",B22,C122)</f>
        <v>0</v>
      </c>
    </row>
    <row r="129" spans="1:18" ht="42.75">
      <c r="A129" s="3" t="s">
        <v>161</v>
      </c>
      <c r="B129" s="49" t="s">
        <v>437</v>
      </c>
      <c r="C129" s="199" t="s">
        <v>48</v>
      </c>
      <c r="N129" s="173" t="str">
        <f>IF(B109=C109,B123,IF(B109=D109,C123,0))</f>
        <v>XUDOYKULOV ALMURAT KURBONAZAROVICH</v>
      </c>
    </row>
    <row r="130" spans="1:18" ht="45">
      <c r="A130" s="3" t="s">
        <v>162</v>
      </c>
      <c r="B130" s="49" t="s">
        <v>438</v>
      </c>
      <c r="C130" s="197" t="s">
        <v>381</v>
      </c>
      <c r="D130" s="200" t="s">
        <v>151</v>
      </c>
      <c r="Q130" s="173" t="str">
        <f>""&amp;B101&amp;" (по генеральному доверенестью №"&amp;B106&amp;" от "&amp;B108&amp;")"</f>
        <v xml:space="preserve"> (по генеральному доверенестью № от 00.01.1900)</v>
      </c>
      <c r="R130" s="173" t="str">
        <f>""&amp;B101&amp;" ("&amp;B108&amp;"y. sanasidagi reestr raqami №"&amp;B106&amp;" bo'lgan Ishonchnomaga asosan)"</f>
        <v xml:space="preserve"> (00.01.1900y. sanasidagi reestr raqami № bo'lgan Ishonchnomaga asosan)</v>
      </c>
    </row>
    <row r="131" spans="1:18" ht="45">
      <c r="A131" s="3" t="s">
        <v>163</v>
      </c>
      <c r="B131" s="49" t="s">
        <v>439</v>
      </c>
      <c r="C131" s="198" t="str">
        <f>""&amp;D132&amp;" "&amp;IF(C135=D135,"- xonali yakka tartibdagi uy-joy", IF(C135=E135,"-  xonali ko'p qavatli uydagi xonadon",0))&amp;""</f>
        <v>3 - xonali yakka tartibdagi uy-joy</v>
      </c>
      <c r="D131" s="201" t="s">
        <v>149</v>
      </c>
      <c r="E131" s="173" t="str">
        <f>IF($C$135=$D$135,I131,IF($C$135=$E$135,H131,0))</f>
        <v>3 - xonali yakka tartibdagi uy-joy</v>
      </c>
      <c r="F131" s="173" t="str">
        <f>IF($C$135=$D$135,I131,IF($C$135=$E$135,H131,0))</f>
        <v>3 - xonali yakka tartibdagi uy-joy</v>
      </c>
      <c r="H131" s="173" t="str">
        <f>"Ko'p qavatli uydagi "&amp;D132&amp;" - xonali xonadon"</f>
        <v>Ko'p qavatli uydagi 3 - xonali xonadon</v>
      </c>
      <c r="I131" s="173" t="str">
        <f>""&amp;D132&amp;" - xonali yakka tartibdagi uy-joy"</f>
        <v>3 - xonali yakka tartibdagi uy-joy</v>
      </c>
      <c r="N131" s="173" t="str">
        <f>IF(B99=C99,Q132,IF(B99=D99,Q131,0))</f>
        <v>Микрофинансовой организацией, Заемщиком и XUDOYKULOV ALMURAT KURBONAZAROVICH</v>
      </c>
      <c r="Q131" s="173" t="str">
        <f>"Микрофинансовой организацией, Заемщиком и "&amp;IF(B100=D100,Q130,IF(B100=C100,B117,0))&amp;""</f>
        <v>Микрофинансовой организацией, Заемщиком и XUDOYKULOV ALMURAT KURBONAZAROVICH</v>
      </c>
      <c r="R131" s="173" t="str">
        <f>"Mikromoliya tashkiloti, Qarz oluvchi va "&amp;IF(B100=D100,R130,IF(B100=C100,B117))&amp;""</f>
        <v>Mikromoliya tashkiloti, Qarz oluvchi va XUDOYKULOV ALMURAT KURBONAZAROVICH</v>
      </c>
    </row>
    <row r="132" spans="1:18" ht="30">
      <c r="A132" s="3" t="s">
        <v>164</v>
      </c>
      <c r="B132" s="191" t="s">
        <v>440</v>
      </c>
      <c r="C132" s="198" t="str">
        <f>C131</f>
        <v>3 - xonali yakka tartibdagi uy-joy</v>
      </c>
      <c r="D132" s="202">
        <v>3</v>
      </c>
      <c r="E132" s="173" t="str">
        <f>IF($C$135=$D$135,I132,IF($C$135=$E$135,H132,0))</f>
        <v>yer uchastkasi maydoni - , umumiy maydoni - 72,13, yashash maydoni - 37,39</v>
      </c>
      <c r="F132" s="173" t="str">
        <f>IF($C$135=$D$135,I132,IF($C$135=$E$135,H132,0))</f>
        <v>yer uchastkasi maydoni - , umumiy maydoni - 72,13, yashash maydoni - 37,39</v>
      </c>
      <c r="H132" s="173" t="str">
        <f>"umumiy maydoni - "&amp;C136&amp;", yashash maydoni - "&amp;C139&amp;""</f>
        <v>umumiy maydoni - 72,13, yashash maydoni - 37,39</v>
      </c>
      <c r="I132" s="173" t="str">
        <f>"yer uchastkasi maydoni - "&amp;C137&amp;", umumiy maydoni - "&amp;C136&amp;", yashash maydoni - "&amp;C139&amp;""</f>
        <v>yer uchastkasi maydoni - , umumiy maydoni - 72,13, yashash maydoni - 37,39</v>
      </c>
      <c r="N132" s="173" t="str">
        <f>IF(B99=C99,R132,IF(B99=D99,R131,0))</f>
        <v>Mikromoliya tashkiloti, Qarz oluvchi va XUDOYKULOV ALMURAT KURBONAZAROVICH</v>
      </c>
      <c r="Q132" s="173" t="s">
        <v>52</v>
      </c>
      <c r="R132" s="173" t="s">
        <v>150</v>
      </c>
    </row>
    <row r="133" spans="1:18" ht="27" customHeight="1">
      <c r="A133" s="3" t="s">
        <v>165</v>
      </c>
      <c r="B133" s="72" t="str">
        <f>"kuzov turi - "&amp;B134&amp;", kuzov raqami "&amp;B135&amp;""</f>
        <v>kuzov turi - YENGIL SEDAN, kuzov raqami XTAGFL110KY258232</v>
      </c>
      <c r="C133" s="197" t="s">
        <v>380</v>
      </c>
      <c r="D133" s="200" t="s">
        <v>382</v>
      </c>
    </row>
    <row r="134" spans="1:18">
      <c r="A134" s="68" t="s">
        <v>166</v>
      </c>
      <c r="B134" s="49" t="s">
        <v>441</v>
      </c>
      <c r="C134" s="203"/>
    </row>
    <row r="135" spans="1:18">
      <c r="A135" s="68" t="s">
        <v>167</v>
      </c>
      <c r="B135" s="49" t="s">
        <v>442</v>
      </c>
      <c r="C135" s="192" t="s">
        <v>152</v>
      </c>
      <c r="D135" s="173" t="s">
        <v>152</v>
      </c>
      <c r="E135" s="173" t="s">
        <v>153</v>
      </c>
    </row>
    <row r="136" spans="1:18" ht="27" customHeight="1">
      <c r="A136" s="3" t="s">
        <v>168</v>
      </c>
      <c r="B136" s="72" t="str">
        <f>"dvigatel raqami "&amp;B137&amp;", shassi raqami - "&amp;B138&amp;""</f>
        <v>dvigatel raqami 3977458, shassi raqami - RAKAMSIZ</v>
      </c>
      <c r="C136" s="192">
        <v>72.13</v>
      </c>
      <c r="D136" s="204" t="s">
        <v>154</v>
      </c>
      <c r="E136" s="173" t="str">
        <f>CONCATENATE(C136," ","kv.m")</f>
        <v>72,13 kv.m</v>
      </c>
      <c r="F136" s="182">
        <f>C136-C139</f>
        <v>34.739999999999995</v>
      </c>
    </row>
    <row r="137" spans="1:18">
      <c r="A137" s="68" t="s">
        <v>169</v>
      </c>
      <c r="B137" s="57" t="s">
        <v>443</v>
      </c>
      <c r="C137" s="192"/>
      <c r="D137" s="204" t="s">
        <v>155</v>
      </c>
    </row>
    <row r="138" spans="1:18">
      <c r="A138" s="68" t="s">
        <v>170</v>
      </c>
      <c r="B138" s="49" t="s">
        <v>448</v>
      </c>
      <c r="C138" s="192"/>
    </row>
    <row r="139" spans="1:18" ht="25.5" customHeight="1">
      <c r="A139" s="3" t="s">
        <v>171</v>
      </c>
      <c r="B139" s="72" t="str">
        <f>"rangi -  "&amp;B140&amp;", ishlab chiqarilgan yili - "&amp;B141&amp;""</f>
        <v>rangi -  SARIQ JELTO- ORANJEVIY, ishlab chiqarilgan yili - 2019</v>
      </c>
      <c r="C139" s="205" t="s">
        <v>379</v>
      </c>
      <c r="D139" s="204" t="s">
        <v>252</v>
      </c>
      <c r="E139" s="173" t="str">
        <f>CONCATENATE(C139," ","kv.m")</f>
        <v>37,39 kv.m</v>
      </c>
    </row>
    <row r="140" spans="1:18">
      <c r="A140" s="68" t="s">
        <v>172</v>
      </c>
      <c r="B140" s="49" t="s">
        <v>444</v>
      </c>
      <c r="C140" s="192"/>
    </row>
    <row r="141" spans="1:18" ht="30">
      <c r="A141" s="68" t="s">
        <v>173</v>
      </c>
      <c r="B141" s="57" t="s">
        <v>445</v>
      </c>
      <c r="C141" s="203">
        <v>44181</v>
      </c>
      <c r="D141" s="206" t="s">
        <v>383</v>
      </c>
    </row>
    <row r="142" spans="1:18" hidden="1">
      <c r="A142" s="3" t="s">
        <v>174</v>
      </c>
      <c r="B142" s="21">
        <f>B75*1.5</f>
        <v>78000000</v>
      </c>
      <c r="C142" s="207">
        <f>B142</f>
        <v>78000000</v>
      </c>
      <c r="D142" s="204" t="s">
        <v>174</v>
      </c>
    </row>
    <row r="143" spans="1:18" ht="27.75" hidden="1" customHeight="1">
      <c r="A143" s="167"/>
      <c r="B143"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142))&gt;6,ROMAN(MID(INT(B142),1,LEN(INT(B142))-6)+0)&amp;" million "&amp;ROMAN(MID(INT(B142),LEN(INT(B142))-5,3)+0)&amp;" ming "&amp;ROMAN(MID(INT(B142),LEN(INT(B142))-2,3)+0),IF(LEN(INT(B142))&gt;3,ROMAN(MID(INT(B142),1,LEN(INT(B142))-3)+0)&amp;" ming "&amp;ROMAN(MID(INT(B142),LEN(INT(B142))-2,3)+0),ROMAN(INT(B142)))),"DCCC","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yetmish sakkiz million so'm</v>
      </c>
      <c r="C143" s="207" t="str">
        <f>B143</f>
        <v>yetmish sakkiz million so'm</v>
      </c>
    </row>
    <row r="144" spans="1:18" ht="27.75" hidden="1" customHeight="1">
      <c r="A144" s="3"/>
      <c r="B144" s="142" t="str">
        <f>B143</f>
        <v>yetmish sakkiz million so'm</v>
      </c>
      <c r="C144" s="208"/>
    </row>
    <row r="145" spans="1:3" ht="20.25">
      <c r="A145" s="3" t="s">
        <v>345</v>
      </c>
      <c r="B145" s="52">
        <v>249434</v>
      </c>
      <c r="C145" s="173" t="s">
        <v>385</v>
      </c>
    </row>
    <row r="146" spans="1:3">
      <c r="A146" s="3" t="s">
        <v>373</v>
      </c>
      <c r="B146" s="49">
        <v>1</v>
      </c>
    </row>
    <row r="147" spans="1:3">
      <c r="A147" s="3" t="s">
        <v>156</v>
      </c>
      <c r="B147" s="2" t="s">
        <v>147</v>
      </c>
      <c r="C147" s="173">
        <v>1</v>
      </c>
    </row>
    <row r="148" spans="1:3" hidden="1">
      <c r="A148" s="3" t="s">
        <v>157</v>
      </c>
      <c r="B148" s="4" t="str">
        <f>B70</f>
        <v>24 mart 2025 y.</v>
      </c>
      <c r="C148" s="173" t="str">
        <f>B70</f>
        <v>24 mart 2025 y.</v>
      </c>
    </row>
    <row r="149" spans="1:3" hidden="1">
      <c r="A149" s="3"/>
      <c r="B149" s="1">
        <f>YEAR(B67)</f>
        <v>2025</v>
      </c>
    </row>
    <row r="150" spans="1:3" hidden="1">
      <c r="A150" s="3"/>
      <c r="B150" s="145" t="str">
        <f>D67</f>
        <v>mart</v>
      </c>
    </row>
    <row r="151" spans="1:3" hidden="1">
      <c r="A151" s="3"/>
      <c r="B151" s="1">
        <f>DAY(B67)</f>
        <v>24</v>
      </c>
    </row>
    <row r="152" spans="1:3">
      <c r="A152" s="268" t="s">
        <v>354</v>
      </c>
      <c r="B152" s="268"/>
    </row>
    <row r="153" spans="1:3">
      <c r="A153" s="3" t="s">
        <v>175</v>
      </c>
      <c r="B153" s="1" t="s">
        <v>378</v>
      </c>
    </row>
    <row r="154" spans="1:3">
      <c r="A154" s="3"/>
      <c r="B154" s="1" t="s">
        <v>378</v>
      </c>
    </row>
    <row r="155" spans="1:3">
      <c r="A155" s="3"/>
      <c r="B155" s="1" t="s">
        <v>378</v>
      </c>
    </row>
    <row r="156" spans="1:3">
      <c r="A156" s="215" t="s">
        <v>413</v>
      </c>
      <c r="B156" s="214" t="s">
        <v>414</v>
      </c>
    </row>
    <row r="157" spans="1:3">
      <c r="A157" s="213"/>
      <c r="B157" s="214" t="s">
        <v>412</v>
      </c>
    </row>
    <row r="158" spans="1:3" hidden="1">
      <c r="A158" s="3" t="s">
        <v>179</v>
      </c>
      <c r="B158" s="1" t="s">
        <v>176</v>
      </c>
    </row>
    <row r="159" spans="1:3" ht="28.5" hidden="1">
      <c r="A159" s="3" t="s">
        <v>180</v>
      </c>
      <c r="B159" s="1" t="s">
        <v>177</v>
      </c>
    </row>
    <row r="160" spans="1:3" hidden="1">
      <c r="A160" s="3" t="s">
        <v>181</v>
      </c>
      <c r="B160" s="1" t="s">
        <v>25</v>
      </c>
    </row>
    <row r="161" spans="1:2" hidden="1">
      <c r="A161" s="3" t="s">
        <v>182</v>
      </c>
      <c r="B161" s="1" t="s">
        <v>23</v>
      </c>
    </row>
    <row r="162" spans="1:2" hidden="1">
      <c r="A162" s="3" t="s">
        <v>183</v>
      </c>
      <c r="B162" s="1" t="s">
        <v>178</v>
      </c>
    </row>
    <row r="163" spans="1:2" hidden="1">
      <c r="A163" s="3" t="s">
        <v>184</v>
      </c>
      <c r="B163" s="2" t="s">
        <v>26</v>
      </c>
    </row>
    <row r="164" spans="1:2" hidden="1">
      <c r="A164" s="3" t="s">
        <v>185</v>
      </c>
      <c r="B164" s="1" t="s">
        <v>333</v>
      </c>
    </row>
    <row r="165" spans="1:2">
      <c r="A165" s="3" t="s">
        <v>396</v>
      </c>
      <c r="B165" s="1" t="s">
        <v>397</v>
      </c>
    </row>
    <row r="166" spans="1:2">
      <c r="A166" s="222" t="s">
        <v>376</v>
      </c>
      <c r="B166" s="1" t="s">
        <v>399</v>
      </c>
    </row>
    <row r="167" spans="1:2">
      <c r="A167" s="215" t="s">
        <v>413</v>
      </c>
      <c r="B167" s="214" t="s">
        <v>414</v>
      </c>
    </row>
    <row r="168" spans="1:2">
      <c r="A168" s="3" t="s">
        <v>186</v>
      </c>
      <c r="B168" s="2" t="s">
        <v>346</v>
      </c>
    </row>
    <row r="169" spans="1:2">
      <c r="A169" s="3" t="s">
        <v>187</v>
      </c>
      <c r="B169" s="2" t="s">
        <v>347</v>
      </c>
    </row>
    <row r="170" spans="1:2">
      <c r="A170" s="3" t="s">
        <v>188</v>
      </c>
      <c r="B170" s="1" t="str">
        <f>B1</f>
        <v>№659-SR</v>
      </c>
    </row>
    <row r="171" spans="1:2">
      <c r="A171" s="3" t="s">
        <v>189</v>
      </c>
      <c r="B171" s="4" t="str">
        <f>B70</f>
        <v>24 mart 2025 y.</v>
      </c>
    </row>
  </sheetData>
  <mergeCells count="7">
    <mergeCell ref="A152:B152"/>
    <mergeCell ref="A103:B103"/>
    <mergeCell ref="A4:B4"/>
    <mergeCell ref="A57:B57"/>
    <mergeCell ref="A64:B64"/>
    <mergeCell ref="A97:B97"/>
    <mergeCell ref="A91:B91"/>
  </mergeCells>
  <phoneticPr fontId="62" type="noConversion"/>
  <dataValidations count="13">
    <dataValidation type="list" allowBlank="1" showInputMessage="1" showErrorMessage="1" sqref="B30" xr:uid="{00000000-0002-0000-0000-000000000000}">
      <formula1>$C$30:$D$30</formula1>
    </dataValidation>
    <dataValidation type="list" allowBlank="1" showInputMessage="1" showErrorMessage="1" sqref="B99" xr:uid="{00000000-0002-0000-0000-000001000000}">
      <formula1>$C$99:$D$99</formula1>
    </dataValidation>
    <dataValidation type="list" allowBlank="1" showInputMessage="1" showErrorMessage="1" sqref="B109" xr:uid="{00000000-0002-0000-0000-000002000000}">
      <formula1>$C$109:$D$109</formula1>
    </dataValidation>
    <dataValidation type="list" allowBlank="1" showInputMessage="1" showErrorMessage="1" sqref="B77" xr:uid="{00000000-0002-0000-0000-000003000000}">
      <formula1>$C$77:$D$77</formula1>
    </dataValidation>
    <dataValidation type="list" allowBlank="1" showInputMessage="1" showErrorMessage="1" sqref="C135" xr:uid="{00000000-0002-0000-0000-000004000000}">
      <formula1>$D$135:$E$135</formula1>
    </dataValidation>
    <dataValidation type="list" allowBlank="1" showInputMessage="1" showErrorMessage="1" sqref="B98" xr:uid="{00000000-0002-0000-0000-000005000000}">
      <formula1>$C$98:$D$98</formula1>
    </dataValidation>
    <dataValidation type="list" allowBlank="1" showInputMessage="1" showErrorMessage="1" sqref="B100" xr:uid="{00000000-0002-0000-0000-000006000000}">
      <formula1>$C$100:$D$100</formula1>
    </dataValidation>
    <dataValidation type="list" allowBlank="1" showInputMessage="1" showErrorMessage="1" sqref="B23" xr:uid="{00000000-0002-0000-0000-000007000000}">
      <formula1>$C$23:$D$23</formula1>
    </dataValidation>
    <dataValidation type="list" allowBlank="1" showInputMessage="1" showErrorMessage="1" sqref="B29" xr:uid="{00000000-0002-0000-0000-000008000000}">
      <formula1>$C$29:$F$29</formula1>
    </dataValidation>
    <dataValidation type="list" allowBlank="1" showInputMessage="1" showErrorMessage="1" sqref="B24" xr:uid="{00000000-0002-0000-0000-000009000000}">
      <formula1>$C$24:$D$24</formula1>
    </dataValidation>
    <dataValidation type="list" allowBlank="1" showInputMessage="1" showErrorMessage="1" sqref="B83" xr:uid="{00000000-0002-0000-0000-00000A000000}">
      <formula1>$BJ$83:$BK$83</formula1>
    </dataValidation>
    <dataValidation type="list" allowBlank="1" showInputMessage="1" showErrorMessage="1" sqref="B6" xr:uid="{00000000-0002-0000-0000-00000B000000}">
      <formula1>$C$6:$D$6</formula1>
    </dataValidation>
    <dataValidation type="list" allowBlank="1" showInputMessage="1" showErrorMessage="1" sqref="B44" xr:uid="{00000000-0002-0000-0000-00000C000000}">
      <formula1>$C$44:$D$44</formula1>
    </dataValidation>
  </dataValidation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3">
    <tabColor rgb="FF00B050"/>
  </sheetPr>
  <dimension ref="A1:K132"/>
  <sheetViews>
    <sheetView view="pageBreakPreview" topLeftCell="A121" zoomScale="130" zoomScaleNormal="55" zoomScaleSheetLayoutView="130" workbookViewId="0">
      <selection activeCell="A126" sqref="A126:A127"/>
    </sheetView>
  </sheetViews>
  <sheetFormatPr defaultColWidth="9.140625" defaultRowHeight="15.75"/>
  <cols>
    <col min="1" max="1" width="50.140625" style="6" customWidth="1"/>
    <col min="2" max="2" width="58.85546875" style="6" customWidth="1"/>
    <col min="3" max="3" width="93.28515625" style="6" customWidth="1"/>
    <col min="4" max="7" width="9.140625" style="6" customWidth="1"/>
    <col min="8" max="8" width="111.5703125" style="6" customWidth="1"/>
    <col min="9" max="16" width="9.140625" style="6" customWidth="1"/>
    <col min="17" max="16384" width="9.140625" style="6"/>
  </cols>
  <sheetData>
    <row r="1" spans="1:3">
      <c r="A1" s="271" t="str">
        <f>""&amp;malumot!C64&amp;" shartnoma "&amp;malumot!B66&amp;""</f>
        <v>Mikroqarz shartnoma №659-SR</v>
      </c>
      <c r="B1" s="271"/>
    </row>
    <row r="3" spans="1:3">
      <c r="A3" s="271" t="str">
        <f>"Toshkent shahri                                                                               "&amp;malumot!B70&amp;""</f>
        <v>Toshkent shahri                                                                               24 mart 2025 y.</v>
      </c>
      <c r="B3" s="271"/>
    </row>
    <row r="4" spans="1:3">
      <c r="A4" s="66"/>
    </row>
    <row r="5" spans="1:3" ht="132.75" customHeight="1">
      <c r="A5" s="272" t="str">
        <f>""&amp;malumot!B153&amp;", bundan buyon «Mikromoliya tashkiloti» deb nomlanuvchi, ishonchnoma asosida xarakat qiluvchi "&amp;malumot!A156&amp;" "&amp;malumot!B156&amp;"  bir tomondan va o‘z manfaati yo‘lida hamda o‘z nomidan harakat qiluvchi O‘zbekiston Respublikasi fuqarosi "&amp;malumot!B5&amp;"  (pasport raqami "&amp;malumot!B16&amp;", "&amp;malumot!C20&amp;" ), bundan buyon «Qarz oluvchi» deb nomlanuvchi, boshqa tomondan, birgalikda “Tomonlar” yoki alohida “Tomon” deb nomlanuvchilar, Qarz oluvchi tomonidan "&amp;TEXT(malumot!B2,"ДД.ММ.ГГГГ")&amp;" yil,"&amp;malumot!B65&amp;" olish uchun ariza berilganligini hisobga olib, ushbu "&amp;malumot!C64&amp;" shartnomasini (bundan keyin – «Shartnoma») quyidagilar haqida tuzdilar:"</f>
        <v>«CLEVER MIKROMOLIYA TASHKILOTI» MChJ, bundan buyon «Mikromoliya tashkiloti» deb nomlanuvchi, ishonchnoma asosida xarakat qiluvchi Surxondaryo filiali boshlig'i A.PARDAYEV  bir tomondan va o‘z manfaati yo‘lida hamda o‘z nomidan harakat qiluvchi O‘zbekiston Respublikasi fuqarosi SHAYMARDANOVA SABOXAT YULDASHEVNA  (pasport raqami AC 1659096, SURXONDARYO VILOYATI JARQO'RG'ON TUMANI IIB tomonidan 21.02.2019 yilda berilgan ), bundan buyon «Qarz oluvchi» deb nomlanuvchi, boshqa tomondan, birgalikda “Tomonlar” yoki alohida “Tomon” deb nomlanuvchilar, Qarz oluvchi tomonidan 24.03.2025 yil,mikroqarz olish uchun ariza berilganligini hisobga olib, ushbu Mikroqarz shartnomasini (bundan keyin – «Shartnoma») quyidagilar haqida tuzdilar:</v>
      </c>
      <c r="B5" s="272"/>
    </row>
    <row r="7" spans="1:3">
      <c r="A7" s="271" t="s">
        <v>262</v>
      </c>
      <c r="B7" s="271"/>
    </row>
    <row r="8" spans="1:3" ht="51.75" customHeight="1">
      <c r="A8" s="272" t="str">
        <f>"1.1. Mikromoliya tashkiloti Qarz oluvchiga umumiy miqdori "&amp;FIXED(malumot!B75,2)&amp;" ("&amp;malumot!C76&amp;") bo‘lgan "&amp;malumot!B65&amp;"ni "&amp;malumot!B71&amp;" dan "&amp;malumot!B73&amp;" gacha bo'lgan muddatga naqd pul va/yoki o'tkazmasi shaklida ajratadi."</f>
        <v>1.1. Mikromoliya tashkiloti Qarz oluvchiga umumiy miqdori 52 000 000,00 (Ellik ikki million so'm) bo‘lgan mikroqarzni 24 mart 2025 y. dan 24 mart 2028 y. gacha bo'lgan muddatga naqd pul va/yoki o'tkazmasi shaklida ajratadi.</v>
      </c>
      <c r="B8" s="272"/>
    </row>
    <row r="9" spans="1:3" ht="36" customHeight="1">
      <c r="A9" s="272" t="str">
        <f>"1.2. Qarz oluvchi to‘lovlilik, muddatlilik va ta’minlanganlik tamoyillariga amal qilgan holda "&amp;malumot!B65&amp;"dan foydalanish majburiyatini o‘z zimmasiga oladi."</f>
        <v>1.2. Qarz oluvchi to‘lovlilik, muddatlilik va ta’minlanganlik tamoyillariga amal qilgan holda mikroqarzdan foydalanish majburiyatini o‘z zimmasiga oladi.</v>
      </c>
      <c r="B9" s="272"/>
    </row>
    <row r="10" spans="1:3">
      <c r="A10" s="32"/>
    </row>
    <row r="11" spans="1:3">
      <c r="A11" s="275" t="str">
        <f>"2. "&amp;malumot!D64&amp;" BERISH VA QAYTARISH TARTIBI"</f>
        <v>2. MIKROQARZ BERISH VA QAYTARISH TARTIBI</v>
      </c>
      <c r="B11" s="275"/>
      <c r="C11" s="64"/>
    </row>
    <row r="12" spans="1:3" ht="36" customHeight="1">
      <c r="A12" s="272" t="str">
        <f>"2.1. Ushbu Shartnomaning 1.1.-bandida ko‘rsatilgan summa miqdoridagi "&amp;malumot!B65&amp;"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272"/>
    </row>
    <row r="13" spans="1:3" ht="35.25" customHeight="1">
      <c r="A13" s="272" t="str">
        <f>"2.2. "&amp;malumot!C64&amp;"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272"/>
    </row>
    <row r="14" spans="1:3" ht="35.25" customHeight="1">
      <c r="A14" s="272" t="str">
        <f>"2.3. "&amp;malumot!C64&amp;"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272"/>
    </row>
    <row r="15" spans="1:3" ht="69.75" customHeight="1">
      <c r="A15" s="272" t="str">
        <f>"2.4. Mikromoliya tashkiloti, "&amp;malumot!B65&amp;" berilgan vaqtdan boshlab, "&amp;malumot!B65&amp;" miqdorining qoldiq summasiga "&amp;malumot!B85&amp;"% ("&amp;malumot!C86&amp;") foiz yillik va yiliga 365/366 kunlik hisobidan foizlar hisoblaydi. To'lov jadvaliga muvofiq asosiy qarz bo'yicha navbatdagi to'lov buzilgan hollarda, "&amp;"foiz stavkasi oshiriladi va  Mikromoliya tashkiloti "&amp;malumot!B65&amp;"ning muddati o'tgan asosiy qarz summasiga yillik "&amp;malumot!B88&amp;" ("&amp;malumot!B89&amp;") foiz miqdorida foizlar hisoblaydi."</f>
        <v>2.4. Mikromoliya tashkiloti, mikroqarz berilgan vaqtdan boshlab, mikroqarz miqdorining qoldiq summasiga 60% (Oltmish) foiz yillik va yiliga 365/366 kunlik hisobidan foizlar hisoblaydi. To'lov jadvaliga muvofiq asosiy qarz bo'yicha navbatdagi to'lov buzilgan hollarda, foiz stavkasi oshiriladi va  Mikromoliya tashkiloti mikroqarzning muddati o'tgan asosiy qarz summasiga yillik 100 (bir yuz) foiz miqdorida foizlar hisoblaydi.</v>
      </c>
      <c r="B15" s="272"/>
    </row>
    <row r="16" spans="1:3" ht="177.75" customHeight="1">
      <c r="A16" s="272" t="s">
        <v>329</v>
      </c>
      <c r="B16" s="272"/>
    </row>
    <row r="17" spans="1:11" ht="161.25" customHeight="1">
      <c r="A17" s="272"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272"/>
      <c r="C17" s="149" t="s">
        <v>334</v>
      </c>
      <c r="H17" s="6" t="str">
        <f>malumot!B65</f>
        <v>mikroqarz</v>
      </c>
      <c r="I17" s="6" t="s">
        <v>335</v>
      </c>
    </row>
    <row r="18" spans="1:11" ht="100.5" customHeight="1">
      <c r="A18" s="274" t="s">
        <v>374</v>
      </c>
      <c r="B18" s="274"/>
    </row>
    <row r="19" spans="1:11" ht="36" customHeight="1">
      <c r="A19" s="272" t="str">
        <f>"2.7. Qarz oluvchi Mikromoliya tashkilotining "&amp;malumot!B65&amp;"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272"/>
    </row>
    <row r="20" spans="1:11" ht="48.75" customHeight="1">
      <c r="A20" s="272" t="str">
        <f>"2.8. Qarz oluvchi "&amp;malumot!B65&amp;"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272"/>
    </row>
    <row r="21" spans="1:11" ht="113.25" customHeight="1">
      <c r="A21" s="276"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276"/>
      <c r="C21" s="6" t="str">
        <f>"2.9. Qarz oluvchi jismoniy shaxslarning kreditlar ("&amp;malumot!B65&amp;"lar)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6" t="str">
        <f>"olingan Markaziy bank Boshqaruvining 28.09.2019 y. 24/5-son qarori bilan tasdiqlangan), qarz yuki ko‘rsatkichi har bir qarz oluvchiga qarz beruvchi tomonidan "&amp;malumot!B65&amp;" ajratishda uning summasi va "</f>
        <v xml:space="preserve">olingan Markaziy bank Boshqaruvining 28.09.2019 y. 24/5-son qarori bilan tasdiqlangan), qarz yuki ko‘rsatkichi har bir qarz oluvchiga qarz beruvchi tomonidan mikroqarz ajratishda uning summasi va </v>
      </c>
      <c r="I21" s="6" t="str">
        <f>"qarz oluvchining amaldagi kredit ("&amp;malumot!B65&amp;")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c r="A22" s="275" t="str">
        <f>"3. "&amp;malumot!D64&amp;" TA'MINOTI BO‘YICHA "</f>
        <v xml:space="preserve">3. MIKROQARZ TA'MINOTI BO‘YICHA </v>
      </c>
      <c r="B22" s="275"/>
    </row>
    <row r="23" spans="1:11" ht="19.5" customHeight="1">
      <c r="A23" s="272" t="str">
        <f>"3.1. Ushbu Shartnoma bo‘yicha taqdim etilgan "&amp;malumot!C64&amp;" quyidagi garov bilan ta'minlanadi:"</f>
        <v>3.1. Ushbu Shartnoma bo‘yicha taqdim etilgan Mikroqarz quyidagi garov bilan ta'minlanadi:</v>
      </c>
      <c r="B23" s="272"/>
    </row>
    <row r="24" spans="1:11" ht="151.5" customHeight="1">
      <c r="A24" s="273" t="str">
        <f>IF(malumot!B109=malumot!C109,shartnoma!A28,IF(malumot!B109=malumot!D109,shartnoma!A25,0))</f>
        <v>3.1.1. Mikromoliya tashkiloti, Qarz oluvchi va XUDOYKULOV ALMURAT KURBONAZAROVICH tomonidan 2025 yil 24 martda imzolangan 1-sonli garov predmeti qiymatini tasdiqlash dalolatnomasiga muvofiq SARIQ JELTO- ORANJEVIY rangli, ishlab chiqarilgan yili – 2019 yil,  dvigatel raqami 3977458, shassi - RAKAMSIZ,  kuzov turi - YENGIL SEDAN, kuzov raqami №XTAGFL110KY258232, davlat raqam belgisi 75M497WA bo'lgan LADA VESTA rusumli avtomashinasi (bundan keyin “Garov predmeti”), egalik huquqiga ega  XUDOYKULOV ALMURAT KURBONAZAROVICHga tegishli va kelishilgan garov qiymati 2025 yil 24 martda imzolangan 1-sonli Garov predmeti qiymatini tasdiqlash dalolatnomasiga muvifiq 78 000 000,00 (yetmish sakkiz million so'm) so'mni tashkil qiladi. Garov garovining aniq shartlari tegishli notarial rasmiylashtirilgan garov shartnomasi bilan belgilanadi.</v>
      </c>
      <c r="B24" s="273"/>
    </row>
    <row r="25" spans="1:11" ht="129" hidden="1" customHeight="1">
      <c r="A25" s="272" t="str">
        <f>IF(malumot!B98=malumot!C98,shartnoma!A27,IF(malumot!B98=malumot!D98,shartnoma!A26,0))</f>
        <v>3.1.1. Mikromoliya tashkiloti, Qarz oluvchi va XUDOYKULOV ALMURAT KURBONAZAROVICH tomonidan 2025 yil 24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0ga tegishli va kelishilgan garov qiymati 2025 yil 24 martda imzolangan 1-sonli Garov predmeti qiymatini tasdiqlash dalolatnomasiga muvofiq 78 000 000,00 (yetmish sakkiz million so'm) so'mni tashkil qiladi. Garovning aniq shartlari tegishli tarzda notarial tasdiqlangan garov shartnomasi bilan belgilangan.</v>
      </c>
      <c r="B25" s="272"/>
    </row>
    <row r="26" spans="1:11" ht="129.75" hidden="1" customHeight="1">
      <c r="A26" s="273" t="str">
        <f>"3.1.1. "&amp;malumot!N132&amp;" tomonidan "&amp;malumot!B149&amp;" yil "&amp;malumot!B151&amp;" "&amp;malumot!B150&amp;"da imzolangan 1-sonli navbatdagi garov predmeti qiymatini tasdiqlash dalolatnomasiga muvofiq "&amp;malumot!C129&amp;" manzilida joylashgan, "&amp;malumot!E132&amp;" bo'lgan, "&amp;malumot!E131&amp;" ko'rinishidagi ko'chmas mulk (bundan keyin “navbatdagi garov predmeti”), egalik huquqiga ko'ra  "&amp;malumot!C123&amp;"ga tegishli va kelishilgan garov qiymati "&amp;malumot!B149&amp;" yil "&amp;malumot!B151&amp;" "&amp;malumot!B150&amp;"da imzolangan 1-sonli Garov predmeti qiymatini tasdiqlash dalolatnomasiga muvofiq "&amp;FIXED(malumot!B142,2)&amp;" ("&amp;malumot!B144&amp;") so'mni tashkil qiladi. Garovning aniq shartlari tegishli tarzda notarial tasdiqlangan garov shartnomasi bilan belgilangan."</f>
        <v>3.1.1. Mikromoliya tashkiloti, Qarz oluvchi va XUDOYKULOV ALMURAT KURBONAZAROVICH tomonidan 2025 yil 24 martda imzolangan 1-sonli navbatdagi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“navbatdagi garov predmeti”), egalik huquqiga ko'ra  0ga tegishli va kelishilgan garov qiymati 2025 yil 24 martda imzolangan 1-sonli Garov predmeti qiymatini tasdiqlash dalolatnomasiga muvofiq 78 000 000,00 (yetmish sakkiz million so'm) so'mni tashkil qiladi. Garovning aniq shartlari tegishli tarzda notarial tasdiqlangan garov shartnomasi bilan belgilangan.</v>
      </c>
      <c r="B26" s="273"/>
    </row>
    <row r="27" spans="1:11" ht="131.25" hidden="1" customHeight="1">
      <c r="A27" s="272" t="str">
        <f>"3.1.1. "&amp;malumot!N132&amp;" tomonidan "&amp;malumot!B149&amp;" yil "&amp;malumot!B151&amp;" "&amp;malumot!B150&amp;"da imzolangan 1-sonli Garov predmeti qiymatini tasdiqlash dalolatnomasiga muvofiq "&amp;malumot!C129&amp;" manzilida joylashgan, "&amp;malumot!E132&amp;" bo'lgan, "&amp;malumot!E131&amp;" ko'rinishidagi ko'chmas mulk (bundan keyin “Garov predmeti”), egalik huquqiga ko'ra  "&amp;malumot!C123&amp;"ga tegishli va kelishilgan garov qiymati "&amp;malumot!B149&amp;" yil "&amp;malumot!B151&amp;" "&amp;malumot!B150&amp;"da imzolangan 1-sonli Garov predmeti qiymatini tasdiqlash dalolatnomasiga muvofiq "&amp;FIXED(malumot!B142,2)&amp;" ("&amp;malumot!B144&amp;") so'mni tashkil qiladi. Garovning aniq shartlari tegishli tarzda notarial tasdiqlangan garov shartnomasi bilan belgilangan."</f>
        <v>3.1.1. Mikromoliya tashkiloti, Qarz oluvchi va XUDOYKULOV ALMURAT KURBONAZAROVICH tomonidan 2025 yil 24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0ga tegishli va kelishilgan garov qiymati 2025 yil 24 martda imzolangan 1-sonli Garov predmeti qiymatini tasdiqlash dalolatnomasiga muvofiq 78 000 000,00 (yetmish sakkiz million so'm) so'mni tashkil qiladi. Garovning aniq shartlari tegishli tarzda notarial tasdiqlangan garov shartnomasi bilan belgilangan.</v>
      </c>
      <c r="B27" s="272"/>
    </row>
    <row r="28" spans="1:11" ht="114" hidden="1" customHeight="1">
      <c r="A28" s="273" t="str">
        <f>IF(malumot!B98=malumot!C98,A29,IF(malumot!B98=malumot!D98,A30,0))</f>
        <v>3.1.1. Mikromoliya tashkiloti, Qarz oluvchi va XUDOYKULOV ALMURAT KURBONAZAROVICH tomonidan 2025 yil 24 martda imzolangan 1-sonli garov predmeti qiymatini tasdiqlash dalolatnomasiga muvofiq SARIQ JELTO- ORANJEVIY rangli, ishlab chiqarilgan yili – 2019 yil,  dvigatel raqami 3977458, shassi - RAKAMSIZ,  kuzov turi - YENGIL SEDAN, kuzov raqami №XTAGFL110KY258232, davlat raqam belgisi 75M497WA bo'lgan LADA VESTA rusumli avtomashinasi (bundan keyin “Garov predmeti”), egalik huquqiga ega  XUDOYKULOV ALMURAT KURBONAZAROVICHga tegishli va kelishilgan garov qiymati 2025 yil 24 martda imzolangan 1-sonli Garov predmeti qiymatini tasdiqlash dalolatnomasiga muvifiq 78 000 000,00 (yetmish sakkiz million so'm) so'mni tashkil qiladi. Garov garovining aniq shartlari tegishli notarial rasmiylashtirilgan garov shartnomasi bilan belgilanadi.</v>
      </c>
      <c r="B28" s="273"/>
      <c r="K28" s="6" t="s">
        <v>326</v>
      </c>
    </row>
    <row r="29" spans="1:11" ht="114.75" hidden="1" customHeight="1">
      <c r="A29" s="273" t="str">
        <f>"3.1.1. "&amp;malumot!N132&amp;" tomonidan "&amp;malumot!B149&amp;" yil "&amp;malumot!B151&amp;" "&amp;malumot!B150&amp;"da imzolangan 1-sonli garov predmeti qiymatini tasdiqlash dalolatnomasiga muvofiq "&amp;malumot!B140&amp;" rangli, ishlab chiqarilgan yili – "&amp;malumot!B141&amp;" yil,  dvigatel raqami "&amp;malumot!B137&amp;", shassi - "&amp;malumot!B138&amp;",  kuzov turi - "&amp;malumot!B134&amp;", kuzov raqami №"&amp;malumot!B135&amp;", davlat raqam belgisi "&amp;malumot!B132&amp;" bo'lgan "&amp;malumot!B131&amp;" rusumli avtomashinasi (bundan keyin “Garov predmeti”), egalik huquqiga ega  "&amp;malumot!B123&amp;"ga tegishli va kelishilgan garov qiymati "&amp;malumot!B149&amp;" yil "&amp;malumot!B151&amp;" "&amp;malumot!B150&amp;"da imzolangan 1-sonli Garov predmeti qiymatini tasdiqlash dalolatnomasiga muvifiq "&amp;FIXED(malumot!B142,2)&amp;" ("&amp;malumot!B144&amp;") so'mni tashkil qiladi. Garov garovining aniq shartlari tegishli notarial rasmiylashtirilgan garov shartnomasi bilan belgilanadi."</f>
        <v>3.1.1. Mikromoliya tashkiloti, Qarz oluvchi va XUDOYKULOV ALMURAT KURBONAZAROVICH tomonidan 2025 yil 24 martda imzolangan 1-sonli garov predmeti qiymatini tasdiqlash dalolatnomasiga muvofiq SARIQ JELTO- ORANJEVIY rangli, ishlab chiqarilgan yili – 2019 yil,  dvigatel raqami 3977458, shassi - RAKAMSIZ,  kuzov turi - YENGIL SEDAN, kuzov raqami №XTAGFL110KY258232, davlat raqam belgisi 75M497WA bo'lgan LADA VESTA rusumli avtomashinasi (bundan keyin “Garov predmeti”), egalik huquqiga ega  XUDOYKULOV ALMURAT KURBONAZAROVICHga tegishli va kelishilgan garov qiymati 2025 yil 24 martda imzolangan 1-sonli Garov predmeti qiymatini tasdiqlash dalolatnomasiga muvifiq 78 000 000,00 (yetmish sakkiz million so'm) so'mni tashkil qiladi. Garov garovining aniq shartlari tegishli notarial rasmiylashtirilgan garov shartnomasi bilan belgilanadi.</v>
      </c>
      <c r="B29" s="273"/>
    </row>
    <row r="30" spans="1:11" ht="115.5" hidden="1" customHeight="1">
      <c r="A30" s="278" t="str">
        <f>"3.1.1. "&amp;malumot!N132&amp;" tomonidan "&amp;malumot!B149&amp;" yil "&amp;malumot!B151&amp;" "&amp;malumot!B150&amp;"da imzolangan 1-sonli navbatdagi garov predmeti qiymatini tasdiqlash dalolatnomasiga muvofiq "&amp;malumot!B140&amp;" rangli, ishlab chiqarilgan yili – "&amp;malumot!B141&amp;" yil,  dvigatel raqami "&amp;malumot!B137&amp;", shassi - "&amp;malumot!B138&amp;",  kuzov turi - "&amp;malumot!B134&amp;", kuzov raqami №"&amp;malumot!B135&amp;", davlat raqam belgisi "&amp;malumot!B132&amp;" bo'lgan "&amp;malumot!B131&amp;" rusumli avtomashinasi (bundan keyin “navbatdagi garov predmeti”), egalik huquqiga ega  "&amp;malumot!B123&amp;"ga tegishli va kelishilgan garov qiymati "&amp;malumot!B149&amp;" yil "&amp;malumot!B151&amp;" "&amp;malumot!B150&amp;"da imzolangan 1-sonli Garov predmeti qiymatini tasdiqlash dalolatnomasiga muvifiq "&amp;FIXED(malumot!B142,2)&amp;" ("&amp;malumot!B144&amp;") so'mni tashkil qiladi. Garov garovining aniq shartlari tegishli notarial rasmiylashtirilgan garov shartnomasi bilan belgilanadi."</f>
        <v>3.1.1. Mikromoliya tashkiloti, Qarz oluvchi va XUDOYKULOV ALMURAT KURBONAZAROVICH tomonidan 2025 yil 24 martda imzolangan 1-sonli navbatdagi garov predmeti qiymatini tasdiqlash dalolatnomasiga muvofiq SARIQ JELTO- ORANJEVIY rangli, ishlab chiqarilgan yili – 2019 yil,  dvigatel raqami 3977458, shassi - RAKAMSIZ,  kuzov turi - YENGIL SEDAN, kuzov raqami №XTAGFL110KY258232, davlat raqam belgisi 75M497WA bo'lgan LADA VESTA rusumli avtomashinasi (bundan keyin “navbatdagi garov predmeti”), egalik huquqiga ega  XUDOYKULOV ALMURAT KURBONAZAROVICHga tegishli va kelishilgan garov qiymati 2025 yil 24 martda imzolangan 1-sonli Garov predmeti qiymatini tasdiqlash dalolatnomasiga muvifiq 78 000 000,00 (yetmish sakkiz million so'm) so'mni tashkil qiladi. Garov garovining aniq shartlari tegishli notarial rasmiylashtirilgan garov shartnomasi bilan belgilanadi.</v>
      </c>
      <c r="B30" s="278"/>
    </row>
    <row r="31" spans="1:11" ht="117" customHeight="1">
      <c r="A31" s="277"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1" s="277"/>
    </row>
    <row r="32" spans="1:11" ht="94.5" hidden="1">
      <c r="A32" s="153" t="s">
        <v>356</v>
      </c>
      <c r="B32" s="32" t="str">
        <f>CONCATENATE(A33,B33)</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63" hidden="1">
      <c r="A33" s="153" t="str">
        <f>" Mikromoliya tashkilotiga taqdim etilishi lozim. Garov shartnomasi belgilangan muddatda taqdim etilmagan hollarda, Mikromoliya tashkiloti Qarz oluvchining manziliga yozma bildirishnoma yuborish orqali "&amp;malumot!B65&amp;""</f>
        <v xml:space="preserve"> Mikromoliya tashkilotiga taqdim etilishi lozim. Garov shartnomasi belgilangan muddatda taqdim etilmagan hollarda, Mikromoliya tashkiloti Qarz oluvchining manziliga yozma bildirishnoma yuborish orqali mikroqarz</v>
      </c>
      <c r="B33" s="32" t="s">
        <v>337</v>
      </c>
    </row>
    <row r="34" spans="1:8" ht="85.5" customHeight="1">
      <c r="A34" s="277" t="s">
        <v>263</v>
      </c>
      <c r="B34" s="277"/>
    </row>
    <row r="35" spans="1:8" ht="84" customHeight="1">
      <c r="A35" s="277" t="s">
        <v>314</v>
      </c>
      <c r="B35" s="277"/>
    </row>
    <row r="37" spans="1:8">
      <c r="A37" s="280" t="s">
        <v>313</v>
      </c>
      <c r="B37" s="280"/>
      <c r="C37" s="71"/>
    </row>
    <row r="38" spans="1:8">
      <c r="A38" s="279" t="s">
        <v>312</v>
      </c>
      <c r="B38" s="279"/>
    </row>
    <row r="39" spans="1:8" ht="114" customHeight="1">
      <c r="A39" s="277" t="str">
        <f>CONCATENATE(C39,H39)</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39" s="277"/>
      <c r="C39" s="6" t="str">
        <f>"4.1.1. Ushbu Shartnomada ko‘rsatilgan asoslar bo‘yicha Qarz oluvchiga Shartnomada ko‘zda tutilgan "&amp;malumot!B65&amp;""</f>
        <v>4.1.1. Ushbu Shartnomada ko‘rsatilgan asoslar bo‘yicha Qarz oluvchiga Shartnomada ko‘zda tutilgan mikroqarz</v>
      </c>
      <c r="H39" s="149" t="s">
        <v>388</v>
      </c>
    </row>
    <row r="40" spans="1:8" ht="39" customHeight="1">
      <c r="A40" s="277" t="str">
        <f>"4.1.2.1. "&amp;malumot!C64&amp;"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0" s="277"/>
    </row>
    <row r="41" spans="1:8">
      <c r="A41" s="277" t="s">
        <v>315</v>
      </c>
      <c r="B41" s="277"/>
    </row>
    <row r="42" spans="1:8" ht="33" customHeight="1">
      <c r="A42" s="277" t="str">
        <f>"b) "&amp;malumot!B65&amp;" summasiga hisoblanadigan asosiy qarz bo‘yicha muddati o‘tgan qarzdorlik va/yoki foizlarning yuzaga kelishi;"</f>
        <v>b) mikroqarz summasiga hisoblanadigan asosiy qarz bo‘yicha muddati o‘tgan qarzdorlik va/yoki foizlarning yuzaga kelishi;</v>
      </c>
      <c r="B42" s="277"/>
    </row>
    <row r="43" spans="1:8" ht="37.5" customHeight="1">
      <c r="A43" s="277" t="s">
        <v>316</v>
      </c>
      <c r="B43" s="277"/>
    </row>
    <row r="44" spans="1:8" ht="52.5" customHeight="1">
      <c r="A44" s="277" t="s">
        <v>317</v>
      </c>
      <c r="B44" s="277"/>
    </row>
    <row r="45" spans="1:8" ht="19.5" customHeight="1">
      <c r="A45" s="277" t="s">
        <v>318</v>
      </c>
      <c r="B45" s="277"/>
    </row>
    <row r="46" spans="1:8" ht="51.75" customHeight="1">
      <c r="A46" s="277" t="str">
        <f>"f) Qarz oluvchi "&amp;malumot!B65&amp;" summasini olish uchun Mikromoliya tashkilotiga "&amp;malumot!B65&amp;"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6" s="277"/>
    </row>
    <row r="47" spans="1:8" ht="33.75" customHeight="1">
      <c r="A47" s="277" t="s">
        <v>311</v>
      </c>
      <c r="B47" s="277"/>
    </row>
    <row r="48" spans="1:8" ht="36.75" customHeight="1">
      <c r="A48" s="277" t="s">
        <v>310</v>
      </c>
      <c r="B48" s="277"/>
      <c r="C48" s="153"/>
    </row>
    <row r="49" spans="1:8" ht="100.5" customHeight="1">
      <c r="A49" s="272" t="s">
        <v>309</v>
      </c>
      <c r="B49" s="272"/>
      <c r="C49" s="153"/>
    </row>
    <row r="50" spans="1:8" ht="70.5" customHeight="1">
      <c r="A50" s="272" t="s">
        <v>308</v>
      </c>
      <c r="B50" s="272"/>
      <c r="C50" s="153"/>
    </row>
    <row r="51" spans="1:8" ht="39.75" customHeight="1">
      <c r="A51" s="272" t="str">
        <f>"4.1.7. Qarz oluvchini oldindan ogohlantirmasdan "&amp;malumot!B65&amp;"ni qaytarish uchun haqiqatdan ham garov ta'minoti mavjudligini tekshirishni amalga oshirish."</f>
        <v>4.1.7. Qarz oluvchini oldindan ogohlantirmasdan mikroqarzni qaytarish uchun haqiqatdan ham garov ta'minoti mavjudligini tekshirishni amalga oshirish.</v>
      </c>
      <c r="B51" s="272"/>
      <c r="C51" s="153"/>
    </row>
    <row r="52" spans="1:8" ht="33" customHeight="1">
      <c r="A52" s="272" t="s">
        <v>319</v>
      </c>
      <c r="B52" s="272"/>
      <c r="C52" s="153"/>
    </row>
    <row r="53" spans="1:8" ht="39.75" customHeight="1">
      <c r="A53" s="272" t="s">
        <v>307</v>
      </c>
      <c r="B53" s="272"/>
      <c r="C53" s="153"/>
    </row>
    <row r="54" spans="1:8" ht="50.25" customHeight="1">
      <c r="A54" s="272" t="str">
        <f>CONCATENATE(C54,H54)</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4" s="272"/>
      <c r="C54" s="153" t="str">
        <f>"4.1.10. Qarz oluvchi taqdim etilgan "&amp;malumot!B65&amp;"dan Shartnoma tuzilgan kundan boshlab 1 (bir) oy davomida foydalanmagan"</f>
        <v>4.1.10. Qarz oluvchi taqdim etilgan mikroqarzdan Shartnoma tuzilgan kundan boshlab 1 (bir) oy davomida foydalanmagan</v>
      </c>
      <c r="H54" s="6" t="s">
        <v>338</v>
      </c>
    </row>
    <row r="55" spans="1:8" ht="19.5" customHeight="1">
      <c r="A55" s="272" t="str">
        <f>"4.1.11. Oldingi "&amp;malumot!B65&amp;" to‘liq to‘lanmagunga qadar yangi "&amp;malumot!B65&amp;" berishni rad etish."</f>
        <v>4.1.11. Oldingi mikroqarz to‘liq to‘lanmagunga qadar yangi mikroqarz berishni rad etish.</v>
      </c>
      <c r="B55" s="272"/>
      <c r="C55" s="153"/>
    </row>
    <row r="57" spans="1:8">
      <c r="A57" s="275" t="s">
        <v>306</v>
      </c>
      <c r="B57" s="275"/>
      <c r="C57" s="152"/>
    </row>
    <row r="58" spans="1:8">
      <c r="A58" s="281" t="s">
        <v>305</v>
      </c>
      <c r="B58" s="281"/>
      <c r="C58" s="154"/>
    </row>
    <row r="59" spans="1:8" ht="36" customHeight="1">
      <c r="A59" s="272" t="str">
        <f>"5.1.1. Ushbu shartnomada nazarda tutilgan shartlar bo‘yicha "&amp;malumot!B65&amp;" olish, shuningdek, Mikromoliya tashkiloti tomonidan ko‘rsatiladigan pullik xizmatlardan foydalanish."</f>
        <v>5.1.1. Ushbu shartnomada nazarda tutilgan shartlar bo‘yicha mikroqarz olish, shuningdek, Mikromoliya tashkiloti tomonidan ko‘rsatiladigan pullik xizmatlardan foydalanish.</v>
      </c>
      <c r="B59" s="272"/>
      <c r="C59" s="153"/>
    </row>
    <row r="60" spans="1:8" ht="36.75" customHeight="1">
      <c r="A60" s="272" t="str">
        <f>"5.1.2. Shartnoma tuzilgan kundan boshlab 2 (ikki) hafta mobaynida Mikromoliya tashkilotiga bu haqda yozma xabarnoma yo‘llash orqali "&amp;malumot!B65&amp;"ning foydalanilmagan summasidan voz kechish."</f>
        <v>5.1.2. Shartnoma tuzilgan kundan boshlab 2 (ikki) hafta mobaynida Mikromoliya tashkilotiga bu haqda yozma xabarnoma yo‘llash orqali mikroqarzning foydalanilmagan summasidan voz kechish.</v>
      </c>
      <c r="B60" s="272"/>
      <c r="C60" s="153"/>
    </row>
    <row r="61" spans="1:8" ht="17.25" customHeight="1">
      <c r="A61" s="272" t="str">
        <f>"5.1.3. "&amp;malumot!C64&amp;" xizmatlari ko‘rsatish qoidalari bilan tanishish."</f>
        <v>5.1.3. Mikroqarz xizmatlari ko‘rsatish qoidalari bilan tanishish.</v>
      </c>
      <c r="B61" s="272"/>
      <c r="C61" s="153"/>
    </row>
    <row r="62" spans="1:8" ht="36" customHeight="1">
      <c r="A62" s="272" t="str">
        <f>"5.1.4. O‘z huquq va majburiyatlari, shu jumladan "&amp;malumot!B65&amp;" xizmatlari ko‘rsatish bilan bog‘liq barcha xarajatlar haqida aniq va to‘liq ma'lumot olish."</f>
        <v>5.1.4. O‘z huquq va majburiyatlari, shu jumladan mikroqarz xizmatlari ko‘rsatish bilan bog‘liq barcha xarajatlar haqida aniq va to‘liq ma'lumot olish.</v>
      </c>
      <c r="B62" s="272"/>
      <c r="C62" s="153"/>
    </row>
    <row r="63" spans="1:8" ht="33.75" customHeight="1">
      <c r="A63" s="272" t="s">
        <v>320</v>
      </c>
      <c r="B63" s="272"/>
      <c r="C63" s="153"/>
    </row>
    <row r="64" spans="1:8">
      <c r="A64" s="281" t="s">
        <v>304</v>
      </c>
      <c r="B64" s="281"/>
      <c r="C64" s="154"/>
    </row>
    <row r="65" spans="1:8" ht="37.5" customHeight="1">
      <c r="A65" s="272" t="str">
        <f>"5.2.1. Mikromoliya tashkilotining birinchi talabi bilan zarur hujjatlar, shuningdek "&amp;malumot!B65&amp;"dan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5" s="272"/>
      <c r="C65" s="153"/>
    </row>
    <row r="66" spans="1:8" ht="39.75" customHeight="1">
      <c r="A66" s="272" t="s">
        <v>321</v>
      </c>
      <c r="B66" s="272"/>
      <c r="C66" s="153"/>
    </row>
    <row r="67" spans="1:8" ht="27" customHeight="1">
      <c r="A67" s="272" t="str">
        <f>"5.2.3. To‘lov jadvaliga muvofiq "&amp;malumot!B65&amp;", shuningdek hisoblangan foizlar to‘lovlarini amalga oshirish."</f>
        <v>5.2.3. To‘lov jadvaliga muvofiq mikroqarz, shuningdek hisoblangan foizlar to‘lovlarini amalga oshirish.</v>
      </c>
      <c r="B67" s="272"/>
      <c r="C67" s="153"/>
    </row>
    <row r="68" spans="1:8" ht="84" customHeight="1">
      <c r="A68" s="272"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68" s="272"/>
      <c r="C68" s="153" t="s">
        <v>339</v>
      </c>
      <c r="H68" s="6" t="str">
        <f>" "&amp;malumot!B65&amp;"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69" spans="1:8" ht="49.5" customHeight="1">
      <c r="A69" s="272" t="s">
        <v>322</v>
      </c>
      <c r="B69" s="272"/>
      <c r="C69" s="153"/>
    </row>
    <row r="70" spans="1:8" ht="36" customHeight="1">
      <c r="A70" s="272" t="str">
        <f>"5.2.6. Quyidagi holatlarda Mikromoliya tashkilotning birinchi talabi bilan "&amp;malumot!B65&amp;" qaytarilishi bo‘yicha qo‘shimcha garov ta'minotini taqdim etish: "</f>
        <v xml:space="preserve">5.2.6. Quyidagi holatlarda Mikromoliya tashkilotning birinchi talabi bilan mikroqarz qaytarilishi bo‘yicha qo‘shimcha garov ta'minotini taqdim etish: </v>
      </c>
      <c r="B70" s="272"/>
      <c r="C70" s="153"/>
    </row>
    <row r="71" spans="1:8" ht="51.75" customHeight="1">
      <c r="A71" s="274" t="s">
        <v>340</v>
      </c>
      <c r="B71" s="274"/>
      <c r="C71" s="156"/>
    </row>
    <row r="72" spans="1:8" ht="71.25" customHeight="1">
      <c r="A72" s="272" t="str">
        <f>"5.2.7. Sud qarori asosida Qarz oluvchi – jismoniy shaxsning muomalaga layoqatsizligi yoki muomalaga layoqati cheklangan yoxud to‘lash qobiliyatiga ega emasligi (bankrotligi) tan olinganda, uning vasiysi yoki homiysi "&amp;malumot!B65&amp;"ning asosiy summa bo‘yicha qarzdorlikni "&amp;malumot!B65&amp;"dan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2" s="272"/>
      <c r="C72" s="153"/>
    </row>
    <row r="73" spans="1:8" ht="33.75" customHeight="1">
      <c r="A73" s="272" t="str">
        <f>"5.2.8. Mikromoliya tashkilotining "&amp;malumot!B65&amp;"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3" s="272"/>
      <c r="C73" s="153"/>
      <c r="H73" s="6" t="s">
        <v>336</v>
      </c>
    </row>
    <row r="74" spans="1:8" ht="68.25" customHeight="1">
      <c r="A74" s="272" t="str">
        <f>CONCATENATE(C74,H74)</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272"/>
      <c r="C74" s="153" t="str">
        <f>"5.2.9. Mikromoliya tashkilotining talabi bo‘yicha Mikromoliya tashkiloti ko‘rgan, shu jumladan "&amp;malumot!B65&amp;" bo‘yicha (asosiy qarz, foizlar va boshqalar)"</f>
        <v>5.2.9. Mikromoliya tashkilotining talabi bo‘yicha Mikromoliya tashkiloti ko‘rgan, shu jumladan mikroqarz bo‘yicha (asosiy qarz, foizlar va boshqalar)</v>
      </c>
      <c r="H74" s="6" t="s">
        <v>341</v>
      </c>
    </row>
    <row r="75" spans="1:8">
      <c r="A75" s="69"/>
    </row>
    <row r="76" spans="1:8">
      <c r="A76" s="280" t="s">
        <v>303</v>
      </c>
      <c r="B76" s="280"/>
      <c r="C76" s="155"/>
    </row>
    <row r="77" spans="1:8" ht="98.25" customHeight="1">
      <c r="A77" s="272"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7" s="272"/>
      <c r="C77" s="153" t="s">
        <v>342</v>
      </c>
      <c r="H77" s="6" t="str">
        <f>""&amp;malumot!B65&amp;"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78" spans="1:8" ht="37.5" customHeight="1">
      <c r="A78" s="272" t="s">
        <v>302</v>
      </c>
      <c r="B78" s="272"/>
      <c r="C78" s="153"/>
    </row>
    <row r="79" spans="1:8" ht="35.25" customHeight="1">
      <c r="A79" s="272" t="s">
        <v>301</v>
      </c>
      <c r="B79" s="272"/>
      <c r="C79" s="153"/>
    </row>
    <row r="80" spans="1:8" ht="33" customHeight="1">
      <c r="A80" s="272" t="s">
        <v>300</v>
      </c>
      <c r="B80" s="272"/>
      <c r="C80" s="153"/>
    </row>
    <row r="82" spans="1:3">
      <c r="A82" s="282" t="s">
        <v>299</v>
      </c>
      <c r="B82" s="282"/>
      <c r="C82" s="65"/>
    </row>
    <row r="83" spans="1:3" ht="162.75" customHeight="1">
      <c r="A83" s="272" t="s">
        <v>298</v>
      </c>
      <c r="B83" s="272"/>
      <c r="C83" s="153"/>
    </row>
    <row r="84" spans="1:3" ht="33.75" customHeight="1">
      <c r="A84" s="272" t="s">
        <v>343</v>
      </c>
      <c r="B84" s="272"/>
      <c r="C84" s="153"/>
    </row>
    <row r="85" spans="1:3" ht="51.75" customHeight="1">
      <c r="A85" s="272" t="s">
        <v>297</v>
      </c>
      <c r="B85" s="272"/>
      <c r="C85" s="153"/>
    </row>
    <row r="86" spans="1:3" ht="36" customHeight="1">
      <c r="A86" s="272" t="s">
        <v>296</v>
      </c>
      <c r="B86" s="272"/>
      <c r="C86" s="153"/>
    </row>
    <row r="88" spans="1:3">
      <c r="A88" s="282" t="s">
        <v>295</v>
      </c>
      <c r="B88" s="282"/>
      <c r="C88" s="65"/>
    </row>
    <row r="89" spans="1:3" ht="114.75" customHeight="1">
      <c r="A89" s="272" t="s">
        <v>357</v>
      </c>
      <c r="B89" s="272"/>
      <c r="C89" s="153"/>
    </row>
    <row r="90" spans="1:3" ht="36" customHeight="1">
      <c r="A90" s="272" t="s">
        <v>323</v>
      </c>
      <c r="B90" s="272"/>
      <c r="C90" s="153"/>
    </row>
    <row r="91" spans="1:3" ht="64.5" customHeight="1">
      <c r="A91" s="272" t="str">
        <f>"8.2. Mikromoliya tashkiloti sud organlariga murojaat qilganidan keyin Qarz oluvchi tomonidan "&amp;malumot!B65&amp;" bo‘yicha muddati o‘tgan qarzdorlikning to‘lanishi Mikromoliya tashkilotning "&amp;malumot!B65&amp;"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1" s="272"/>
      <c r="C91" s="153"/>
    </row>
    <row r="93" spans="1:3">
      <c r="A93" s="283" t="s">
        <v>294</v>
      </c>
      <c r="B93" s="283"/>
      <c r="C93" s="70"/>
    </row>
    <row r="94" spans="1:3" ht="20.25" customHeight="1">
      <c r="A94" s="272" t="s">
        <v>293</v>
      </c>
      <c r="B94" s="272"/>
      <c r="C94" s="153"/>
    </row>
    <row r="95" spans="1:3" ht="33.75" customHeight="1">
      <c r="A95" s="272" t="str">
        <f>"9.2. Shartnomaning amal qilish muddati Qarz oluvchi "&amp;malumot!B65&amp;"ni to‘liq qaytargan, hisoblangan foizlar, penya va boshqa pul majburiyatlarini to‘lagan kunda yakunlanadi."</f>
        <v>9.2. Shartnomaning amal qilish muddati Qarz oluvchi mikroqarzni to‘liq qaytargan, hisoblangan foizlar, penya va boshqa pul majburiyatlarini to‘lagan kunda yakunlanadi.</v>
      </c>
      <c r="B95" s="272"/>
      <c r="C95" s="153"/>
    </row>
    <row r="96" spans="1:3" ht="51" customHeight="1">
      <c r="A96" s="272" t="s">
        <v>292</v>
      </c>
      <c r="B96" s="272"/>
      <c r="C96" s="153"/>
    </row>
    <row r="98" spans="1:3">
      <c r="A98" s="275" t="s">
        <v>291</v>
      </c>
      <c r="B98" s="275"/>
      <c r="C98" s="64"/>
    </row>
    <row r="99" spans="1:3" ht="82.5" customHeight="1">
      <c r="A99" s="272" t="s">
        <v>290</v>
      </c>
      <c r="B99" s="272"/>
      <c r="C99" s="153"/>
    </row>
    <row r="100" spans="1:3" ht="66" customHeight="1">
      <c r="A100" s="272" t="s">
        <v>289</v>
      </c>
      <c r="B100" s="272"/>
      <c r="C100" s="153"/>
    </row>
    <row r="101" spans="1:3" ht="48" customHeight="1">
      <c r="A101" s="272" t="s">
        <v>288</v>
      </c>
      <c r="B101" s="272"/>
      <c r="C101" s="153"/>
    </row>
    <row r="103" spans="1:3">
      <c r="A103" s="282" t="s">
        <v>287</v>
      </c>
      <c r="B103" s="282"/>
      <c r="C103" s="139"/>
    </row>
    <row r="104" spans="1:3" ht="37.5" customHeight="1">
      <c r="A104" s="272" t="s">
        <v>286</v>
      </c>
      <c r="B104" s="272"/>
      <c r="C104" s="153"/>
    </row>
    <row r="105" spans="1:3" ht="34.5" customHeight="1">
      <c r="A105" s="272" t="s">
        <v>285</v>
      </c>
      <c r="B105" s="272"/>
      <c r="C105" s="153"/>
    </row>
    <row r="106" spans="1:3" ht="66.75" customHeight="1">
      <c r="A106" s="272" t="s">
        <v>284</v>
      </c>
      <c r="B106" s="272"/>
      <c r="C106" s="153"/>
    </row>
    <row r="107" spans="1:3" ht="51" customHeight="1">
      <c r="A107" s="272" t="s">
        <v>283</v>
      </c>
      <c r="B107" s="272"/>
      <c r="C107" s="153"/>
    </row>
    <row r="108" spans="1:3" ht="37.5" customHeight="1">
      <c r="A108" s="272" t="s">
        <v>282</v>
      </c>
      <c r="B108" s="272"/>
      <c r="C108" s="153"/>
    </row>
    <row r="109" spans="1:3" ht="38.25" customHeight="1">
      <c r="A109" s="272" t="s">
        <v>281</v>
      </c>
      <c r="B109" s="272"/>
      <c r="C109" s="153"/>
    </row>
    <row r="110" spans="1:3" ht="21" customHeight="1">
      <c r="A110" s="272" t="s">
        <v>280</v>
      </c>
      <c r="B110" s="272"/>
      <c r="C110" s="153"/>
    </row>
    <row r="111" spans="1:3" ht="32.25" customHeight="1">
      <c r="A111" s="272"/>
      <c r="B111" s="272"/>
      <c r="C111" s="153"/>
    </row>
    <row r="112" spans="1:3">
      <c r="A112" s="244"/>
      <c r="B112" s="244"/>
    </row>
    <row r="113" spans="1:3">
      <c r="A113" s="285" t="s">
        <v>324</v>
      </c>
      <c r="B113" s="285"/>
      <c r="C113" s="70"/>
    </row>
    <row r="114" spans="1:3">
      <c r="A114" s="244"/>
      <c r="B114" s="244"/>
    </row>
    <row r="115" spans="1:3">
      <c r="A115" s="238" t="s">
        <v>279</v>
      </c>
      <c r="B115" s="227" t="s">
        <v>278</v>
      </c>
    </row>
    <row r="116" spans="1:3">
      <c r="A116" s="236"/>
      <c r="B116" s="226"/>
    </row>
    <row r="117" spans="1:3" ht="31.5">
      <c r="A117" s="239" t="str">
        <f>malumot!B154</f>
        <v>«CLEVER MIKROMOLIYA TASHKILOTI» MChJ</v>
      </c>
      <c r="B117" s="228" t="str">
        <f>malumot!B5</f>
        <v>SHAYMARDANOVA SABOXAT YULDASHEVNA</v>
      </c>
    </row>
    <row r="118" spans="1:3">
      <c r="A118" s="236"/>
      <c r="B118" s="226"/>
    </row>
    <row r="119" spans="1:3" ht="47.25">
      <c r="A119" s="240" t="str">
        <f>"Manzil: "&amp;malumot!B159&amp;""</f>
        <v>Manzil: Toshkent shahri, Olmazor tumani, Sagbon ko'chasi, 30 boshi berk, 6-uy</v>
      </c>
      <c r="B119" s="229" t="str">
        <f>"Manzil: "&amp;malumot!B27&amp;""</f>
        <v>Manzil: SURXONDAEYO VILOYATU JARQO'RG'ON TUMANI QORAYONTOQ MFY IBN SINO KO'CHASI 114-UY</v>
      </c>
    </row>
    <row r="120" spans="1:3">
      <c r="A120" s="241" t="str">
        <f>"h/r: "&amp;malumot!B160&amp;""</f>
        <v>h/r: №20216000705068380001</v>
      </c>
      <c r="B120" s="230"/>
    </row>
    <row r="121" spans="1:3" ht="47.25">
      <c r="A121" s="240" t="str">
        <f>"MFO: "&amp;malumot!B161&amp;" в "&amp;malumot!B162&amp;""</f>
        <v>MFO: №01042 в ATB “Kapitalbank” Sergeli filiali</v>
      </c>
      <c r="B121" s="229" t="str">
        <f>"Pasport: "&amp;malumot!B16&amp;", "&amp;malumot!B20&amp;""</f>
        <v>Pasport: AC 1659096, SURXONDARYO VILOYATI JARQO'RG'ON TUMANI IIB tomonidan 21.02.2019 yilda berilgan</v>
      </c>
    </row>
    <row r="122" spans="1:3">
      <c r="A122" s="240" t="str">
        <f>"STIR: "&amp;malumot!B163&amp;""</f>
        <v>STIR: 306365847</v>
      </c>
      <c r="B122" s="231" t="str">
        <f>"Tel: "&amp;malumot!B40&amp;""</f>
        <v>Tel: 94-706-67-09 UY RAQAMI</v>
      </c>
    </row>
    <row r="123" spans="1:3">
      <c r="A123" s="242" t="str">
        <f>"Tel: (78) 113 31 33"</f>
        <v>Tel: (78) 113 31 33</v>
      </c>
      <c r="B123" s="231" t="str">
        <f>malumot!B41</f>
        <v>93-763-00-67 MIJOZ</v>
      </c>
    </row>
    <row r="124" spans="1:3">
      <c r="A124" s="242" t="s">
        <v>8</v>
      </c>
      <c r="B124" s="231" t="str">
        <f>malumot!B42</f>
        <v>93-761-09-76 TURMUSH O'RTOG'I</v>
      </c>
    </row>
    <row r="125" spans="1:3">
      <c r="A125" s="243"/>
      <c r="B125" s="230"/>
    </row>
    <row r="126" spans="1:3">
      <c r="A126" s="284" t="str">
        <f>malumot!A167</f>
        <v>Surxondaryo filiali boshlig'i</v>
      </c>
      <c r="B126" s="226"/>
    </row>
    <row r="127" spans="1:3">
      <c r="A127" s="284"/>
      <c r="B127" s="232" t="str">
        <f>""&amp;malumot!B7&amp;"     __________________"</f>
        <v>SHAYMARDANOVA S.Y.     __________________</v>
      </c>
    </row>
    <row r="128" spans="1:3">
      <c r="A128" s="235" t="str">
        <f>malumot!B156</f>
        <v>A.PARDAYEV</v>
      </c>
      <c r="B128" s="226"/>
    </row>
    <row r="129" spans="1:2">
      <c r="A129" s="235"/>
      <c r="B129" s="233"/>
    </row>
    <row r="130" spans="1:2">
      <c r="A130" s="236"/>
      <c r="B130" s="226"/>
    </row>
    <row r="131" spans="1:2">
      <c r="A131" s="237"/>
      <c r="B131" s="234" t="s">
        <v>404</v>
      </c>
    </row>
    <row r="132" spans="1:2" hidden="1">
      <c r="A132" s="6" t="str">
        <f>"менеджер :   "&amp;malumot!B167&amp;"______________"</f>
        <v>менеджер :   A.PARDAYEV______________</v>
      </c>
    </row>
  </sheetData>
  <mergeCells count="99">
    <mergeCell ref="A126:A127"/>
    <mergeCell ref="A113:B113"/>
    <mergeCell ref="A107:B107"/>
    <mergeCell ref="A108:B108"/>
    <mergeCell ref="A109:B109"/>
    <mergeCell ref="A110:B110"/>
    <mergeCell ref="A111:B111"/>
    <mergeCell ref="A101:B101"/>
    <mergeCell ref="A103:B103"/>
    <mergeCell ref="A104:B104"/>
    <mergeCell ref="A105:B105"/>
    <mergeCell ref="A106:B106"/>
    <mergeCell ref="A95:B95"/>
    <mergeCell ref="A96:B96"/>
    <mergeCell ref="A98:B98"/>
    <mergeCell ref="A99:B99"/>
    <mergeCell ref="A100:B100"/>
    <mergeCell ref="A90:B90"/>
    <mergeCell ref="A91:B91"/>
    <mergeCell ref="A93:B93"/>
    <mergeCell ref="A94:B94"/>
    <mergeCell ref="A84:B84"/>
    <mergeCell ref="A85:B85"/>
    <mergeCell ref="A86:B86"/>
    <mergeCell ref="A88:B88"/>
    <mergeCell ref="A89:B89"/>
    <mergeCell ref="A78:B78"/>
    <mergeCell ref="A79:B79"/>
    <mergeCell ref="A80:B80"/>
    <mergeCell ref="A82:B82"/>
    <mergeCell ref="A83:B83"/>
    <mergeCell ref="A73:B73"/>
    <mergeCell ref="A74:B74"/>
    <mergeCell ref="A76:B76"/>
    <mergeCell ref="A77:B77"/>
    <mergeCell ref="A68:B68"/>
    <mergeCell ref="A69:B69"/>
    <mergeCell ref="A70:B70"/>
    <mergeCell ref="A71:B71"/>
    <mergeCell ref="A72:B72"/>
    <mergeCell ref="A63:B63"/>
    <mergeCell ref="A64:B64"/>
    <mergeCell ref="A65:B65"/>
    <mergeCell ref="A66:B66"/>
    <mergeCell ref="A67:B67"/>
    <mergeCell ref="A58:B58"/>
    <mergeCell ref="A59:B59"/>
    <mergeCell ref="A60:B60"/>
    <mergeCell ref="A61:B61"/>
    <mergeCell ref="A62:B62"/>
    <mergeCell ref="A52:B52"/>
    <mergeCell ref="A53:B53"/>
    <mergeCell ref="A54:B54"/>
    <mergeCell ref="A55:B55"/>
    <mergeCell ref="A57:B57"/>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35:B35"/>
    <mergeCell ref="A34:B34"/>
    <mergeCell ref="A31:B31"/>
    <mergeCell ref="A24:B24"/>
    <mergeCell ref="A28:B28"/>
    <mergeCell ref="A29:B29"/>
    <mergeCell ref="A30:B30"/>
    <mergeCell ref="A23:B23"/>
    <mergeCell ref="A22:B22"/>
    <mergeCell ref="A21:B21"/>
    <mergeCell ref="A20:B20"/>
    <mergeCell ref="A19:B19"/>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s>
  <printOptions horizontalCentered="1"/>
  <pageMargins left="0.70866141732283472" right="0.70866141732283472" top="0.51181102362204722" bottom="0.43307086614173229" header="0.31496062992125984" footer="0.31496062992125984"/>
  <pageSetup paperSize="9" scale="76" orientation="portrait" r:id="rId1"/>
  <rowBreaks count="3" manualBreakCount="3">
    <brk id="46" max="1" man="1"/>
    <brk id="72" max="1" man="1"/>
    <brk id="96"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14">
    <tabColor rgb="FF00B050"/>
  </sheetPr>
  <dimension ref="A3:E27"/>
  <sheetViews>
    <sheetView view="pageBreakPreview" topLeftCell="A15" zoomScaleSheetLayoutView="100" workbookViewId="0">
      <selection activeCell="A25" sqref="A25"/>
    </sheetView>
  </sheetViews>
  <sheetFormatPr defaultColWidth="9.140625" defaultRowHeight="15" outlineLevelRow="1"/>
  <cols>
    <col min="1" max="1" width="23.85546875" style="15" customWidth="1"/>
    <col min="2" max="2" width="23.28515625" style="15" customWidth="1"/>
    <col min="3" max="3" width="17" style="15" customWidth="1"/>
    <col min="4" max="4" width="17.5703125" style="15" customWidth="1"/>
    <col min="5" max="5" width="19.7109375" style="15" customWidth="1"/>
    <col min="6" max="16384" width="9.140625" style="15"/>
  </cols>
  <sheetData>
    <row r="3" spans="1:5" ht="16.5" customHeight="1"/>
    <row r="4" spans="1:5" ht="17.25" customHeight="1">
      <c r="A4" s="286" t="str">
        <f>""&amp;malumot!B153&amp;" ijrochi direktorining
"&amp;malumot!B171&amp;"dagi "&amp;malumot!B170&amp;"-sonli buyrug‘i"</f>
        <v>«CLEVER MIKROMOLIYA TASHKILOTI» MChJ ijrochi direktorining
24 mart 2025 y.dagi №659-SR-sonli buyrug‘i</v>
      </c>
      <c r="B4" s="286"/>
      <c r="C4" s="286"/>
      <c r="D4" s="286"/>
      <c r="E4" s="286"/>
    </row>
    <row r="5" spans="1:5">
      <c r="A5" s="286"/>
      <c r="B5" s="286"/>
      <c r="C5" s="286"/>
      <c r="D5" s="286"/>
      <c r="E5" s="286"/>
    </row>
    <row r="6" spans="1:5">
      <c r="A6" s="286"/>
      <c r="B6" s="286"/>
      <c r="C6" s="286"/>
      <c r="D6" s="286"/>
      <c r="E6" s="286"/>
    </row>
    <row r="7" spans="1:5">
      <c r="A7" s="287"/>
      <c r="B7" s="287"/>
      <c r="C7" s="287"/>
      <c r="D7" s="287"/>
      <c r="E7" s="287"/>
    </row>
    <row r="8" spans="1:5" ht="44.25" customHeight="1">
      <c r="A8" s="287" t="str">
        <f>"Men, Abduraximov Nadirbek Kamilevich "&amp;malumot!B153&amp;" ijrochi direktori, jismoniy shaxs "&amp;malumot!B10&amp;"ga quyidagi shartlarda "&amp;malumot!B65&amp;" berishni buyuraman:"</f>
        <v>Men, Abduraximov Nadirbek Kamilevich «CLEVER MIKROMOLIYA TASHKILOTI» MChJ ijrochi direktori, jismoniy shaxs SHAYMARDANOVA SABOXAT YULDASHEVNAga quyidagi shartlarda mikroqarz berishni buyuraman:</v>
      </c>
      <c r="B8" s="287"/>
      <c r="C8" s="287"/>
      <c r="D8" s="287"/>
      <c r="E8" s="287"/>
    </row>
    <row r="9" spans="1:5" ht="26.25" customHeight="1">
      <c r="A9" s="287" t="str">
        <f>'Кредитная заявка'!A13:D13</f>
        <v>Mikroqarz summasi: 52 000 000,00 (ellik ikki million so'm) so'm.</v>
      </c>
      <c r="B9" s="287"/>
      <c r="C9" s="287"/>
      <c r="D9" s="287"/>
      <c r="E9" s="287"/>
    </row>
    <row r="10" spans="1:5" ht="21" customHeight="1">
      <c r="A10" s="287" t="str">
        <f>'Кредитная заявка'!A14:D14</f>
        <v>Mikroqarz muddati: 36 (o'ttiz olti) oy.</v>
      </c>
      <c r="B10" s="287"/>
      <c r="C10" s="287"/>
      <c r="D10" s="287"/>
      <c r="E10" s="287"/>
    </row>
    <row r="11" spans="1:5" ht="27" customHeight="1">
      <c r="A11" s="287" t="str">
        <f>'Кредитная заявка'!A15:D15</f>
        <v>Mikroqarzdan foydalanganlik uchun foiz stavkasi: yillik  60% (Oltmish) foiz</v>
      </c>
      <c r="B11" s="287"/>
      <c r="C11" s="287"/>
      <c r="D11" s="287"/>
      <c r="E11" s="287"/>
    </row>
    <row r="12" spans="1:5" ht="26.25" customHeight="1">
      <c r="A12" s="287" t="str">
        <f>'Кредитная заявка'!A16:D16</f>
        <v>Mikroqarz bo'yicha asosiy qarz va foizlarni to'lash:</v>
      </c>
      <c r="B12" s="287"/>
      <c r="C12" s="287"/>
      <c r="D12" s="287"/>
      <c r="E12" s="287"/>
    </row>
    <row r="13" spans="1:5" ht="21.75" hidden="1" customHeight="1">
      <c r="A13" s="287" t="str">
        <f>'Кредитная заявка'!A17:D17</f>
        <v xml:space="preserve"> - mikroqarz shartnomasi bo'yicha har oy differensial to'lovlari amalga oshiriladi</v>
      </c>
      <c r="B13" s="287"/>
      <c r="C13" s="287"/>
      <c r="D13" s="287"/>
      <c r="E13" s="287"/>
    </row>
    <row r="14" spans="1:5" hidden="1">
      <c r="A14" s="287" t="str">
        <f>'Кредитная заявка'!A19:D19</f>
        <v xml:space="preserve"> - mikroqarz shartnomasi bo'yicha har oy differensial to'lovlari amalga oshiriladi</v>
      </c>
      <c r="B14" s="287"/>
      <c r="C14" s="287"/>
      <c r="D14" s="287"/>
      <c r="E14" s="287"/>
    </row>
    <row r="15" spans="1:5" ht="23.25" customHeight="1">
      <c r="A15" s="287" t="str">
        <f>IF(malumot!B109="Avtotransport",buyruq!A14:E14,buyruq!A13:E13)</f>
        <v xml:space="preserve"> - mikroqarz shartnomasi bo'yicha har oy differensial to'lovlari amalga oshiriladi</v>
      </c>
      <c r="B15" s="287"/>
      <c r="C15" s="287"/>
      <c r="D15" s="287"/>
      <c r="E15" s="287"/>
    </row>
    <row r="16" spans="1:5" ht="45.75" customHeight="1">
      <c r="A16" s="288" t="str">
        <f>IF(malumot!B109=malumot!D109,""&amp;malumot!C123&amp;"ga tegishli "&amp;malumot!C132&amp;" ko'rinishidagi ko'chmas mulkni quyidagi ma'lumotlarga muvofiq  garovga qabul qilinsin:",""&amp;malumot!B123&amp;"ga tegishli "&amp;malumot!B131&amp;" ko'rinishidagi transport vositasini quyidagi ma'lumotlarga muvofiq garovga qabul qilinsin:")</f>
        <v>XUDOYKULOV ALMURAT KURBONAZAROVICHga tegishli LADA VESTA ko'rinishidagi transport vositasini quyidagi ma'lumotlarga muvofiq garovga qabul qilinsin:</v>
      </c>
      <c r="B16" s="288"/>
      <c r="C16" s="288"/>
      <c r="D16" s="288"/>
      <c r="E16" s="288"/>
    </row>
    <row r="17" spans="1:5" ht="50.25" hidden="1" customHeight="1">
      <c r="A17" s="287" t="str">
        <f>""&amp;malumot!C123&amp;"ga tegishli "&amp;malumot!C132&amp;" ko'rinishidagi ko'chmas mulkni quyidagi ma'lumotlarga muvofiq  garovga qabul qilinsin:"</f>
        <v>0ga tegishli 3 - xonali yakka tartibdagi uy-joy ko'rinishidagi ko'chmas mulkni quyidagi ma'lumotlarga muvofiq  garovga qabul qilinsin:</v>
      </c>
      <c r="B17" s="287"/>
      <c r="C17" s="287"/>
      <c r="D17" s="287"/>
      <c r="E17" s="287"/>
    </row>
    <row r="18" spans="1:5" ht="47.25" hidden="1" customHeight="1">
      <c r="A18" s="287" t="str">
        <f>""&amp;malumot!B123&amp;"ga tegishli "&amp;malumot!B131&amp;" ko'rinishidagi transport vositasini quyidagi ma'lumotlarga muvofiq garovga qabul qilinsin:"</f>
        <v>XUDOYKULOV ALMURAT KURBONAZAROVICHga tegishli LADA VESTA ko'rinishidagi transport vositasini quyidagi ma'lumotlarga muvofiq garovga qabul qilinsin:</v>
      </c>
      <c r="B18" s="287"/>
      <c r="C18" s="287"/>
      <c r="D18" s="287"/>
      <c r="E18" s="287"/>
    </row>
    <row r="19" spans="1:5" s="37" customFormat="1" ht="60" customHeight="1" outlineLevel="1">
      <c r="A19" s="39" t="str">
        <f>dalolatnoma!A29</f>
        <v>Nomi</v>
      </c>
      <c r="B19" s="39" t="str">
        <f>dalolatnoma!B29</f>
        <v>Kuzov turi  va kuzov raqami*</v>
      </c>
      <c r="C19" s="39" t="str">
        <f>dalolatnoma!C29</f>
        <v>Dvigatel va shassi raqami*</v>
      </c>
      <c r="D19" s="39" t="str">
        <f>dalolatnoma!D29</f>
        <v>Ishlab chiqarilgan yili va rangi*</v>
      </c>
      <c r="E19" s="39" t="str">
        <f>dalolatnoma!E29</f>
        <v>Kelishilgan garov qiymati, so'm</v>
      </c>
    </row>
    <row r="20" spans="1:5" ht="94.5" customHeight="1" outlineLevel="1">
      <c r="A20" s="17" t="str">
        <f>dalolatnoma!A30</f>
        <v>LADA VESTA</v>
      </c>
      <c r="B20" s="17" t="str">
        <f>dalolatnoma!B30</f>
        <v>kuzov turi - YENGIL SEDAN, kuzov raqami XTAGFL110KY258232</v>
      </c>
      <c r="C20" s="17" t="str">
        <f>dalolatnoma!C30</f>
        <v>dvigatel raqami 3977458, shassi raqami - RAKAMSIZ</v>
      </c>
      <c r="D20" s="17" t="str">
        <f>dalolatnoma!D30</f>
        <v>rangi -  SARIQ JELTO- ORANJEVIY, ishlab chiqarilgan yili - 2019</v>
      </c>
      <c r="E20" s="17" t="str">
        <f>dalolatnoma!E30</f>
        <v>78 000 000,00 
(yetmish sakkiz million so'm)</v>
      </c>
    </row>
    <row r="21" spans="1:5" ht="20.25" customHeight="1" outlineLevel="1">
      <c r="A21" s="287" t="str">
        <f>dalolatnoma!A22:E22</f>
        <v>-* avtotransport egasi: XUDOYKULOV ALMURAT KURBONAZAROVICH</v>
      </c>
      <c r="B21" s="287"/>
      <c r="C21" s="287"/>
      <c r="D21" s="287"/>
      <c r="E21" s="287"/>
    </row>
    <row r="22" spans="1:5" ht="20.25" customHeight="1" outlineLevel="1">
      <c r="A22" s="287" t="str">
        <f>dalolatnoma!A23:E23</f>
        <v>-* texnik pasport: AAG 3367573 24.01.2024 y.</v>
      </c>
      <c r="B22" s="287"/>
      <c r="C22" s="287"/>
      <c r="D22" s="287"/>
      <c r="E22" s="287"/>
    </row>
    <row r="23" spans="1:5" ht="36" customHeight="1" outlineLevel="1">
      <c r="A23" s="287" t="str">
        <f>dalolatnoma!A24:E24</f>
        <v>-* roʻyxatdan oʻtgan manzili/garaj manzili: SURXONDARYO VILOYATI JARQO'RG'ON TUMANI OQQURG'ON QFY QORAYONTOQ MFY IBN SINO KO'CHASI 114-UY</v>
      </c>
      <c r="B23" s="287"/>
      <c r="C23" s="287"/>
      <c r="D23" s="287"/>
      <c r="E23" s="287"/>
    </row>
    <row r="24" spans="1:5" ht="31.5" customHeight="1" outlineLevel="1">
      <c r="A24" s="287" t="str">
        <f>dalolatnoma!A25:E25</f>
        <v>-* davlat raqami: 75M497WA</v>
      </c>
      <c r="B24" s="287"/>
      <c r="C24" s="287"/>
      <c r="D24" s="287"/>
      <c r="E24" s="287"/>
    </row>
    <row r="25" spans="1:5" ht="23.25" customHeight="1">
      <c r="A25" s="224"/>
      <c r="B25" s="126" t="s">
        <v>378</v>
      </c>
      <c r="D25" s="225"/>
      <c r="E25" s="224"/>
    </row>
    <row r="26" spans="1:5" ht="22.5" customHeight="1">
      <c r="A26" s="224"/>
      <c r="B26" s="126" t="s">
        <v>332</v>
      </c>
      <c r="D26" s="225"/>
      <c r="E26" s="224"/>
    </row>
    <row r="27" spans="1:5">
      <c r="A27" s="224"/>
      <c r="B27" s="225" t="s">
        <v>398</v>
      </c>
      <c r="D27" s="224"/>
      <c r="E27" s="224"/>
    </row>
  </sheetData>
  <mergeCells count="17">
    <mergeCell ref="A23:E23"/>
    <mergeCell ref="A24:E24"/>
    <mergeCell ref="A4:E6"/>
    <mergeCell ref="A22:E22"/>
    <mergeCell ref="A14:E14"/>
    <mergeCell ref="A18:E18"/>
    <mergeCell ref="A7:E7"/>
    <mergeCell ref="A8:E8"/>
    <mergeCell ref="A13:E13"/>
    <mergeCell ref="A9:E9"/>
    <mergeCell ref="A10:E10"/>
    <mergeCell ref="A11:E11"/>
    <mergeCell ref="A12:E12"/>
    <mergeCell ref="A21:E21"/>
    <mergeCell ref="A15:E15"/>
    <mergeCell ref="A17:E17"/>
    <mergeCell ref="A16:E16"/>
  </mergeCells>
  <pageMargins left="0.70866141732283472" right="0.70866141732283472" top="0.74803149606299213" bottom="0.74803149606299213" header="0.31496062992125984" footer="0.31496062992125984"/>
  <pageSetup paperSize="9" scale="83"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1">
    <tabColor rgb="FF00B050"/>
  </sheetPr>
  <dimension ref="A1:AH39"/>
  <sheetViews>
    <sheetView view="pageBreakPreview" topLeftCell="A22" zoomScaleNormal="100" zoomScaleSheetLayoutView="100" workbookViewId="0">
      <selection activeCell="B45" sqref="B45"/>
    </sheetView>
  </sheetViews>
  <sheetFormatPr defaultRowHeight="15"/>
  <cols>
    <col min="1" max="1" width="24.7109375" style="61" customWidth="1"/>
    <col min="2" max="2" width="24.28515625" style="61" customWidth="1"/>
    <col min="3" max="3" width="20.7109375" style="61" customWidth="1"/>
    <col min="4" max="4" width="18" style="61" customWidth="1"/>
    <col min="5" max="5" width="25.140625" style="61" customWidth="1"/>
    <col min="6" max="6" width="9.140625" customWidth="1"/>
    <col min="7" max="7" width="24.42578125" customWidth="1"/>
    <col min="8" max="8" width="17.140625" customWidth="1"/>
    <col min="9" max="34" width="9.140625" hidden="1" customWidth="1"/>
    <col min="35" max="35" width="8.7109375" customWidth="1"/>
  </cols>
  <sheetData>
    <row r="1" spans="1:33" ht="63.75" customHeight="1">
      <c r="A1" s="294" t="str">
        <f>""&amp;malumot!B153&amp;"
mikromoliya tashkiloti
Kredit qo‘mitasining yig‘ilishi"</f>
        <v>«CLEVER MIKROMOLIYA TASHKILOTI» MChJ
mikromoliya tashkiloti
Kredit qo‘mitasining yig‘ilishi</v>
      </c>
      <c r="B1" s="294"/>
      <c r="C1" s="294"/>
      <c r="D1" s="294"/>
      <c r="E1" s="294"/>
    </row>
    <row r="2" spans="1:33" ht="29.25" customHeight="1">
      <c r="A2" s="294" t="str">
        <f>""&amp;H7&amp;" protokolidan ko'chirma"</f>
        <v>№659-SR protokolidan ko'chirma</v>
      </c>
      <c r="B2" s="294"/>
      <c r="C2" s="294"/>
      <c r="D2" s="294"/>
      <c r="E2" s="294"/>
    </row>
    <row r="3" spans="1:33" ht="29.25" customHeight="1">
      <c r="A3" s="127" t="s">
        <v>203</v>
      </c>
      <c r="B3" s="50"/>
      <c r="C3" s="50"/>
      <c r="D3" s="50"/>
      <c r="E3" s="128" t="str">
        <f>malumot!B68</f>
        <v>24 mart 2025 y.</v>
      </c>
    </row>
    <row r="4" spans="1:33" ht="29.25" customHeight="1">
      <c r="A4" s="50"/>
      <c r="B4" s="294" t="s">
        <v>202</v>
      </c>
      <c r="C4" s="294"/>
      <c r="D4" s="294"/>
      <c r="E4" s="50"/>
    </row>
    <row r="5" spans="1:33" ht="36" customHeight="1">
      <c r="A5" s="292" t="str">
        <f>"         "&amp;H8&amp;"."&amp;malumot!B5&amp;" ga "&amp;malumot!B65&amp;" berish masalasini ko‘rib chiqish to‘g‘risida."</f>
        <v xml:space="preserve">         1.SHAYMARDANOVA SABOXAT YULDASHEVNA ga mikroqarz berish masalasini ko‘rib chiqish to‘g‘risida.</v>
      </c>
      <c r="B5" s="292"/>
      <c r="C5" s="292"/>
      <c r="D5" s="292"/>
      <c r="E5" s="292"/>
    </row>
    <row r="7" spans="1:33" ht="21" customHeight="1">
      <c r="A7" s="287" t="str">
        <f>"      "&amp;H9&amp;" masala yuzasidan: «Clever Mikromoliya Tashkiloti» MChJ mikromoliya tashkiloti kredit bo‘yicha menejeri  "&amp;malumot!B5&amp;"ga "&amp;FIXED(malumot!B75)&amp;" ("&amp;malumot!B76&amp;") so‘m miqdorida, muddati "&amp;malumot!B81&amp;" ("&amp;malumot!B82&amp;") oyga va yillik 60 (Oltmish) foiz miqdorida "&amp;malumot!B65&amp;" berich bo‘yicha "&amp;malumot!B5&amp;"ning kredit arizasi va "&amp;malumot!B153&amp;"ning xulosasi bilan ishtirokchilarni tanishtirdi."</f>
        <v xml:space="preserve">      Birinchi masala yuzasidan: «Clever Mikromoliya Tashkiloti» MChJ mikromoliya tashkiloti kredit bo‘yicha menejeri  SHAYMARDANOVA SABOXAT YULDASHEVNAga 52 000 000,00 (ellik ikki million so'm) so‘m miqdorida, muddati 36 (o'ttiz olti) oyga va yillik 60 (Oltmish) foiz miqdorida mikroqarz berich bo‘yicha SHAYMARDANOVA SABOXAT YULDASHEVNAning kredit arizasi va «CLEVER MIKROMOLIYA TASHKILOTI» MChJning xulosasi bilan ishtirokchilarni tanishtirdi.</v>
      </c>
      <c r="B7" s="287"/>
      <c r="C7" s="287"/>
      <c r="D7" s="287"/>
      <c r="E7" s="287"/>
      <c r="G7" s="62" t="s">
        <v>257</v>
      </c>
      <c r="H7" s="63" t="str">
        <f>malumot!B1</f>
        <v>№659-SR</v>
      </c>
    </row>
    <row r="8" spans="1:33" ht="23.25">
      <c r="A8" s="287"/>
      <c r="B8" s="287"/>
      <c r="C8" s="287"/>
      <c r="D8" s="287"/>
      <c r="E8" s="287"/>
      <c r="G8" s="62" t="s">
        <v>258</v>
      </c>
      <c r="H8" s="63">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24" customHeight="1">
      <c r="A9" s="287"/>
      <c r="B9" s="287"/>
      <c r="C9" s="287"/>
      <c r="D9" s="287"/>
      <c r="E9" s="287"/>
      <c r="G9" s="62" t="s">
        <v>259</v>
      </c>
      <c r="H9" s="63" t="str">
        <f>IF(H8=I8,I9,IF(H8=J8,J9,IF(H8=K8,K9,IF(H8=L8,L9,IF(H8=M8,M9,IF(H8=N8,N9,IF(H8=O8,O9,IF(H8=P8,P9,IF(H8=Q8,Q9,IF(H8=R8,R9,IF(H8=S8,S9,IF(H8=T8,T9,IF(H8=U8,U9,IF(H8=V8,V9,IF(H8=W8,W9,IF(H8=X8,X9,IF(H8=Y8,Y9,IF(H8=Z8,Z9,IF(H8=AA8,AA9,IF(H8=AB8,AB9,IF(H8=AC8,AC9,IF(H8=AD8,AD9,IF(H8=AE8,AE9,IF(H8=AF8,AF9,IF(H8=AG8,AG9)))))))))))))))))))))))))</f>
        <v>Birinchi</v>
      </c>
      <c r="I9" s="146" t="s">
        <v>190</v>
      </c>
      <c r="J9" s="147" t="s">
        <v>191</v>
      </c>
      <c r="K9" s="147" t="s">
        <v>192</v>
      </c>
      <c r="L9" s="147" t="s">
        <v>368</v>
      </c>
      <c r="M9" s="147" t="s">
        <v>193</v>
      </c>
      <c r="N9" s="147" t="s">
        <v>369</v>
      </c>
      <c r="O9" s="147" t="s">
        <v>194</v>
      </c>
      <c r="P9" s="147" t="s">
        <v>195</v>
      </c>
      <c r="Q9" s="147" t="s">
        <v>196</v>
      </c>
      <c r="R9" s="147" t="s">
        <v>358</v>
      </c>
      <c r="S9" s="147" t="s">
        <v>359</v>
      </c>
      <c r="T9" s="147" t="s">
        <v>360</v>
      </c>
      <c r="U9" s="147" t="s">
        <v>361</v>
      </c>
      <c r="V9" s="147" t="s">
        <v>370</v>
      </c>
      <c r="W9" s="147" t="s">
        <v>362</v>
      </c>
      <c r="X9" s="147" t="s">
        <v>363</v>
      </c>
      <c r="Y9" s="147" t="s">
        <v>364</v>
      </c>
      <c r="Z9" s="147" t="s">
        <v>365</v>
      </c>
      <c r="AA9" s="147" t="s">
        <v>366</v>
      </c>
      <c r="AB9" s="147" t="s">
        <v>197</v>
      </c>
      <c r="AC9" s="147" t="s">
        <v>198</v>
      </c>
      <c r="AD9" s="147" t="s">
        <v>199</v>
      </c>
      <c r="AE9" s="147" t="s">
        <v>200</v>
      </c>
      <c r="AF9" s="147" t="s">
        <v>367</v>
      </c>
      <c r="AG9" s="147" t="s">
        <v>201</v>
      </c>
    </row>
    <row r="10" spans="1:33" ht="10.5" hidden="1" customHeight="1">
      <c r="A10" s="287"/>
      <c r="B10" s="287"/>
      <c r="C10" s="287"/>
      <c r="D10" s="287"/>
      <c r="E10" s="287"/>
    </row>
    <row r="11" spans="1:33" ht="9" hidden="1" customHeight="1">
      <c r="A11" s="287"/>
      <c r="B11" s="287"/>
      <c r="C11" s="287"/>
      <c r="D11" s="287"/>
      <c r="E11" s="287"/>
    </row>
    <row r="12" spans="1:33" ht="3" hidden="1" customHeight="1">
      <c r="A12" s="287"/>
      <c r="B12" s="287"/>
      <c r="C12" s="287"/>
      <c r="D12" s="287"/>
      <c r="E12" s="287"/>
    </row>
    <row r="13" spans="1:33" ht="7.5" customHeight="1"/>
    <row r="14" spans="1:33" ht="15.75" customHeight="1">
      <c r="A14" s="288" t="str">
        <f>""&amp;malumot!C64&amp;" ta’minoti:"</f>
        <v>Mikroqarz ta’minoti:</v>
      </c>
      <c r="B14" s="288"/>
      <c r="C14" s="288"/>
      <c r="D14" s="288"/>
      <c r="E14" s="288"/>
    </row>
    <row r="15" spans="1:33" ht="7.5" customHeight="1"/>
    <row r="16" spans="1:33" ht="57" customHeight="1">
      <c r="A16" s="287" t="str">
        <f>xulosa!A18:E18</f>
        <v xml:space="preserve">  Egalik huquqi XUDOYKULOV ALMURAT KURBONAZAROVICHga tegishli bo'lgan garovga olingan avtomobil markasi   LADA VESTA, rangi -  SARIQ JELTO- ORANJEVIY, ishlab chiqarilgan yili - 2019, davlat raqam belgisi 75M497WA, kuzov turi - YENGIL SEDAN, kuzov raqami XTAGFL110KY258232, dvigatel raqami 3977458, shassi raqami - RAKAMSIZ</v>
      </c>
      <c r="B16" s="287"/>
      <c r="C16" s="287"/>
      <c r="D16" s="287"/>
      <c r="E16" s="287"/>
    </row>
    <row r="17" spans="1:5" ht="17.25" customHeight="1">
      <c r="C17" s="148" t="s">
        <v>377</v>
      </c>
      <c r="D17" s="148" t="str">
        <f>""&amp;malumot!B153&amp;" kredit qo‘mitasi"</f>
        <v>«CLEVER MIKROMOLIYA TASHKILOTI» MChJ kredit qo‘mitasi</v>
      </c>
      <c r="E17" s="148" t="str">
        <f>CONCATENATE(C17,D17)</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8" spans="1:5" ht="54" customHeight="1">
      <c r="A18" s="287" t="str">
        <f>CONCATENATE(H9,E17)</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8" s="287"/>
      <c r="C18" s="287"/>
      <c r="D18" s="287"/>
      <c r="E18" s="287"/>
    </row>
    <row r="19" spans="1:5" ht="24" customHeight="1">
      <c r="A19" s="295" t="s">
        <v>260</v>
      </c>
      <c r="B19" s="295"/>
      <c r="C19" s="295"/>
      <c r="D19" s="295"/>
      <c r="E19" s="295"/>
    </row>
    <row r="20" spans="1:5" ht="32.25" customHeight="1">
      <c r="A20" s="287" t="str">
        <f>"       "&amp;malumot!B5&amp;"ga quyidagi shartlarda "&amp;malumot!B65&amp;" berish masalasi ma’qullansin:"</f>
        <v xml:space="preserve">       SHAYMARDANOVA SABOXAT YULDASHEVNAga quyidagi shartlarda mikroqarz berish masalasi ma’qullansin:</v>
      </c>
      <c r="B20" s="287"/>
      <c r="C20" s="287"/>
      <c r="D20" s="287"/>
      <c r="E20" s="287"/>
    </row>
    <row r="21" spans="1:5" s="129" customFormat="1" ht="18.75" customHeight="1">
      <c r="A21" s="292" t="str">
        <f>"1. "&amp;malumot!C64&amp;" summasi: "&amp;FIXED(malumot!B75)&amp;" ("&amp;malumot!B76&amp;") so'm."</f>
        <v>1. Mikroqarz summasi: 52 000 000,00 (ellik ikki million so'm) so'm.</v>
      </c>
      <c r="B21" s="292"/>
      <c r="C21" s="292"/>
      <c r="D21" s="292"/>
      <c r="E21" s="292"/>
    </row>
    <row r="22" spans="1:5" s="129" customFormat="1" ht="18.75" customHeight="1">
      <c r="A22" s="292" t="str">
        <f>"2. "&amp;malumot!C64&amp;" muddati: "&amp;malumot!B81&amp;" ("&amp;malumot!B82&amp;") oy "</f>
        <v xml:space="preserve">2. Mikroqarz muddati: 36 (o'ttiz olti) oy </v>
      </c>
      <c r="B22" s="292"/>
      <c r="C22" s="292"/>
      <c r="D22" s="292"/>
      <c r="E22" s="292"/>
    </row>
    <row r="23" spans="1:5" s="129" customFormat="1" ht="18.75" customHeight="1">
      <c r="A23" s="292" t="str">
        <f>"3. "&amp;malumot!C64&amp;"dan foydalanganlik uchun foiz stavkasi:yillik "&amp;malumot!B85&amp;"% ("&amp;malumot!B86&amp;") foiz."</f>
        <v>3. Mikroqarzdan foydalanganlik uchun foiz stavkasi:yillik 60% (Oltmish) foiz.</v>
      </c>
      <c r="B23" s="292"/>
      <c r="C23" s="292"/>
      <c r="D23" s="292"/>
      <c r="E23" s="292"/>
    </row>
    <row r="24" spans="1:5" s="129" customFormat="1" ht="18.75" customHeight="1">
      <c r="A24" s="292" t="str">
        <f>"4. "&amp;malumot!C64&amp;" bo‘yicha asosiy qarz va foizlarni to‘lash:"</f>
        <v>4. Mikroqarz bo‘yicha asosiy qarz va foizlarni to‘lash:</v>
      </c>
      <c r="B24" s="292"/>
      <c r="C24" s="292"/>
      <c r="D24" s="292"/>
      <c r="E24" s="292"/>
    </row>
    <row r="25" spans="1:5" s="129" customFormat="1" ht="18.75" customHeight="1">
      <c r="A25" s="292" t="str">
        <f>'Кредитная заявка'!A19:D19</f>
        <v xml:space="preserve"> - mikroqarz shartnomasi bo'yicha har oy differensial to'lovlari amalga oshiriladi</v>
      </c>
      <c r="B25" s="292"/>
      <c r="C25" s="292"/>
      <c r="D25" s="292"/>
      <c r="E25" s="292"/>
    </row>
    <row r="26" spans="1:5" ht="48" customHeight="1">
      <c r="A26" s="287" t="str">
        <f>"5. "&amp;malumot!C64&amp;" bo‘yicha garov  "&amp;xulosa!A29:E29&amp;""</f>
        <v>5. Mikroqarz bo‘yicha garov   - XUDOYKULOV ALMURAT KURBONAZAROVICH ga mulk huquqi asosida tegishli avtotransport vositasi LADA VESTA , quyidagi tafsilotlarga muvofiq:</v>
      </c>
      <c r="B26" s="287"/>
      <c r="C26" s="287"/>
      <c r="D26" s="287"/>
      <c r="E26" s="287"/>
    </row>
    <row r="27" spans="1:5" ht="40.5" customHeight="1">
      <c r="A27" s="17" t="str">
        <f>dalolatnoma!A29</f>
        <v>Nomi</v>
      </c>
      <c r="B27" s="17" t="str">
        <f>dalolatnoma!B29</f>
        <v>Kuzov turi  va kuzov raqami*</v>
      </c>
      <c r="C27" s="17" t="str">
        <f>dalolatnoma!C29</f>
        <v>Dvigatel va shassi raqami*</v>
      </c>
      <c r="D27" s="17" t="str">
        <f>dalolatnoma!D29</f>
        <v>Ishlab chiqarilgan yili va rangi*</v>
      </c>
      <c r="E27" s="17" t="str">
        <f>dalolatnoma!E29</f>
        <v>Kelishilgan garov qiymati, so'm</v>
      </c>
    </row>
    <row r="28" spans="1:5" ht="84" customHeight="1">
      <c r="A28" s="17" t="str">
        <f>dalolatnoma!A30</f>
        <v>LADA VESTA</v>
      </c>
      <c r="B28" s="17" t="str">
        <f>dalolatnoma!B30</f>
        <v>kuzov turi - YENGIL SEDAN, kuzov raqami XTAGFL110KY258232</v>
      </c>
      <c r="C28" s="17" t="str">
        <f>dalolatnoma!C30</f>
        <v>dvigatel raqami 3977458, shassi raqami - RAKAMSIZ</v>
      </c>
      <c r="D28" s="17" t="str">
        <f>dalolatnoma!D30</f>
        <v>rangi -  SARIQ JELTO- ORANJEVIY, ishlab chiqarilgan yili - 2019</v>
      </c>
      <c r="E28" s="17" t="str">
        <f>dalolatnoma!E30</f>
        <v>78 000 000,00 
(yetmish sakkiz million so'm)</v>
      </c>
    </row>
    <row r="29" spans="1:5" ht="20.25" customHeight="1">
      <c r="A29" s="287" t="str">
        <f>dalolatnoma!A22:E22</f>
        <v>-* avtotransport egasi: XUDOYKULOV ALMURAT KURBONAZAROVICH</v>
      </c>
      <c r="B29" s="287"/>
      <c r="C29" s="287"/>
      <c r="D29" s="287"/>
      <c r="E29" s="287"/>
    </row>
    <row r="30" spans="1:5" ht="20.25" customHeight="1">
      <c r="A30" s="287" t="str">
        <f>dalolatnoma!A23:E23</f>
        <v>-* texnik pasport: AAG 3367573 24.01.2024 y.</v>
      </c>
      <c r="B30" s="287"/>
      <c r="C30" s="287"/>
      <c r="D30" s="287"/>
      <c r="E30" s="287"/>
    </row>
    <row r="31" spans="1:5" ht="32.25" customHeight="1">
      <c r="A31" s="287" t="str">
        <f>dalolatnoma!A24:E24</f>
        <v>-* roʻyxatdan oʻtgan manzili/garaj manzili: SURXONDARYO VILOYATI JARQO'RG'ON TUMANI OQQURG'ON QFY QORAYONTOQ MFY IBN SINO KO'CHASI 114-UY</v>
      </c>
      <c r="B31" s="287"/>
      <c r="C31" s="287"/>
      <c r="D31" s="287"/>
      <c r="E31" s="287"/>
    </row>
    <row r="32" spans="1:5" ht="25.5" customHeight="1">
      <c r="A32" s="287" t="str">
        <f>dalolatnoma!A25:E25</f>
        <v>-* davlat raqami: 75M497WA</v>
      </c>
      <c r="B32" s="287"/>
      <c r="C32" s="287"/>
      <c r="D32" s="287"/>
      <c r="E32" s="287"/>
    </row>
    <row r="33" spans="1:5" ht="12" customHeight="1">
      <c r="A33" s="130"/>
      <c r="B33" s="130"/>
      <c r="C33" s="130"/>
      <c r="D33" s="130"/>
      <c r="E33" s="130"/>
    </row>
    <row r="34" spans="1:5" ht="20.25" customHeight="1">
      <c r="A34" s="287" t="str">
        <f>"6. Boshqa shartlar – "&amp;IF(malumot!B109=malumot!B110,"avtotransport vositasi",IF(malumot!B109=malumot!C110,"ko'chmas mulk",0))&amp;" shaklida garov ta'minlangandan keyin "&amp;malumot!B65&amp;" berish."</f>
        <v>6. Boshqa shartlar – 0 shaklida garov ta'minlangandan keyin mikroqarz berish.</v>
      </c>
      <c r="B34" s="287"/>
      <c r="C34" s="287"/>
      <c r="D34" s="287"/>
      <c r="E34" s="287"/>
    </row>
    <row r="36" spans="1:5" ht="29.25" customHeight="1">
      <c r="A36" s="293" t="s">
        <v>261</v>
      </c>
      <c r="B36" s="293"/>
      <c r="C36" s="293"/>
      <c r="D36" s="293"/>
      <c r="E36" s="293"/>
    </row>
    <row r="37" spans="1:5" ht="33" customHeight="1">
      <c r="A37" s="259"/>
      <c r="B37" s="289" t="str">
        <f>malumot!B153&amp;" ijrochi direktori"</f>
        <v>«CLEVER MIKROMOLIYA TASHKILOTI» MChJ ijrochi direktori</v>
      </c>
      <c r="C37" s="289"/>
      <c r="D37" s="261" t="s">
        <v>398</v>
      </c>
      <c r="E37" s="254"/>
    </row>
    <row r="38" spans="1:5" ht="18.75" customHeight="1">
      <c r="A38" s="221"/>
      <c r="B38" s="290" t="str">
        <f>malumot!A165</f>
        <v>Kreditlash bo’limi boshlig’i</v>
      </c>
      <c r="C38" s="290"/>
      <c r="D38" s="262" t="str">
        <f>malumot!B165</f>
        <v>B. Mominov</v>
      </c>
      <c r="E38" s="255"/>
    </row>
    <row r="39" spans="1:5" ht="23.25" customHeight="1">
      <c r="A39" s="259"/>
      <c r="B39" s="291" t="str">
        <f>malumot!A166</f>
        <v>Monitoring bo’limi boshlig’i</v>
      </c>
      <c r="C39" s="291"/>
      <c r="D39" s="263" t="str">
        <f>malumot!B166</f>
        <v>B. Jumanazarov</v>
      </c>
      <c r="E39" s="256"/>
    </row>
  </sheetData>
  <mergeCells count="25">
    <mergeCell ref="A22:E22"/>
    <mergeCell ref="A1:E1"/>
    <mergeCell ref="A2:E2"/>
    <mergeCell ref="B4:D4"/>
    <mergeCell ref="A5:E5"/>
    <mergeCell ref="A7:E12"/>
    <mergeCell ref="A14:E14"/>
    <mergeCell ref="A16:E16"/>
    <mergeCell ref="A18:E18"/>
    <mergeCell ref="A19:E19"/>
    <mergeCell ref="A20:E20"/>
    <mergeCell ref="A21:E21"/>
    <mergeCell ref="B37:C37"/>
    <mergeCell ref="B38:C38"/>
    <mergeCell ref="B39:C39"/>
    <mergeCell ref="A23:E23"/>
    <mergeCell ref="A24:E24"/>
    <mergeCell ref="A25:E25"/>
    <mergeCell ref="A36:E36"/>
    <mergeCell ref="A32:E32"/>
    <mergeCell ref="A26:E26"/>
    <mergeCell ref="A29:E29"/>
    <mergeCell ref="A30:E30"/>
    <mergeCell ref="A31:E31"/>
    <mergeCell ref="A34:E34"/>
  </mergeCells>
  <pageMargins left="0.70866141732283472" right="0.70866141732283472" top="0.74803149606299213" bottom="0.74803149606299213" header="0.31496062992125984" footer="0.31496062992125984"/>
  <pageSetup paperSize="9" scale="72" orientation="portrait" verticalDpi="300" r:id="rId1"/>
  <colBreaks count="1" manualBreakCount="1">
    <brk id="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9">
    <tabColor theme="1"/>
  </sheetPr>
  <dimension ref="A1:V64"/>
  <sheetViews>
    <sheetView zoomScale="70" zoomScaleNormal="70" zoomScaleSheetLayoutView="70" workbookViewId="0">
      <selection activeCell="D43" sqref="D43"/>
    </sheetView>
  </sheetViews>
  <sheetFormatPr defaultColWidth="9.140625" defaultRowHeight="15" outlineLevelCol="1"/>
  <cols>
    <col min="1" max="1" width="9.140625" style="83"/>
    <col min="2" max="2" width="12.28515625" style="83" customWidth="1"/>
    <col min="3" max="3" width="16.5703125" style="83" customWidth="1"/>
    <col min="4" max="4" width="16.7109375" style="83" customWidth="1"/>
    <col min="5" max="5" width="16.5703125" style="83" customWidth="1"/>
    <col min="6" max="6" width="20.85546875" style="83" customWidth="1"/>
    <col min="7" max="7" width="10.140625" style="83" customWidth="1" outlineLevel="1"/>
    <col min="8" max="8" width="19.140625" style="83" customWidth="1"/>
    <col min="9" max="9" width="21.42578125" style="83" customWidth="1"/>
    <col min="10" max="10" width="20.85546875" style="83" customWidth="1"/>
    <col min="11" max="11" width="20.140625" style="83" customWidth="1"/>
    <col min="12" max="12" width="21.42578125" style="83" customWidth="1"/>
    <col min="13" max="13" width="25.42578125" style="83" customWidth="1"/>
    <col min="14" max="14" width="18.28515625" style="83" customWidth="1"/>
    <col min="15" max="17" width="9.140625" style="15"/>
    <col min="18" max="18" width="24.42578125" style="15" customWidth="1"/>
    <col min="19" max="16384" width="9.140625" style="15"/>
  </cols>
  <sheetData>
    <row r="1" spans="1:22">
      <c r="A1" s="82"/>
      <c r="B1" s="82"/>
      <c r="C1" s="82"/>
      <c r="D1" s="82"/>
      <c r="E1" s="305" t="s">
        <v>16</v>
      </c>
      <c r="F1" s="305"/>
    </row>
    <row r="2" spans="1:22">
      <c r="A2" s="82"/>
      <c r="B2" s="82"/>
      <c r="C2" s="82"/>
      <c r="D2" s="82"/>
      <c r="E2" s="82"/>
      <c r="F2" s="84" t="str">
        <f>"к договору микрозайма "&amp;malumot!B74&amp;""</f>
        <v>к договору микрозайма 24 mart 2025 y.dan №659-SR</v>
      </c>
    </row>
    <row r="3" spans="1:22" ht="19.5" customHeight="1">
      <c r="A3" s="82"/>
      <c r="B3" s="82"/>
      <c r="C3" s="82"/>
      <c r="D3" s="82"/>
      <c r="E3" s="82"/>
      <c r="F3" s="82"/>
      <c r="H3" s="85"/>
      <c r="I3" s="85"/>
      <c r="J3" s="86"/>
      <c r="K3" s="86"/>
    </row>
    <row r="4" spans="1:22" ht="19.5" customHeight="1">
      <c r="A4" s="306" t="s">
        <v>17</v>
      </c>
      <c r="B4" s="306"/>
      <c r="C4" s="306"/>
      <c r="D4" s="306"/>
      <c r="E4" s="306"/>
      <c r="F4" s="306"/>
      <c r="H4" s="85"/>
      <c r="I4" s="85"/>
      <c r="J4" s="85"/>
      <c r="K4" s="85"/>
    </row>
    <row r="5" spans="1:22" ht="19.5" customHeight="1">
      <c r="L5" s="83">
        <f>malumot!B81</f>
        <v>36</v>
      </c>
    </row>
    <row r="6" spans="1:22">
      <c r="A6" s="307" t="s">
        <v>15</v>
      </c>
      <c r="B6" s="308" t="s">
        <v>9</v>
      </c>
      <c r="C6" s="308" t="s">
        <v>10</v>
      </c>
      <c r="D6" s="309" t="s">
        <v>11</v>
      </c>
      <c r="E6" s="309"/>
      <c r="F6" s="309"/>
    </row>
    <row r="7" spans="1:22" s="16" customFormat="1">
      <c r="A7" s="307"/>
      <c r="B7" s="308"/>
      <c r="C7" s="308"/>
      <c r="D7" s="87" t="s">
        <v>12</v>
      </c>
      <c r="E7" s="87" t="s">
        <v>13</v>
      </c>
      <c r="F7" s="87" t="s">
        <v>14</v>
      </c>
      <c r="G7" s="88"/>
      <c r="H7" s="88"/>
      <c r="I7" s="88"/>
      <c r="J7" s="88"/>
      <c r="K7" s="88"/>
      <c r="L7" s="88"/>
      <c r="M7" s="88"/>
      <c r="N7" s="88"/>
    </row>
    <row r="8" spans="1:22">
      <c r="A8" s="89">
        <v>1</v>
      </c>
      <c r="B8" s="90">
        <f>malumot!B79</f>
        <v>45748</v>
      </c>
      <c r="C8" s="51">
        <f>malumot!B75</f>
        <v>52000000</v>
      </c>
      <c r="D8" s="51">
        <f>IF(IF(C8=0,L8,IF(C8&gt;1,I8))="",0,(IF(C8=0,L8,IF(C8&gt;1,I8))))</f>
        <v>1444444.44</v>
      </c>
      <c r="E8" s="51">
        <f>IF(C8=0,N6,IF(C8&gt;1,L8))</f>
        <v>683835.6</v>
      </c>
      <c r="F8" s="51">
        <f>IF(C8=0,O6,IF(C8&gt;1,M8))</f>
        <v>2128280.04</v>
      </c>
      <c r="G8" s="103">
        <f>B8-malumot!B67</f>
        <v>8</v>
      </c>
      <c r="H8" s="83">
        <f>DATE(YEAR(B8),12,31)-DATE(YEAR(B8),1,1)+1</f>
        <v>365</v>
      </c>
      <c r="I8" s="91">
        <f>IF(malumot!B83=0,ROUND(C8/L5,2),"")</f>
        <v>1444444.44</v>
      </c>
      <c r="J8" s="91"/>
      <c r="K8" s="91"/>
      <c r="L8" s="85">
        <f>ROUND(C8*malumot!$B$84/H8,2)*G8</f>
        <v>683835.6</v>
      </c>
      <c r="M8" s="85">
        <f t="shared" ref="M8:M31" si="0">D8+E8</f>
        <v>2128280.04</v>
      </c>
      <c r="N8" s="85"/>
      <c r="O8" s="100" t="str">
        <f>TEXT(B8,"ддд")</f>
        <v>Вт</v>
      </c>
      <c r="P8" s="102">
        <f>IF(O8=$U$8,2,IF(O8=$V$8,1,0))</f>
        <v>0</v>
      </c>
      <c r="Q8" s="102">
        <f>DAY(malumot!$B$78)+P8</f>
        <v>1</v>
      </c>
      <c r="R8" s="97"/>
      <c r="S8" s="98" t="s">
        <v>32</v>
      </c>
      <c r="T8" s="98" t="s">
        <v>33</v>
      </c>
      <c r="U8" s="98" t="s">
        <v>34</v>
      </c>
      <c r="V8" s="99" t="s">
        <v>35</v>
      </c>
    </row>
    <row r="9" spans="1:22">
      <c r="A9" s="89">
        <v>2</v>
      </c>
      <c r="B9" s="90">
        <f>IF(A9&lt;=malumot!$B$81,DATE(YEAR(R9),MONTH(R9),DAY(IF(A9=malumot!$B$81,malumot!$B$67,IF(A9&lt;malumot!$B$81,(Q9),IF(A9&gt;malumot!$B$81,$H$44,0))))))</f>
        <v>45778</v>
      </c>
      <c r="C9" s="51">
        <f t="shared" ref="C9:C30" si="1">C8-D8</f>
        <v>50555555.560000002</v>
      </c>
      <c r="D9" s="51">
        <f t="shared" ref="D9:D30" si="2">IF(C9=0,L9,IF(C9&gt;1,I9))</f>
        <v>1444444.44</v>
      </c>
      <c r="E9" s="51">
        <f t="shared" ref="E9:E30" si="3">IF(C9=0,N8,IF(C9&gt;1,L9))</f>
        <v>2493150.6</v>
      </c>
      <c r="F9" s="51">
        <f t="shared" ref="F9:F30" si="4">IF(C9=0,N8,IF(C9&gt;1,M9))</f>
        <v>3937595.04</v>
      </c>
      <c r="G9" s="83">
        <f>B9-B8</f>
        <v>30</v>
      </c>
      <c r="H9" s="83">
        <f t="shared" ref="H9:H31" si="5">DATE(YEAR(B9),12,31)-DATE(YEAR(B9),1,1)+1</f>
        <v>365</v>
      </c>
      <c r="I9" s="91">
        <f>IF(I8="",ROUND(C8/(L5-1),2),I8)</f>
        <v>1444444.44</v>
      </c>
      <c r="J9" s="91"/>
      <c r="K9" s="91"/>
      <c r="L9" s="85">
        <f>ROUND(C9*malumot!$B$84/H9,2)*G9</f>
        <v>2493150.6</v>
      </c>
      <c r="M9" s="85">
        <f t="shared" si="0"/>
        <v>3937595.04</v>
      </c>
      <c r="N9" s="85"/>
      <c r="O9" s="100" t="str">
        <f>TEXT(R9,"ддд")</f>
        <v>Чт</v>
      </c>
      <c r="P9" s="102">
        <f t="shared" ref="P9:P31" si="6">IF(O9=$U$8,2,IF(O9=$V$8,1,0))</f>
        <v>0</v>
      </c>
      <c r="Q9" s="102">
        <f>DAY(malumot!$B$78)+P9</f>
        <v>1</v>
      </c>
      <c r="R9" s="97">
        <f>IF(A9&lt;=malumot!$B$81,DATE(YEAR($B$8),MONTH($B$8)+A8,DAY(malumot!$B$78)),0)</f>
        <v>45778</v>
      </c>
      <c r="S9" s="83"/>
      <c r="T9" s="83"/>
      <c r="U9" s="83"/>
      <c r="V9" s="83"/>
    </row>
    <row r="10" spans="1:22">
      <c r="A10" s="89">
        <v>3</v>
      </c>
      <c r="B10" s="90">
        <f>IF(A10&lt;=malumot!$B$81,DATE(YEAR(R10),MONTH(R10),DAY(IF(A10=malumot!$B$81,malumot!$B$67,IF(A10&lt;malumot!$B$81,(Q10),IF(A10&gt;malumot!$B$81,$H$44,0))))))</f>
        <v>45810</v>
      </c>
      <c r="C10" s="51">
        <f t="shared" si="1"/>
        <v>49111111.120000005</v>
      </c>
      <c r="D10" s="51">
        <f t="shared" si="2"/>
        <v>1444444.44</v>
      </c>
      <c r="E10" s="51">
        <f t="shared" si="3"/>
        <v>2583378.88</v>
      </c>
      <c r="F10" s="51">
        <f t="shared" si="4"/>
        <v>4027823.32</v>
      </c>
      <c r="G10" s="83">
        <f t="shared" ref="G10:G31" si="7">B10-B9</f>
        <v>32</v>
      </c>
      <c r="H10" s="83">
        <f t="shared" si="5"/>
        <v>365</v>
      </c>
      <c r="I10" s="91">
        <f>I9</f>
        <v>1444444.44</v>
      </c>
      <c r="J10" s="91"/>
      <c r="K10" s="91"/>
      <c r="L10" s="85">
        <f>ROUND(C10*malumot!$B$84/H10,2)*G10</f>
        <v>2583378.88</v>
      </c>
      <c r="M10" s="85">
        <f t="shared" si="0"/>
        <v>4027823.32</v>
      </c>
      <c r="N10" s="85"/>
      <c r="O10" s="100" t="str">
        <f t="shared" ref="O10:O31" si="8">TEXT(R10,"ддд")</f>
        <v>Вс</v>
      </c>
      <c r="P10" s="102">
        <f t="shared" si="6"/>
        <v>1</v>
      </c>
      <c r="Q10" s="102">
        <f>DAY(malumot!$B$78)+P10</f>
        <v>2</v>
      </c>
      <c r="R10" s="97">
        <f>IF(A10&lt;=malumot!$B$81,DATE(YEAR($B$8),MONTH($B$8)+A9,DAY(malumot!$B$78)),0)</f>
        <v>45809</v>
      </c>
      <c r="S10" s="83"/>
      <c r="T10" s="83"/>
      <c r="U10" s="83"/>
      <c r="V10" s="83"/>
    </row>
    <row r="11" spans="1:22">
      <c r="A11" s="89">
        <v>4</v>
      </c>
      <c r="B11" s="90">
        <f>IF(A11&lt;=malumot!$B$81,DATE(YEAR(R11),MONTH(R11),DAY(IF(A11=malumot!$B$81,malumot!$B$67,IF(A11&lt;malumot!$B$81,(Q11),IF(A11&gt;malumot!$B$81,$H$44,0))))))</f>
        <v>45839</v>
      </c>
      <c r="C11" s="51">
        <f t="shared" si="1"/>
        <v>47666666.680000007</v>
      </c>
      <c r="D11" s="51">
        <f t="shared" si="2"/>
        <v>1444444.44</v>
      </c>
      <c r="E11" s="51">
        <f t="shared" si="3"/>
        <v>2272328.64</v>
      </c>
      <c r="F11" s="51">
        <f t="shared" si="4"/>
        <v>3716773.08</v>
      </c>
      <c r="G11" s="83">
        <f t="shared" si="7"/>
        <v>29</v>
      </c>
      <c r="H11" s="83">
        <f t="shared" si="5"/>
        <v>365</v>
      </c>
      <c r="I11" s="91">
        <f>I10</f>
        <v>1444444.44</v>
      </c>
      <c r="J11" s="91"/>
      <c r="K11" s="91"/>
      <c r="L11" s="85">
        <f>ROUND(C11*malumot!$B$84/H11,2)*G11</f>
        <v>2272328.64</v>
      </c>
      <c r="M11" s="85">
        <f t="shared" si="0"/>
        <v>3716773.08</v>
      </c>
      <c r="N11" s="85"/>
      <c r="O11" s="100" t="str">
        <f t="shared" si="8"/>
        <v>Вт</v>
      </c>
      <c r="P11" s="102">
        <f t="shared" si="6"/>
        <v>0</v>
      </c>
      <c r="Q11" s="102">
        <f>DAY(malumot!$B$78)+P11</f>
        <v>1</v>
      </c>
      <c r="R11" s="97">
        <f>IF(A11&lt;=malumot!$B$81,DATE(YEAR($B$8),MONTH($B$8)+A10,DAY(malumot!$B$78)),0)</f>
        <v>45839</v>
      </c>
      <c r="S11" s="83"/>
      <c r="T11" s="83"/>
      <c r="U11" s="83"/>
      <c r="V11" s="83"/>
    </row>
    <row r="12" spans="1:22">
      <c r="A12" s="89">
        <v>5</v>
      </c>
      <c r="B12" s="90">
        <f>IF(A12&lt;=malumot!$B$81,DATE(YEAR(R12),MONTH(R12),DAY(IF(A12=malumot!$B$81,malumot!$B$67,IF(A12&lt;malumot!$B$81,(Q12),IF(A12&gt;malumot!$B$81,$H$44,0))))))</f>
        <v>45870</v>
      </c>
      <c r="C12" s="51">
        <f t="shared" si="1"/>
        <v>46222222.24000001</v>
      </c>
      <c r="D12" s="51">
        <f t="shared" si="2"/>
        <v>1444444.44</v>
      </c>
      <c r="E12" s="51">
        <f t="shared" si="3"/>
        <v>2355433.94</v>
      </c>
      <c r="F12" s="51">
        <f t="shared" si="4"/>
        <v>3799878.38</v>
      </c>
      <c r="G12" s="83">
        <f t="shared" si="7"/>
        <v>31</v>
      </c>
      <c r="H12" s="83">
        <f t="shared" si="5"/>
        <v>365</v>
      </c>
      <c r="I12" s="91">
        <f>I11</f>
        <v>1444444.44</v>
      </c>
      <c r="J12" s="91">
        <f>malumot!B75</f>
        <v>52000000</v>
      </c>
      <c r="K12" s="91"/>
      <c r="L12" s="85">
        <f>ROUND(C12*malumot!$B$84/H12,2)*G12</f>
        <v>2355433.94</v>
      </c>
      <c r="M12" s="85">
        <f t="shared" si="0"/>
        <v>3799878.38</v>
      </c>
      <c r="N12" s="85"/>
      <c r="O12" s="100" t="str">
        <f t="shared" si="8"/>
        <v>Пт</v>
      </c>
      <c r="P12" s="102">
        <f t="shared" si="6"/>
        <v>0</v>
      </c>
      <c r="Q12" s="102">
        <f>DAY(malumot!$B$78)+P12</f>
        <v>1</v>
      </c>
      <c r="R12" s="97">
        <f>IF(A12&lt;=malumot!$B$81,DATE(YEAR($B$8),MONTH($B$8)+A11,DAY(malumot!$B$78)),0)</f>
        <v>45870</v>
      </c>
      <c r="S12" s="83"/>
      <c r="T12" s="83"/>
      <c r="U12" s="83"/>
      <c r="V12" s="83"/>
    </row>
    <row r="13" spans="1:22">
      <c r="A13" s="89">
        <v>6</v>
      </c>
      <c r="B13" s="90">
        <f>IF(A13&lt;=malumot!$B$81,DATE(YEAR(R13),MONTH(R13),DAY(IF(A13=malumot!$B$81,malumot!$B$67,IF(A13&lt;malumot!$B$81,(Q13),IF(A13&gt;malumot!$B$81,$H$44,0))))))</f>
        <v>45901</v>
      </c>
      <c r="C13" s="51">
        <f t="shared" si="1"/>
        <v>44777777.800000012</v>
      </c>
      <c r="D13" s="51">
        <f t="shared" si="2"/>
        <v>1444444.44</v>
      </c>
      <c r="E13" s="51">
        <f t="shared" si="3"/>
        <v>2281826.61</v>
      </c>
      <c r="F13" s="51">
        <f t="shared" si="4"/>
        <v>3726271.05</v>
      </c>
      <c r="G13" s="83">
        <f t="shared" si="7"/>
        <v>31</v>
      </c>
      <c r="H13" s="83">
        <f t="shared" si="5"/>
        <v>365</v>
      </c>
      <c r="I13" s="91">
        <f>IF(L5=H1,K13,IF(L5&gt;H1,I12))</f>
        <v>1444444.44</v>
      </c>
      <c r="J13" s="91">
        <f>SUM($I$8:I12)</f>
        <v>7222222.1999999993</v>
      </c>
      <c r="K13" s="91">
        <f>$J$12-J13</f>
        <v>44777777.799999997</v>
      </c>
      <c r="L13" s="85">
        <f>ROUND(C13*malumot!$B$84/H13,2)*G13</f>
        <v>2281826.61</v>
      </c>
      <c r="M13" s="85">
        <f t="shared" si="0"/>
        <v>3726271.05</v>
      </c>
      <c r="N13" s="85"/>
      <c r="O13" s="100" t="str">
        <f t="shared" si="8"/>
        <v>Пн</v>
      </c>
      <c r="P13" s="102">
        <f t="shared" si="6"/>
        <v>0</v>
      </c>
      <c r="Q13" s="102">
        <f>DAY(malumot!$B$78)+P13</f>
        <v>1</v>
      </c>
      <c r="R13" s="97">
        <f>IF(A13&lt;=malumot!$B$81,DATE(YEAR($B$8),MONTH($B$8)+A12,DAY(malumot!$B$78)),0)</f>
        <v>45901</v>
      </c>
      <c r="S13" s="83"/>
      <c r="T13" s="83"/>
      <c r="U13" s="83"/>
      <c r="V13" s="83"/>
    </row>
    <row r="14" spans="1:22">
      <c r="A14" s="89">
        <v>7</v>
      </c>
      <c r="B14" s="90">
        <f>IF(A14&lt;=malumot!$B$81,DATE(YEAR(R14),MONTH(R14),DAY(IF(A14=malumot!$B$81,malumot!$B$67,IF(A14&lt;malumot!$B$81,(Q14),IF(A14&gt;malumot!$B$81,$H$44,0))))))</f>
        <v>45931</v>
      </c>
      <c r="C14" s="51">
        <f t="shared" si="1"/>
        <v>43333333.360000014</v>
      </c>
      <c r="D14" s="51">
        <f t="shared" si="2"/>
        <v>1444444.44</v>
      </c>
      <c r="E14" s="51">
        <f t="shared" si="3"/>
        <v>2136986.4000000004</v>
      </c>
      <c r="F14" s="51">
        <f t="shared" si="4"/>
        <v>3581430.8400000003</v>
      </c>
      <c r="G14" s="83">
        <f t="shared" si="7"/>
        <v>30</v>
      </c>
      <c r="H14" s="83">
        <f t="shared" si="5"/>
        <v>365</v>
      </c>
      <c r="I14" s="91">
        <f>IF($L$5=A14,K14,IF($L$5&gt;A14,I13))</f>
        <v>1444444.44</v>
      </c>
      <c r="J14" s="91">
        <f>SUM($I$8:I13)</f>
        <v>8666666.6399999987</v>
      </c>
      <c r="K14" s="91">
        <f t="shared" ref="K14:K31" si="9">$J$12-J14</f>
        <v>43333333.359999999</v>
      </c>
      <c r="L14" s="85">
        <f>ROUND(C14*malumot!$B$84/H14,2)*G14</f>
        <v>2136986.4000000004</v>
      </c>
      <c r="M14" s="85">
        <f t="shared" si="0"/>
        <v>3581430.8400000003</v>
      </c>
      <c r="N14" s="85"/>
      <c r="O14" s="100" t="str">
        <f t="shared" si="8"/>
        <v>Ср</v>
      </c>
      <c r="P14" s="102">
        <f t="shared" si="6"/>
        <v>0</v>
      </c>
      <c r="Q14" s="102">
        <f>DAY(malumot!$B$78)+P14</f>
        <v>1</v>
      </c>
      <c r="R14" s="97">
        <f>IF(A14&lt;=malumot!$B$81,DATE(YEAR($B$8),MONTH($B$8)+A13,DAY(malumot!$B$78)),0)</f>
        <v>45931</v>
      </c>
      <c r="S14" s="83"/>
      <c r="T14" s="83"/>
      <c r="U14" s="83"/>
      <c r="V14" s="83"/>
    </row>
    <row r="15" spans="1:22">
      <c r="A15" s="89">
        <v>8</v>
      </c>
      <c r="B15" s="90">
        <f>IF(A15&lt;=malumot!$B$81,DATE(YEAR(R15),MONTH(R15),DAY(IF(A15=malumot!$B$81,malumot!$B$67,IF(A15&lt;malumot!$B$81,(Q15),IF(A15&gt;malumot!$B$81,$H$44,0))))))</f>
        <v>45964</v>
      </c>
      <c r="C15" s="51">
        <f t="shared" si="1"/>
        <v>41888888.920000017</v>
      </c>
      <c r="D15" s="51">
        <f t="shared" si="2"/>
        <v>1444444.44</v>
      </c>
      <c r="E15" s="51">
        <f t="shared" si="3"/>
        <v>2272328.85</v>
      </c>
      <c r="F15" s="51">
        <f t="shared" si="4"/>
        <v>3716773.29</v>
      </c>
      <c r="G15" s="83">
        <f t="shared" si="7"/>
        <v>33</v>
      </c>
      <c r="H15" s="83">
        <f t="shared" si="5"/>
        <v>365</v>
      </c>
      <c r="I15" s="91">
        <f t="shared" ref="I15:I31" si="10">IF($L$5=A15,K15,IF($L$5&gt;A15,I14))</f>
        <v>1444444.44</v>
      </c>
      <c r="J15" s="91">
        <f>SUM($I$8:I14)</f>
        <v>10111111.079999998</v>
      </c>
      <c r="K15" s="91">
        <f t="shared" si="9"/>
        <v>41888888.920000002</v>
      </c>
      <c r="L15" s="85">
        <f>ROUND(C15*malumot!$B$84/H15,2)*G15</f>
        <v>2272328.85</v>
      </c>
      <c r="M15" s="85">
        <f t="shared" si="0"/>
        <v>3716773.29</v>
      </c>
      <c r="N15" s="85"/>
      <c r="O15" s="100" t="str">
        <f t="shared" si="8"/>
        <v>Сб</v>
      </c>
      <c r="P15" s="102">
        <f t="shared" si="6"/>
        <v>2</v>
      </c>
      <c r="Q15" s="102">
        <f>DAY(malumot!$B$78)+P15</f>
        <v>3</v>
      </c>
      <c r="R15" s="97">
        <f>IF(A15&lt;=malumot!$B$81,DATE(YEAR($B$8),MONTH($B$8)+A14,DAY(malumot!$B$78)),0)</f>
        <v>45962</v>
      </c>
      <c r="S15" s="83"/>
      <c r="T15" s="83"/>
      <c r="U15" s="83"/>
      <c r="V15" s="83"/>
    </row>
    <row r="16" spans="1:22">
      <c r="A16" s="89">
        <v>9</v>
      </c>
      <c r="B16" s="90">
        <f>IF(A16&lt;=malumot!$B$81,DATE(YEAR(R16),MONTH(R16),DAY(IF(A16=malumot!$B$81,malumot!$B$67,IF(A16&lt;malumot!$B$81,(Q16),IF(A16&gt;malumot!$B$81,$H$44,0))))))</f>
        <v>45992</v>
      </c>
      <c r="C16" s="51">
        <f t="shared" si="1"/>
        <v>40444444.480000019</v>
      </c>
      <c r="D16" s="51">
        <f t="shared" si="2"/>
        <v>1444444.44</v>
      </c>
      <c r="E16" s="51">
        <f t="shared" si="3"/>
        <v>1861552.56</v>
      </c>
      <c r="F16" s="51">
        <f t="shared" si="4"/>
        <v>3305997</v>
      </c>
      <c r="G16" s="83">
        <f t="shared" si="7"/>
        <v>28</v>
      </c>
      <c r="H16" s="83">
        <f t="shared" si="5"/>
        <v>365</v>
      </c>
      <c r="I16" s="91">
        <f t="shared" si="10"/>
        <v>1444444.44</v>
      </c>
      <c r="J16" s="91">
        <f>SUM($I$8:I15)</f>
        <v>11555555.519999998</v>
      </c>
      <c r="K16" s="91">
        <f t="shared" si="9"/>
        <v>40444444.480000004</v>
      </c>
      <c r="L16" s="85">
        <f>ROUND(C16*malumot!$B$84/H16,2)*G16</f>
        <v>1861552.56</v>
      </c>
      <c r="M16" s="85">
        <f t="shared" si="0"/>
        <v>3305997</v>
      </c>
      <c r="N16" s="85"/>
      <c r="O16" s="100" t="str">
        <f t="shared" si="8"/>
        <v>Пн</v>
      </c>
      <c r="P16" s="102">
        <f t="shared" si="6"/>
        <v>0</v>
      </c>
      <c r="Q16" s="102">
        <f>DAY(malumot!$B$78)+P16</f>
        <v>1</v>
      </c>
      <c r="R16" s="97">
        <f>IF(A16&lt;=malumot!$B$81,DATE(YEAR($B$8),MONTH($B$8)+A15,DAY(malumot!$B$78)),0)</f>
        <v>45992</v>
      </c>
      <c r="S16" s="83"/>
      <c r="T16" s="83"/>
      <c r="U16" s="83"/>
      <c r="V16" s="83"/>
    </row>
    <row r="17" spans="1:22">
      <c r="A17" s="89">
        <v>10</v>
      </c>
      <c r="B17" s="90">
        <f>IF(A17&lt;=malumot!$B$81,DATE(YEAR(R17),MONTH(R17),DAY(IF(A17=malumot!$B$81,malumot!$B$67,IF(A17&lt;malumot!$B$81,(Q17),IF(A17&gt;malumot!$B$81,$H$44,0))))))</f>
        <v>46023</v>
      </c>
      <c r="C17" s="51">
        <f t="shared" si="1"/>
        <v>39000000.040000021</v>
      </c>
      <c r="D17" s="51">
        <f t="shared" si="2"/>
        <v>1444444.44</v>
      </c>
      <c r="E17" s="51">
        <f t="shared" si="3"/>
        <v>1987397.2899999998</v>
      </c>
      <c r="F17" s="51">
        <f t="shared" si="4"/>
        <v>3431841.7299999995</v>
      </c>
      <c r="G17" s="83">
        <f t="shared" si="7"/>
        <v>31</v>
      </c>
      <c r="H17" s="83">
        <f t="shared" si="5"/>
        <v>365</v>
      </c>
      <c r="I17" s="91">
        <f t="shared" si="10"/>
        <v>1444444.44</v>
      </c>
      <c r="J17" s="91">
        <f>SUM($I$8:I16)</f>
        <v>12999999.959999997</v>
      </c>
      <c r="K17" s="91">
        <f>$J$12-J17</f>
        <v>39000000.040000007</v>
      </c>
      <c r="L17" s="85">
        <f>ROUND(C17*malumot!$B$84/H17,2)*G17</f>
        <v>1987397.2899999998</v>
      </c>
      <c r="M17" s="85">
        <f t="shared" si="0"/>
        <v>3431841.7299999995</v>
      </c>
      <c r="N17" s="85"/>
      <c r="O17" s="100" t="str">
        <f t="shared" si="8"/>
        <v>Чт</v>
      </c>
      <c r="P17" s="102">
        <f t="shared" si="6"/>
        <v>0</v>
      </c>
      <c r="Q17" s="102">
        <f>DAY(malumot!$B$78)+P17</f>
        <v>1</v>
      </c>
      <c r="R17" s="97">
        <f>IF(A17&lt;=malumot!$B$81,DATE(YEAR($B$8),MONTH($B$8)+A16,DAY(malumot!$B$78)),0)</f>
        <v>46023</v>
      </c>
      <c r="S17" s="83"/>
      <c r="T17" s="83"/>
      <c r="U17" s="83"/>
      <c r="V17" s="83"/>
    </row>
    <row r="18" spans="1:22">
      <c r="A18" s="89">
        <v>11</v>
      </c>
      <c r="B18" s="90">
        <f>IF(A18&lt;=malumot!$B$81,DATE(YEAR(R18),MONTH(R18),DAY(IF(A18=malumot!$B$81,malumot!$B$67,IF(A18&lt;malumot!$B$81,(Q18),IF(A18&gt;malumot!$B$81,$H$44,0))))))</f>
        <v>46055</v>
      </c>
      <c r="C18" s="51">
        <f t="shared" si="1"/>
        <v>37555555.600000024</v>
      </c>
      <c r="D18" s="51">
        <f t="shared" si="2"/>
        <v>1444444.44</v>
      </c>
      <c r="E18" s="51">
        <f t="shared" si="3"/>
        <v>1975525.12</v>
      </c>
      <c r="F18" s="51">
        <f t="shared" si="4"/>
        <v>3419969.56</v>
      </c>
      <c r="G18" s="83">
        <f t="shared" si="7"/>
        <v>32</v>
      </c>
      <c r="H18" s="83">
        <f t="shared" si="5"/>
        <v>365</v>
      </c>
      <c r="I18" s="91">
        <f t="shared" si="10"/>
        <v>1444444.44</v>
      </c>
      <c r="J18" s="91">
        <f>SUM($I$8:I17)</f>
        <v>14444444.399999997</v>
      </c>
      <c r="K18" s="91">
        <f t="shared" si="9"/>
        <v>37555555.600000001</v>
      </c>
      <c r="L18" s="85">
        <f>ROUND(C18*malumot!$B$84/H18,2)*G18</f>
        <v>1975525.12</v>
      </c>
      <c r="M18" s="85">
        <f t="shared" si="0"/>
        <v>3419969.56</v>
      </c>
      <c r="N18" s="85"/>
      <c r="O18" s="100" t="str">
        <f t="shared" si="8"/>
        <v>Вс</v>
      </c>
      <c r="P18" s="102">
        <f t="shared" si="6"/>
        <v>1</v>
      </c>
      <c r="Q18" s="102">
        <f>DAY(malumot!$B$78)+P18</f>
        <v>2</v>
      </c>
      <c r="R18" s="97">
        <f>IF(A18&lt;=malumot!$B$81,DATE(YEAR($B$8),MONTH($B$8)+A17,DAY(malumot!$B$78)),0)</f>
        <v>46054</v>
      </c>
      <c r="S18" s="83"/>
      <c r="T18" s="83"/>
      <c r="U18" s="83"/>
      <c r="V18" s="83"/>
    </row>
    <row r="19" spans="1:22">
      <c r="A19" s="89">
        <v>12</v>
      </c>
      <c r="B19" s="90">
        <f>IF(A19&lt;=malumot!$B$81,DATE(YEAR(R19),MONTH(R19),DAY(IF(A19=malumot!$B$81,malumot!$B$67,IF(A19&lt;malumot!$B$81,(Q19),IF(A19&gt;malumot!$B$81,$H$44,0))))))</f>
        <v>46083</v>
      </c>
      <c r="C19" s="51">
        <f t="shared" si="1"/>
        <v>36111111.160000026</v>
      </c>
      <c r="D19" s="51">
        <f t="shared" si="2"/>
        <v>1444444.44</v>
      </c>
      <c r="E19" s="51">
        <f t="shared" si="3"/>
        <v>1662100.4400000002</v>
      </c>
      <c r="F19" s="51">
        <f t="shared" si="4"/>
        <v>3106544.88</v>
      </c>
      <c r="G19" s="83">
        <f t="shared" si="7"/>
        <v>28</v>
      </c>
      <c r="H19" s="83">
        <f t="shared" si="5"/>
        <v>365</v>
      </c>
      <c r="I19" s="91">
        <f t="shared" si="10"/>
        <v>1444444.44</v>
      </c>
      <c r="J19" s="91">
        <f>SUM($I$8:I18)</f>
        <v>15888888.839999996</v>
      </c>
      <c r="K19" s="91">
        <f t="shared" si="9"/>
        <v>36111111.160000004</v>
      </c>
      <c r="L19" s="85">
        <f>ROUND(C19*malumot!$B$84/H19,2)*G19</f>
        <v>1662100.4400000002</v>
      </c>
      <c r="M19" s="85">
        <f t="shared" si="0"/>
        <v>3106544.88</v>
      </c>
      <c r="N19" s="85"/>
      <c r="O19" s="100" t="str">
        <f t="shared" si="8"/>
        <v>Вс</v>
      </c>
      <c r="P19" s="102">
        <f t="shared" si="6"/>
        <v>1</v>
      </c>
      <c r="Q19" s="102">
        <f>DAY(malumot!$B$78)+P19</f>
        <v>2</v>
      </c>
      <c r="R19" s="97">
        <f>IF(A19&lt;=malumot!$B$81,DATE(YEAR($B$8),MONTH($B$8)+A18,DAY(malumot!$B$78)),0)</f>
        <v>46082</v>
      </c>
      <c r="S19" s="83"/>
      <c r="T19" s="83"/>
      <c r="U19" s="83"/>
      <c r="V19" s="83"/>
    </row>
    <row r="20" spans="1:22">
      <c r="A20" s="89">
        <v>13</v>
      </c>
      <c r="B20" s="90">
        <f>IF(A20&lt;=malumot!$B$81,DATE(YEAR(R20),MONTH(R20),DAY(IF(A20=malumot!$B$81,malumot!$B$67,IF(A20&lt;malumot!$B$81,(Q20),IF(A20&gt;malumot!$B$81,$H$44,0))))))</f>
        <v>46113</v>
      </c>
      <c r="C20" s="51">
        <f t="shared" si="1"/>
        <v>34666666.720000029</v>
      </c>
      <c r="D20" s="51">
        <f t="shared" si="2"/>
        <v>1444444.44</v>
      </c>
      <c r="E20" s="51">
        <f t="shared" si="3"/>
        <v>1709589</v>
      </c>
      <c r="F20" s="51">
        <f t="shared" si="4"/>
        <v>3154033.44</v>
      </c>
      <c r="G20" s="83">
        <f t="shared" si="7"/>
        <v>30</v>
      </c>
      <c r="H20" s="83">
        <f t="shared" si="5"/>
        <v>365</v>
      </c>
      <c r="I20" s="91">
        <f t="shared" si="10"/>
        <v>1444444.44</v>
      </c>
      <c r="J20" s="91">
        <f>SUM($I$8:I19)</f>
        <v>17333333.279999997</v>
      </c>
      <c r="K20" s="91">
        <f>$J$12-J20</f>
        <v>34666666.719999999</v>
      </c>
      <c r="L20" s="85">
        <f>ROUND(C20*malumot!$B$84/H20,2)*G20</f>
        <v>1709589</v>
      </c>
      <c r="M20" s="85">
        <f t="shared" si="0"/>
        <v>3154033.44</v>
      </c>
      <c r="N20" s="85"/>
      <c r="O20" s="100" t="str">
        <f t="shared" si="8"/>
        <v>Ср</v>
      </c>
      <c r="P20" s="102">
        <f t="shared" si="6"/>
        <v>0</v>
      </c>
      <c r="Q20" s="102">
        <f>DAY(malumot!$B$78)+P20</f>
        <v>1</v>
      </c>
      <c r="R20" s="97">
        <f>IF(A20&lt;=malumot!$B$81,DATE(YEAR($B$8),MONTH($B$8)+A19,DAY(malumot!$B$78)),0)</f>
        <v>46113</v>
      </c>
      <c r="S20" s="83"/>
      <c r="T20" s="83"/>
      <c r="U20" s="83"/>
      <c r="V20" s="83"/>
    </row>
    <row r="21" spans="1:22">
      <c r="A21" s="89">
        <v>14</v>
      </c>
      <c r="B21" s="90">
        <f>IF(A21&lt;=malumot!$B$81,DATE(YEAR(R21),MONTH(R21),DAY(IF(A21=malumot!$B$81,malumot!$B$67,IF(A21&lt;malumot!$B$81,(Q21),IF(A21&gt;malumot!$B$81,$H$44,0))))))</f>
        <v>46143</v>
      </c>
      <c r="C21" s="51">
        <f t="shared" si="1"/>
        <v>33222222.280000027</v>
      </c>
      <c r="D21" s="51">
        <f t="shared" si="2"/>
        <v>1444444.44</v>
      </c>
      <c r="E21" s="51">
        <f t="shared" si="3"/>
        <v>1638356.1</v>
      </c>
      <c r="F21" s="51">
        <f t="shared" si="4"/>
        <v>3082800.54</v>
      </c>
      <c r="G21" s="83">
        <f t="shared" si="7"/>
        <v>30</v>
      </c>
      <c r="H21" s="83">
        <f t="shared" si="5"/>
        <v>365</v>
      </c>
      <c r="I21" s="91">
        <f t="shared" si="10"/>
        <v>1444444.44</v>
      </c>
      <c r="J21" s="91">
        <f>SUM($I$8:I20)</f>
        <v>18777777.719999999</v>
      </c>
      <c r="K21" s="91">
        <f t="shared" si="9"/>
        <v>33222222.280000001</v>
      </c>
      <c r="L21" s="85">
        <f>ROUND(C21*malumot!$B$84/H21,2)*G21</f>
        <v>1638356.1</v>
      </c>
      <c r="M21" s="85">
        <f t="shared" si="0"/>
        <v>3082800.54</v>
      </c>
      <c r="N21" s="85"/>
      <c r="O21" s="100" t="str">
        <f t="shared" si="8"/>
        <v>Пт</v>
      </c>
      <c r="P21" s="102">
        <f t="shared" si="6"/>
        <v>0</v>
      </c>
      <c r="Q21" s="102">
        <f>DAY(malumot!$B$78)+P21</f>
        <v>1</v>
      </c>
      <c r="R21" s="97">
        <f>IF(A21&lt;=malumot!$B$81,DATE(YEAR($B$8),MONTH($B$8)+A20,DAY(malumot!$B$78)),0)</f>
        <v>46143</v>
      </c>
      <c r="S21" s="83"/>
      <c r="T21" s="83"/>
      <c r="U21" s="83"/>
      <c r="V21" s="83"/>
    </row>
    <row r="22" spans="1:22">
      <c r="A22" s="89">
        <v>15</v>
      </c>
      <c r="B22" s="90">
        <f>IF(A22&lt;=malumot!$B$81,DATE(YEAR(R22),MONTH(R22),DAY(IF(A22=malumot!$B$81,malumot!$B$67,IF(A22&lt;malumot!$B$81,(Q22),IF(A22&gt;malumot!$B$81,$H$44,0))))))</f>
        <v>46174</v>
      </c>
      <c r="C22" s="51">
        <f t="shared" si="1"/>
        <v>31777777.840000026</v>
      </c>
      <c r="D22" s="51">
        <f t="shared" si="2"/>
        <v>1444444.44</v>
      </c>
      <c r="E22" s="51">
        <f t="shared" si="3"/>
        <v>1619360.6400000001</v>
      </c>
      <c r="F22" s="51">
        <f t="shared" si="4"/>
        <v>3063805.08</v>
      </c>
      <c r="G22" s="83">
        <f t="shared" si="7"/>
        <v>31</v>
      </c>
      <c r="H22" s="83">
        <f t="shared" si="5"/>
        <v>365</v>
      </c>
      <c r="I22" s="91">
        <f t="shared" si="10"/>
        <v>1444444.44</v>
      </c>
      <c r="J22" s="91">
        <f>SUM($I$8:I21)</f>
        <v>20222222.16</v>
      </c>
      <c r="K22" s="91">
        <f t="shared" si="9"/>
        <v>31777777.84</v>
      </c>
      <c r="L22" s="85">
        <f>ROUND(C22*malumot!$B$84/H22,2)*G22</f>
        <v>1619360.6400000001</v>
      </c>
      <c r="M22" s="85">
        <f t="shared" si="0"/>
        <v>3063805.08</v>
      </c>
      <c r="N22" s="85"/>
      <c r="O22" s="100" t="str">
        <f t="shared" si="8"/>
        <v>Пн</v>
      </c>
      <c r="P22" s="102">
        <f t="shared" si="6"/>
        <v>0</v>
      </c>
      <c r="Q22" s="102">
        <f>DAY(malumot!$B$78)+P22</f>
        <v>1</v>
      </c>
      <c r="R22" s="97">
        <f>IF(A22&lt;=malumot!$B$81,DATE(YEAR($B$8),MONTH($B$8)+A21,DAY(malumot!$B$78)),0)</f>
        <v>46174</v>
      </c>
      <c r="S22" s="83"/>
      <c r="T22" s="83"/>
      <c r="U22" s="83"/>
      <c r="V22" s="83"/>
    </row>
    <row r="23" spans="1:22">
      <c r="A23" s="89">
        <v>16</v>
      </c>
      <c r="B23" s="90">
        <f>IF(A23&lt;=malumot!$B$81,DATE(YEAR(R23),MONTH(R23),DAY(IF(A23=malumot!$B$81,malumot!$B$67,IF(A23&lt;malumot!$B$81,(Q23),IF(A23&gt;malumot!$B$81,$H$44,0))))))</f>
        <v>46204</v>
      </c>
      <c r="C23" s="51">
        <f t="shared" si="1"/>
        <v>30333333.400000025</v>
      </c>
      <c r="D23" s="51">
        <f t="shared" si="2"/>
        <v>1444444.44</v>
      </c>
      <c r="E23" s="51">
        <f t="shared" si="3"/>
        <v>1495890.3</v>
      </c>
      <c r="F23" s="51">
        <f t="shared" si="4"/>
        <v>2940334.74</v>
      </c>
      <c r="G23" s="83">
        <f t="shared" si="7"/>
        <v>30</v>
      </c>
      <c r="H23" s="83">
        <f t="shared" si="5"/>
        <v>365</v>
      </c>
      <c r="I23" s="91">
        <f t="shared" si="10"/>
        <v>1444444.44</v>
      </c>
      <c r="J23" s="91">
        <f>SUM($I$8:I22)</f>
        <v>21666666.600000001</v>
      </c>
      <c r="K23" s="91">
        <f t="shared" si="9"/>
        <v>30333333.399999999</v>
      </c>
      <c r="L23" s="85">
        <f>ROUND(C23*malumot!$B$84/H23,2)*G23</f>
        <v>1495890.3</v>
      </c>
      <c r="M23" s="85">
        <f t="shared" si="0"/>
        <v>2940334.74</v>
      </c>
      <c r="N23" s="85"/>
      <c r="O23" s="100" t="str">
        <f t="shared" si="8"/>
        <v>Ср</v>
      </c>
      <c r="P23" s="102">
        <f t="shared" si="6"/>
        <v>0</v>
      </c>
      <c r="Q23" s="102">
        <f>DAY(malumot!$B$78)+P23</f>
        <v>1</v>
      </c>
      <c r="R23" s="97">
        <f>IF(A23&lt;=malumot!$B$81,DATE(YEAR($B$8),MONTH($B$8)+A22,DAY(malumot!$B$78)),0)</f>
        <v>46204</v>
      </c>
      <c r="S23" s="83"/>
      <c r="T23" s="83"/>
      <c r="U23" s="83"/>
      <c r="V23" s="83"/>
    </row>
    <row r="24" spans="1:22">
      <c r="A24" s="89">
        <v>17</v>
      </c>
      <c r="B24" s="90">
        <f>IF(A24&lt;=malumot!$B$81,DATE(YEAR(R24),MONTH(R24),DAY(IF(A24=malumot!$B$81,malumot!$B$67,IF(A24&lt;malumot!$B$81,(Q24),IF(A24&gt;malumot!$B$81,$H$44,0))))))</f>
        <v>46237</v>
      </c>
      <c r="C24" s="51">
        <f t="shared" si="1"/>
        <v>28888888.960000023</v>
      </c>
      <c r="D24" s="51">
        <f t="shared" si="2"/>
        <v>1444444.44</v>
      </c>
      <c r="E24" s="51">
        <f t="shared" si="3"/>
        <v>1567123.1400000001</v>
      </c>
      <c r="F24" s="51">
        <f t="shared" si="4"/>
        <v>3011567.58</v>
      </c>
      <c r="G24" s="83">
        <f t="shared" si="7"/>
        <v>33</v>
      </c>
      <c r="H24" s="83">
        <f t="shared" si="5"/>
        <v>365</v>
      </c>
      <c r="I24" s="91">
        <f t="shared" si="10"/>
        <v>1444444.44</v>
      </c>
      <c r="J24" s="91">
        <f>SUM($I$8:I23)</f>
        <v>23111111.040000003</v>
      </c>
      <c r="K24" s="91">
        <f t="shared" si="9"/>
        <v>28888888.959999997</v>
      </c>
      <c r="L24" s="85">
        <f>ROUND(C24*malumot!$B$84/H24,2)*G24</f>
        <v>1567123.1400000001</v>
      </c>
      <c r="M24" s="85">
        <f t="shared" si="0"/>
        <v>3011567.58</v>
      </c>
      <c r="N24" s="85"/>
      <c r="O24" s="100" t="str">
        <f t="shared" si="8"/>
        <v>Сб</v>
      </c>
      <c r="P24" s="102">
        <f t="shared" si="6"/>
        <v>2</v>
      </c>
      <c r="Q24" s="102">
        <f>DAY(malumot!$B$78)+P24</f>
        <v>3</v>
      </c>
      <c r="R24" s="97">
        <f>IF(A24&lt;=malumot!$B$81,DATE(YEAR($B$8),MONTH($B$8)+A23,DAY(malumot!$B$78)),0)</f>
        <v>46235</v>
      </c>
      <c r="S24" s="83"/>
      <c r="T24" s="83"/>
      <c r="U24" s="83"/>
      <c r="V24" s="83"/>
    </row>
    <row r="25" spans="1:22">
      <c r="A25" s="89">
        <v>18</v>
      </c>
      <c r="B25" s="90">
        <f>IF(A25&lt;=malumot!$B$81,DATE(YEAR(R25),MONTH(R25),DAY(IF(A25=malumot!$B$81,malumot!$B$67,IF(A25&lt;malumot!$B$81,(Q25),IF(A25&gt;malumot!$B$81,$H$44,0))))))</f>
        <v>46266</v>
      </c>
      <c r="C25" s="51">
        <f t="shared" si="1"/>
        <v>27444444.520000022</v>
      </c>
      <c r="D25" s="51">
        <f t="shared" si="2"/>
        <v>1444444.44</v>
      </c>
      <c r="E25" s="51">
        <f t="shared" si="3"/>
        <v>1308310.6400000001</v>
      </c>
      <c r="F25" s="51">
        <f t="shared" si="4"/>
        <v>2752755.08</v>
      </c>
      <c r="G25" s="83">
        <f t="shared" si="7"/>
        <v>29</v>
      </c>
      <c r="H25" s="83">
        <f t="shared" si="5"/>
        <v>365</v>
      </c>
      <c r="I25" s="91">
        <f t="shared" si="10"/>
        <v>1444444.44</v>
      </c>
      <c r="J25" s="91">
        <f>SUM($I$8:I24)</f>
        <v>24555555.480000004</v>
      </c>
      <c r="K25" s="91">
        <f t="shared" si="9"/>
        <v>27444444.519999996</v>
      </c>
      <c r="L25" s="85">
        <f>ROUND(C25*malumot!$B$84/H25,2)*G25</f>
        <v>1308310.6400000001</v>
      </c>
      <c r="M25" s="85">
        <f t="shared" si="0"/>
        <v>2752755.08</v>
      </c>
      <c r="N25" s="85"/>
      <c r="O25" s="100" t="str">
        <f t="shared" si="8"/>
        <v>Вт</v>
      </c>
      <c r="P25" s="102">
        <f t="shared" si="6"/>
        <v>0</v>
      </c>
      <c r="Q25" s="102">
        <f>DAY(malumot!$B$78)+P25</f>
        <v>1</v>
      </c>
      <c r="R25" s="97">
        <f>IF(A25&lt;=malumot!$B$81,DATE(YEAR($B$8),MONTH($B$8)+A24,DAY(malumot!$B$78)),0)</f>
        <v>46266</v>
      </c>
      <c r="S25" s="83"/>
      <c r="T25" s="83"/>
      <c r="U25" s="83"/>
      <c r="V25" s="83"/>
    </row>
    <row r="26" spans="1:22">
      <c r="A26" s="89">
        <v>19</v>
      </c>
      <c r="B26" s="90">
        <f>IF(A26&lt;=malumot!$B$81,DATE(YEAR(R26),MONTH(R26),DAY(IF(A26=malumot!$B$81,malumot!$B$67,IF(A26&lt;malumot!$B$81,(Q26),IF(A26&gt;malumot!$B$81,$H$44,0))))))</f>
        <v>46296</v>
      </c>
      <c r="C26" s="51">
        <f t="shared" si="1"/>
        <v>26000000.080000021</v>
      </c>
      <c r="D26" s="51">
        <f t="shared" si="2"/>
        <v>1444444.44</v>
      </c>
      <c r="E26" s="51">
        <f t="shared" si="3"/>
        <v>1282191.9000000001</v>
      </c>
      <c r="F26" s="51">
        <f t="shared" si="4"/>
        <v>2726636.34</v>
      </c>
      <c r="G26" s="83">
        <f t="shared" si="7"/>
        <v>30</v>
      </c>
      <c r="H26" s="83">
        <f t="shared" si="5"/>
        <v>365</v>
      </c>
      <c r="I26" s="91">
        <f t="shared" si="10"/>
        <v>1444444.44</v>
      </c>
      <c r="J26" s="91">
        <f>SUM($I$8:I25)</f>
        <v>25999999.920000006</v>
      </c>
      <c r="K26" s="91">
        <f t="shared" si="9"/>
        <v>26000000.079999994</v>
      </c>
      <c r="L26" s="85">
        <f>ROUND(C26*malumot!$B$84/H26,2)*G26</f>
        <v>1282191.9000000001</v>
      </c>
      <c r="M26" s="85">
        <f t="shared" si="0"/>
        <v>2726636.34</v>
      </c>
      <c r="N26" s="85"/>
      <c r="O26" s="100" t="str">
        <f t="shared" si="8"/>
        <v>Чт</v>
      </c>
      <c r="P26" s="102">
        <f t="shared" si="6"/>
        <v>0</v>
      </c>
      <c r="Q26" s="102">
        <f>DAY(malumot!$B$78)+P26</f>
        <v>1</v>
      </c>
      <c r="R26" s="97">
        <f>IF(A26&lt;=malumot!$B$81,DATE(YEAR($B$8),MONTH($B$8)+A25,DAY(malumot!$B$78)),0)</f>
        <v>46296</v>
      </c>
      <c r="S26" s="83"/>
      <c r="T26" s="83"/>
      <c r="U26" s="83"/>
      <c r="V26" s="83"/>
    </row>
    <row r="27" spans="1:22">
      <c r="A27" s="89">
        <v>20</v>
      </c>
      <c r="B27" s="90">
        <f>IF(A27&lt;=malumot!$B$81,DATE(YEAR(R27),MONTH(R27),DAY(IF(A27=malumot!$B$81,malumot!$B$67,IF(A27&lt;malumot!$B$81,(Q27),IF(A27&gt;malumot!$B$81,$H$44,0))))))</f>
        <v>46328</v>
      </c>
      <c r="C27" s="51">
        <f t="shared" si="1"/>
        <v>24555555.640000019</v>
      </c>
      <c r="D27" s="51">
        <f t="shared" si="2"/>
        <v>1444444.44</v>
      </c>
      <c r="E27" s="51">
        <f t="shared" si="3"/>
        <v>1291689.6000000001</v>
      </c>
      <c r="F27" s="51">
        <f t="shared" si="4"/>
        <v>2736134.04</v>
      </c>
      <c r="G27" s="83">
        <f t="shared" si="7"/>
        <v>32</v>
      </c>
      <c r="H27" s="83">
        <f t="shared" si="5"/>
        <v>365</v>
      </c>
      <c r="I27" s="91">
        <f t="shared" si="10"/>
        <v>1444444.44</v>
      </c>
      <c r="J27" s="91">
        <f>SUM($I$8:I26)</f>
        <v>27444444.360000007</v>
      </c>
      <c r="K27" s="91">
        <f t="shared" si="9"/>
        <v>24555555.639999993</v>
      </c>
      <c r="L27" s="85">
        <f>ROUND(C27*malumot!$B$84/H27,2)*G27</f>
        <v>1291689.6000000001</v>
      </c>
      <c r="M27" s="85">
        <f t="shared" si="0"/>
        <v>2736134.04</v>
      </c>
      <c r="N27" s="85"/>
      <c r="O27" s="100" t="str">
        <f t="shared" si="8"/>
        <v>Вс</v>
      </c>
      <c r="P27" s="102">
        <f t="shared" si="6"/>
        <v>1</v>
      </c>
      <c r="Q27" s="102">
        <f>DAY(malumot!$B$78)+P27</f>
        <v>2</v>
      </c>
      <c r="R27" s="97">
        <f>IF(A27&lt;=malumot!$B$81,DATE(YEAR($B$8),MONTH($B$8)+A26,DAY(malumot!$B$78)),0)</f>
        <v>46327</v>
      </c>
      <c r="S27" s="83"/>
      <c r="T27" s="83"/>
      <c r="U27" s="83"/>
      <c r="V27" s="83"/>
    </row>
    <row r="28" spans="1:22">
      <c r="A28" s="89">
        <v>21</v>
      </c>
      <c r="B28" s="90">
        <f>IF(A28&lt;=malumot!$B$81,DATE(YEAR(R28),MONTH(R28),DAY(IF(A28=malumot!$B$81,malumot!$B$67,IF(A28&lt;malumot!$B$81,(Q28),IF(A28&gt;malumot!$B$81,$H$44,0))))))</f>
        <v>46357</v>
      </c>
      <c r="C28" s="51">
        <f t="shared" si="1"/>
        <v>23111111.200000018</v>
      </c>
      <c r="D28" s="51">
        <f t="shared" si="2"/>
        <v>1444444.44</v>
      </c>
      <c r="E28" s="51">
        <f t="shared" si="3"/>
        <v>1101735.23</v>
      </c>
      <c r="F28" s="51">
        <f t="shared" si="4"/>
        <v>2546179.67</v>
      </c>
      <c r="G28" s="83">
        <f t="shared" si="7"/>
        <v>29</v>
      </c>
      <c r="H28" s="83">
        <f t="shared" si="5"/>
        <v>365</v>
      </c>
      <c r="I28" s="91">
        <f t="shared" si="10"/>
        <v>1444444.44</v>
      </c>
      <c r="J28" s="91">
        <f>SUM($I$8:I27)</f>
        <v>28888888.800000008</v>
      </c>
      <c r="K28" s="91">
        <f t="shared" si="9"/>
        <v>23111111.199999992</v>
      </c>
      <c r="L28" s="85">
        <f>ROUND(C28*malumot!$B$84/H28,2)*G28</f>
        <v>1101735.23</v>
      </c>
      <c r="M28" s="85">
        <f t="shared" si="0"/>
        <v>2546179.67</v>
      </c>
      <c r="N28" s="85"/>
      <c r="O28" s="100" t="str">
        <f t="shared" si="8"/>
        <v>Вт</v>
      </c>
      <c r="P28" s="102">
        <f t="shared" si="6"/>
        <v>0</v>
      </c>
      <c r="Q28" s="102">
        <f>DAY(malumot!$B$78)+P28</f>
        <v>1</v>
      </c>
      <c r="R28" s="97">
        <f>IF(A28&lt;=malumot!$B$81,DATE(YEAR($B$8),MONTH($B$8)+A27,DAY(malumot!$B$78)),0)</f>
        <v>46357</v>
      </c>
      <c r="S28" s="83"/>
      <c r="T28" s="83"/>
      <c r="U28" s="83"/>
      <c r="V28" s="83"/>
    </row>
    <row r="29" spans="1:22">
      <c r="A29" s="89">
        <v>22</v>
      </c>
      <c r="B29" s="90">
        <f>IF(A29&lt;=malumot!$B$81,DATE(YEAR(R29),MONTH(R29),DAY(IF(A29=malumot!$B$81,malumot!$B$67,IF(A29&lt;malumot!$B$81,(Q29),IF(A29&gt;malumot!$B$81,$H$44,0))))))</f>
        <v>46388</v>
      </c>
      <c r="C29" s="51">
        <f t="shared" si="1"/>
        <v>21666666.760000017</v>
      </c>
      <c r="D29" s="51">
        <f t="shared" si="2"/>
        <v>1444444.44</v>
      </c>
      <c r="E29" s="51">
        <f t="shared" si="3"/>
        <v>1104109.6400000001</v>
      </c>
      <c r="F29" s="51">
        <f t="shared" si="4"/>
        <v>2548554.08</v>
      </c>
      <c r="G29" s="83">
        <f t="shared" si="7"/>
        <v>31</v>
      </c>
      <c r="H29" s="83">
        <f t="shared" si="5"/>
        <v>365</v>
      </c>
      <c r="I29" s="91">
        <f t="shared" si="10"/>
        <v>1444444.44</v>
      </c>
      <c r="J29" s="91">
        <f>SUM($I$8:I28)</f>
        <v>30333333.24000001</v>
      </c>
      <c r="K29" s="91">
        <f t="shared" si="9"/>
        <v>21666666.75999999</v>
      </c>
      <c r="L29" s="85">
        <f>ROUND(C29*malumot!$B$84/H29,2)*G29</f>
        <v>1104109.6400000001</v>
      </c>
      <c r="M29" s="85">
        <f t="shared" si="0"/>
        <v>2548554.08</v>
      </c>
      <c r="N29" s="85"/>
      <c r="O29" s="100" t="str">
        <f t="shared" si="8"/>
        <v>Пт</v>
      </c>
      <c r="P29" s="102">
        <f t="shared" si="6"/>
        <v>0</v>
      </c>
      <c r="Q29" s="102">
        <f>DAY(malumot!$B$78)+P29</f>
        <v>1</v>
      </c>
      <c r="R29" s="97">
        <f>IF(A29&lt;=malumot!$B$81,DATE(YEAR($B$8),MONTH($B$8)+A28,DAY(malumot!$B$78)),0)</f>
        <v>46388</v>
      </c>
      <c r="S29" s="83"/>
      <c r="T29" s="83"/>
      <c r="U29" s="83"/>
      <c r="V29" s="83"/>
    </row>
    <row r="30" spans="1:22">
      <c r="A30" s="89">
        <v>23</v>
      </c>
      <c r="B30" s="90">
        <f>IF(A30&lt;=malumot!$B$81,DATE(YEAR(R30),MONTH(R30),DAY(IF(A30=malumot!$B$81,malumot!$B$67,IF(A30&lt;malumot!$B$81,(Q30),IF(A30&gt;malumot!$B$81,$H$44,0))))))</f>
        <v>46419</v>
      </c>
      <c r="C30" s="51">
        <f t="shared" si="1"/>
        <v>20222222.320000015</v>
      </c>
      <c r="D30" s="51">
        <f t="shared" si="2"/>
        <v>1444444.44</v>
      </c>
      <c r="E30" s="51">
        <f t="shared" si="3"/>
        <v>1030502.31</v>
      </c>
      <c r="F30" s="51">
        <f t="shared" si="4"/>
        <v>2474946.75</v>
      </c>
      <c r="G30" s="83">
        <f t="shared" si="7"/>
        <v>31</v>
      </c>
      <c r="H30" s="83">
        <f t="shared" si="5"/>
        <v>365</v>
      </c>
      <c r="I30" s="91">
        <f t="shared" si="10"/>
        <v>1444444.44</v>
      </c>
      <c r="J30" s="91">
        <f>SUM($I$8:I29)</f>
        <v>31777777.680000011</v>
      </c>
      <c r="K30" s="91">
        <f t="shared" si="9"/>
        <v>20222222.319999989</v>
      </c>
      <c r="L30" s="85">
        <f>ROUND(C30*malumot!$B$84/H30,2)*G30</f>
        <v>1030502.31</v>
      </c>
      <c r="M30" s="85">
        <f t="shared" si="0"/>
        <v>2474946.75</v>
      </c>
      <c r="N30" s="85"/>
      <c r="O30" s="100" t="str">
        <f t="shared" si="8"/>
        <v>Пн</v>
      </c>
      <c r="P30" s="102">
        <f t="shared" si="6"/>
        <v>0</v>
      </c>
      <c r="Q30" s="102">
        <f>DAY(malumot!$B$78)+P30</f>
        <v>1</v>
      </c>
      <c r="R30" s="97">
        <f>IF(A30&lt;=malumot!$B$81,DATE(YEAR($B$8),MONTH($B$8)+A29,DAY(malumot!$B$78)),0)</f>
        <v>46419</v>
      </c>
      <c r="S30" s="83"/>
      <c r="T30" s="83"/>
      <c r="U30" s="83"/>
      <c r="V30" s="83"/>
    </row>
    <row r="31" spans="1:22">
      <c r="A31" s="89">
        <v>24</v>
      </c>
      <c r="B31" s="90">
        <f>IF(A31&lt;=malumot!$B$81,DATE(YEAR(R31),MONTH(R31),DAY(IF(A31=malumot!$B$81,malumot!$B$67,IF(A31&lt;malumot!$B$81,(Q31),IF(A31&gt;malumot!$B$81,$H$44,0))))))</f>
        <v>46447</v>
      </c>
      <c r="C31" s="51">
        <f t="shared" ref="C31" si="11">C30-D30</f>
        <v>18777777.880000014</v>
      </c>
      <c r="D31" s="51">
        <f t="shared" ref="D31" si="12">IF(C31=0,L31,IF(C31&gt;1,I31))</f>
        <v>1444444.44</v>
      </c>
      <c r="E31" s="51">
        <f t="shared" ref="E31" si="13">IF(C31=0,N30,IF(C31&gt;1,L31))</f>
        <v>864292.24</v>
      </c>
      <c r="F31" s="51">
        <f t="shared" ref="F31" si="14">IF(C31=0,N30,IF(C31&gt;1,M31))</f>
        <v>2308736.6799999997</v>
      </c>
      <c r="G31" s="83">
        <f t="shared" si="7"/>
        <v>28</v>
      </c>
      <c r="H31" s="83">
        <f t="shared" si="5"/>
        <v>365</v>
      </c>
      <c r="I31" s="91">
        <f t="shared" si="10"/>
        <v>1444444.44</v>
      </c>
      <c r="J31" s="91">
        <f>SUM($I$8:I30)</f>
        <v>33222222.120000012</v>
      </c>
      <c r="K31" s="91">
        <f t="shared" si="9"/>
        <v>18777777.879999988</v>
      </c>
      <c r="L31" s="85">
        <f>ROUND(C31*malumot!$B$84/H31,2)*G31</f>
        <v>864292.24</v>
      </c>
      <c r="M31" s="85">
        <f t="shared" si="0"/>
        <v>2308736.6799999997</v>
      </c>
      <c r="N31" s="85"/>
      <c r="O31" s="100" t="str">
        <f t="shared" si="8"/>
        <v>Пн</v>
      </c>
      <c r="P31" s="102">
        <f t="shared" si="6"/>
        <v>0</v>
      </c>
      <c r="Q31" s="102">
        <f>DAY(malumot!$B$78)+P31</f>
        <v>1</v>
      </c>
      <c r="R31" s="97">
        <f>IF(A31&lt;=malumot!$B$81,DATE(YEAR($B$8),MONTH($B$8)+A30,DAY(malumot!$B$78)),0)</f>
        <v>46447</v>
      </c>
      <c r="S31" s="83"/>
      <c r="T31" s="83"/>
      <c r="U31" s="83"/>
      <c r="V31" s="83"/>
    </row>
    <row r="32" spans="1:22">
      <c r="A32" s="89">
        <f>1+A31</f>
        <v>25</v>
      </c>
      <c r="B32" s="90">
        <f>IF(A32&lt;=malumot!$B$81,DATE(YEAR(R32),MONTH(R32),DAY(IF(A32=malumot!$B$81,malumot!$B$67,IF(A32&lt;malumot!$B$81,(Q32),IF(A32&gt;malumot!$B$81,$H$44,0))))))</f>
        <v>46478</v>
      </c>
      <c r="C32" s="51">
        <f t="shared" ref="C32:C42" si="15">C31-D31</f>
        <v>17333333.440000013</v>
      </c>
      <c r="D32" s="51">
        <f t="shared" ref="D32:D42" si="16">IF(C32=0,L32,IF(C32&gt;1,I32))</f>
        <v>1444444.44</v>
      </c>
      <c r="E32" s="51">
        <f t="shared" ref="E32:E42" si="17">IF(C32=0,N31,IF(C32&gt;1,L32))</f>
        <v>883287.65</v>
      </c>
      <c r="F32" s="51">
        <f t="shared" ref="F32:F42" si="18">IF(C32=0,N31,IF(C32&gt;1,M32))</f>
        <v>2327732.09</v>
      </c>
      <c r="G32" s="83">
        <f t="shared" ref="G32:G42" si="19">B32-B31</f>
        <v>31</v>
      </c>
      <c r="H32" s="83">
        <f t="shared" ref="H32:H42" si="20">DATE(YEAR(B32),12,31)-DATE(YEAR(B32),1,1)+1</f>
        <v>365</v>
      </c>
      <c r="I32" s="91">
        <f t="shared" ref="I32:I42" si="21">IF($L$5=A32,K32,IF($L$5&gt;A32,I31))</f>
        <v>1444444.44</v>
      </c>
      <c r="J32" s="91">
        <f>SUM($I$8:I31)</f>
        <v>34666666.56000001</v>
      </c>
      <c r="K32" s="91">
        <f t="shared" ref="K32:K42" si="22">$J$12-J32</f>
        <v>17333333.43999999</v>
      </c>
      <c r="L32" s="85">
        <f>ROUND(C32*malumot!$B$84/H32,2)*G32</f>
        <v>883287.65</v>
      </c>
      <c r="M32" s="85">
        <f t="shared" ref="M32:M42" si="23">D32+E32</f>
        <v>2327732.09</v>
      </c>
      <c r="N32" s="85"/>
      <c r="O32" s="100" t="str">
        <f t="shared" ref="O32:O42" si="24">TEXT(R32,"ддд")</f>
        <v>Чт</v>
      </c>
      <c r="P32" s="102">
        <f t="shared" ref="P32:P42" si="25">IF(O32=$U$8,2,IF(O32=$V$8,1,0))</f>
        <v>0</v>
      </c>
      <c r="Q32" s="102">
        <f>DAY(malumot!$B$78)+P32</f>
        <v>1</v>
      </c>
      <c r="R32" s="97">
        <f>IF(A32&lt;=malumot!$B$81,DATE(YEAR($B$8),MONTH($B$8)+A31,DAY(malumot!$B$78)),0)</f>
        <v>46478</v>
      </c>
      <c r="S32" s="83"/>
      <c r="T32" s="83"/>
      <c r="U32" s="83"/>
      <c r="V32" s="83"/>
    </row>
    <row r="33" spans="1:22">
      <c r="A33" s="89">
        <f t="shared" ref="A33:A42" si="26">1+A32</f>
        <v>26</v>
      </c>
      <c r="B33" s="90">
        <f>IF(A33&lt;=malumot!$B$81,DATE(YEAR(R33),MONTH(R33),DAY(IF(A33=malumot!$B$81,malumot!$B$67,IF(A33&lt;malumot!$B$81,(Q33),IF(A33&gt;malumot!$B$81,$H$44,0))))))</f>
        <v>46510</v>
      </c>
      <c r="C33" s="51">
        <f t="shared" si="15"/>
        <v>15888889.000000013</v>
      </c>
      <c r="D33" s="51">
        <f t="shared" si="16"/>
        <v>1444444.44</v>
      </c>
      <c r="E33" s="51">
        <f t="shared" si="17"/>
        <v>835799.04000000004</v>
      </c>
      <c r="F33" s="51">
        <f t="shared" si="18"/>
        <v>2280243.48</v>
      </c>
      <c r="G33" s="83">
        <f t="shared" si="19"/>
        <v>32</v>
      </c>
      <c r="H33" s="83">
        <f t="shared" si="20"/>
        <v>365</v>
      </c>
      <c r="I33" s="91">
        <f t="shared" si="21"/>
        <v>1444444.44</v>
      </c>
      <c r="J33" s="91">
        <f>SUM($I$8:I32)</f>
        <v>36111111.000000007</v>
      </c>
      <c r="K33" s="91">
        <f t="shared" si="22"/>
        <v>15888888.999999993</v>
      </c>
      <c r="L33" s="85">
        <f>ROUND(C33*malumot!$B$84/H33,2)*G33</f>
        <v>835799.04000000004</v>
      </c>
      <c r="M33" s="85">
        <f t="shared" si="23"/>
        <v>2280243.48</v>
      </c>
      <c r="N33" s="85"/>
      <c r="O33" s="100" t="str">
        <f t="shared" si="24"/>
        <v>Сб</v>
      </c>
      <c r="P33" s="102">
        <f t="shared" si="25"/>
        <v>2</v>
      </c>
      <c r="Q33" s="102">
        <f>DAY(malumot!$B$78)+P33</f>
        <v>3</v>
      </c>
      <c r="R33" s="97">
        <f>IF(A33&lt;=malumot!$B$81,DATE(YEAR($B$8),MONTH($B$8)+A32,DAY(malumot!$B$78)),0)</f>
        <v>46508</v>
      </c>
      <c r="S33" s="83"/>
      <c r="T33" s="83"/>
      <c r="U33" s="83"/>
      <c r="V33" s="83"/>
    </row>
    <row r="34" spans="1:22">
      <c r="A34" s="89">
        <f t="shared" si="26"/>
        <v>27</v>
      </c>
      <c r="B34" s="90">
        <f>IF(A34&lt;=malumot!$B$81,DATE(YEAR(R34),MONTH(R34),DAY(IF(A34=malumot!$B$81,malumot!$B$67,IF(A34&lt;malumot!$B$81,(Q34),IF(A34&gt;malumot!$B$81,$H$44,0))))))</f>
        <v>46539</v>
      </c>
      <c r="C34" s="51">
        <f t="shared" si="15"/>
        <v>14444444.560000014</v>
      </c>
      <c r="D34" s="51">
        <f t="shared" si="16"/>
        <v>1444444.44</v>
      </c>
      <c r="E34" s="51">
        <f t="shared" si="17"/>
        <v>688584.41</v>
      </c>
      <c r="F34" s="51">
        <f t="shared" si="18"/>
        <v>2133028.85</v>
      </c>
      <c r="G34" s="83">
        <f t="shared" si="19"/>
        <v>29</v>
      </c>
      <c r="H34" s="83">
        <f t="shared" si="20"/>
        <v>365</v>
      </c>
      <c r="I34" s="91">
        <f t="shared" si="21"/>
        <v>1444444.44</v>
      </c>
      <c r="J34" s="91">
        <f>SUM($I$8:I33)</f>
        <v>37555555.440000005</v>
      </c>
      <c r="K34" s="91">
        <f t="shared" si="22"/>
        <v>14444444.559999995</v>
      </c>
      <c r="L34" s="85">
        <f>ROUND(C34*malumot!$B$84/H34,2)*G34</f>
        <v>688584.41</v>
      </c>
      <c r="M34" s="85">
        <f t="shared" si="23"/>
        <v>2133028.85</v>
      </c>
      <c r="N34" s="85"/>
      <c r="O34" s="100" t="str">
        <f t="shared" si="24"/>
        <v>Вт</v>
      </c>
      <c r="P34" s="102">
        <f t="shared" si="25"/>
        <v>0</v>
      </c>
      <c r="Q34" s="102">
        <f>DAY(malumot!$B$78)+P34</f>
        <v>1</v>
      </c>
      <c r="R34" s="97">
        <f>IF(A34&lt;=malumot!$B$81,DATE(YEAR($B$8),MONTH($B$8)+A33,DAY(malumot!$B$78)),0)</f>
        <v>46539</v>
      </c>
      <c r="S34" s="83"/>
      <c r="T34" s="83"/>
      <c r="U34" s="83"/>
      <c r="V34" s="83"/>
    </row>
    <row r="35" spans="1:22">
      <c r="A35" s="89">
        <f t="shared" si="26"/>
        <v>28</v>
      </c>
      <c r="B35" s="90">
        <f>IF(A35&lt;=malumot!$B$81,DATE(YEAR(R35),MONTH(R35),DAY(IF(A35=malumot!$B$81,malumot!$B$67,IF(A35&lt;malumot!$B$81,(Q35),IF(A35&gt;malumot!$B$81,$H$44,0))))))</f>
        <v>46569</v>
      </c>
      <c r="C35" s="51">
        <f t="shared" si="15"/>
        <v>13000000.120000014</v>
      </c>
      <c r="D35" s="51">
        <f t="shared" si="16"/>
        <v>1444444.44</v>
      </c>
      <c r="E35" s="51">
        <f t="shared" si="17"/>
        <v>641095.80000000005</v>
      </c>
      <c r="F35" s="51">
        <f t="shared" si="18"/>
        <v>2085540.24</v>
      </c>
      <c r="G35" s="83">
        <f t="shared" si="19"/>
        <v>30</v>
      </c>
      <c r="H35" s="83">
        <f t="shared" si="20"/>
        <v>365</v>
      </c>
      <c r="I35" s="91">
        <f t="shared" si="21"/>
        <v>1444444.44</v>
      </c>
      <c r="J35" s="91">
        <f>SUM($I$8:I34)</f>
        <v>38999999.880000003</v>
      </c>
      <c r="K35" s="91">
        <f t="shared" si="22"/>
        <v>13000000.119999997</v>
      </c>
      <c r="L35" s="85">
        <f>ROUND(C35*malumot!$B$84/H35,2)*G35</f>
        <v>641095.80000000005</v>
      </c>
      <c r="M35" s="85">
        <f t="shared" si="23"/>
        <v>2085540.24</v>
      </c>
      <c r="N35" s="85"/>
      <c r="O35" s="100" t="str">
        <f t="shared" si="24"/>
        <v>Чт</v>
      </c>
      <c r="P35" s="102">
        <f t="shared" si="25"/>
        <v>0</v>
      </c>
      <c r="Q35" s="102">
        <f>DAY(malumot!$B$78)+P35</f>
        <v>1</v>
      </c>
      <c r="R35" s="97">
        <f>IF(A35&lt;=malumot!$B$81,DATE(YEAR($B$8),MONTH($B$8)+A34,DAY(malumot!$B$78)),0)</f>
        <v>46569</v>
      </c>
      <c r="S35" s="83"/>
      <c r="T35" s="83"/>
      <c r="U35" s="83"/>
      <c r="V35" s="83"/>
    </row>
    <row r="36" spans="1:22">
      <c r="A36" s="89">
        <f t="shared" si="26"/>
        <v>29</v>
      </c>
      <c r="B36" s="90">
        <f>IF(A36&lt;=malumot!$B$81,DATE(YEAR(R36),MONTH(R36),DAY(IF(A36=malumot!$B$81,malumot!$B$67,IF(A36&lt;malumot!$B$81,(Q36),IF(A36&gt;malumot!$B$81,$H$44,0))))))</f>
        <v>46601</v>
      </c>
      <c r="C36" s="51">
        <f t="shared" si="15"/>
        <v>11555555.680000015</v>
      </c>
      <c r="D36" s="51">
        <f t="shared" si="16"/>
        <v>1444444.44</v>
      </c>
      <c r="E36" s="51">
        <f t="shared" si="17"/>
        <v>607853.76</v>
      </c>
      <c r="F36" s="51">
        <f t="shared" si="18"/>
        <v>2052298.2</v>
      </c>
      <c r="G36" s="83">
        <f t="shared" si="19"/>
        <v>32</v>
      </c>
      <c r="H36" s="83">
        <f t="shared" si="20"/>
        <v>365</v>
      </c>
      <c r="I36" s="91">
        <f t="shared" si="21"/>
        <v>1444444.44</v>
      </c>
      <c r="J36" s="91">
        <f>SUM($I$8:I35)</f>
        <v>40444444.32</v>
      </c>
      <c r="K36" s="91">
        <f t="shared" si="22"/>
        <v>11555555.68</v>
      </c>
      <c r="L36" s="85">
        <f>ROUND(C36*malumot!$B$84/H36,2)*G36</f>
        <v>607853.76</v>
      </c>
      <c r="M36" s="85">
        <f t="shared" si="23"/>
        <v>2052298.2</v>
      </c>
      <c r="N36" s="85"/>
      <c r="O36" s="100" t="str">
        <f t="shared" si="24"/>
        <v>Вс</v>
      </c>
      <c r="P36" s="102">
        <f t="shared" si="25"/>
        <v>1</v>
      </c>
      <c r="Q36" s="102">
        <f>DAY(malumot!$B$78)+P36</f>
        <v>2</v>
      </c>
      <c r="R36" s="97">
        <f>IF(A36&lt;=malumot!$B$81,DATE(YEAR($B$8),MONTH($B$8)+A35,DAY(malumot!$B$78)),0)</f>
        <v>46600</v>
      </c>
      <c r="S36" s="83"/>
      <c r="T36" s="83"/>
      <c r="U36" s="83"/>
      <c r="V36" s="83"/>
    </row>
    <row r="37" spans="1:22">
      <c r="A37" s="89">
        <f t="shared" si="26"/>
        <v>30</v>
      </c>
      <c r="B37" s="90">
        <f>IF(A37&lt;=malumot!$B$81,DATE(YEAR(R37),MONTH(R37),DAY(IF(A37=malumot!$B$81,malumot!$B$67,IF(A37&lt;malumot!$B$81,(Q37),IF(A37&gt;malumot!$B$81,$H$44,0))))))</f>
        <v>46631</v>
      </c>
      <c r="C37" s="51">
        <f t="shared" si="15"/>
        <v>10111111.240000015</v>
      </c>
      <c r="D37" s="51">
        <f t="shared" si="16"/>
        <v>1444444.44</v>
      </c>
      <c r="E37" s="51">
        <f t="shared" si="17"/>
        <v>498630</v>
      </c>
      <c r="F37" s="51">
        <f t="shared" si="18"/>
        <v>1943074.44</v>
      </c>
      <c r="G37" s="83">
        <f t="shared" si="19"/>
        <v>30</v>
      </c>
      <c r="H37" s="83">
        <f t="shared" si="20"/>
        <v>365</v>
      </c>
      <c r="I37" s="91">
        <f t="shared" si="21"/>
        <v>1444444.44</v>
      </c>
      <c r="J37" s="91">
        <f>SUM($I$8:I36)</f>
        <v>41888888.759999998</v>
      </c>
      <c r="K37" s="91">
        <f t="shared" si="22"/>
        <v>10111111.240000002</v>
      </c>
      <c r="L37" s="85">
        <f>ROUND(C37*malumot!$B$84/H37,2)*G37</f>
        <v>498630</v>
      </c>
      <c r="M37" s="85">
        <f t="shared" si="23"/>
        <v>1943074.44</v>
      </c>
      <c r="N37" s="85"/>
      <c r="O37" s="100" t="str">
        <f t="shared" si="24"/>
        <v>Ср</v>
      </c>
      <c r="P37" s="102">
        <f t="shared" si="25"/>
        <v>0</v>
      </c>
      <c r="Q37" s="102">
        <f>DAY(malumot!$B$78)+P37</f>
        <v>1</v>
      </c>
      <c r="R37" s="97">
        <f>IF(A37&lt;=malumot!$B$81,DATE(YEAR($B$8),MONTH($B$8)+A36,DAY(malumot!$B$78)),0)</f>
        <v>46631</v>
      </c>
      <c r="S37" s="83"/>
      <c r="T37" s="83"/>
      <c r="U37" s="83"/>
      <c r="V37" s="83"/>
    </row>
    <row r="38" spans="1:22">
      <c r="A38" s="89">
        <f t="shared" si="26"/>
        <v>31</v>
      </c>
      <c r="B38" s="90">
        <f>IF(A38&lt;=malumot!$B$81,DATE(YEAR(R38),MONTH(R38),DAY(IF(A38=malumot!$B$81,malumot!$B$67,IF(A38&lt;malumot!$B$81,(Q38),IF(A38&gt;malumot!$B$81,$H$44,0))))))</f>
        <v>46661</v>
      </c>
      <c r="C38" s="51">
        <f t="shared" si="15"/>
        <v>8666666.8000000156</v>
      </c>
      <c r="D38" s="51">
        <f t="shared" si="16"/>
        <v>1444444.44</v>
      </c>
      <c r="E38" s="51">
        <f t="shared" si="17"/>
        <v>427397.4</v>
      </c>
      <c r="F38" s="51">
        <f t="shared" si="18"/>
        <v>1871841.8399999999</v>
      </c>
      <c r="G38" s="83">
        <f t="shared" si="19"/>
        <v>30</v>
      </c>
      <c r="H38" s="83">
        <f t="shared" si="20"/>
        <v>365</v>
      </c>
      <c r="I38" s="91">
        <f t="shared" si="21"/>
        <v>1444444.44</v>
      </c>
      <c r="J38" s="91">
        <f>SUM($I$8:I37)</f>
        <v>43333333.199999996</v>
      </c>
      <c r="K38" s="91">
        <f t="shared" si="22"/>
        <v>8666666.8000000045</v>
      </c>
      <c r="L38" s="85">
        <f>ROUND(C38*malumot!$B$84/H38,2)*G38</f>
        <v>427397.4</v>
      </c>
      <c r="M38" s="85">
        <f t="shared" si="23"/>
        <v>1871841.8399999999</v>
      </c>
      <c r="N38" s="85"/>
      <c r="O38" s="100" t="str">
        <f t="shared" si="24"/>
        <v>Пт</v>
      </c>
      <c r="P38" s="102">
        <f t="shared" si="25"/>
        <v>0</v>
      </c>
      <c r="Q38" s="102">
        <f>DAY(malumot!$B$78)+P38</f>
        <v>1</v>
      </c>
      <c r="R38" s="97">
        <f>IF(A38&lt;=malumot!$B$81,DATE(YEAR($B$8),MONTH($B$8)+A37,DAY(malumot!$B$78)),0)</f>
        <v>46661</v>
      </c>
      <c r="S38" s="83"/>
      <c r="T38" s="83"/>
      <c r="U38" s="83"/>
      <c r="V38" s="83"/>
    </row>
    <row r="39" spans="1:22">
      <c r="A39" s="89">
        <f t="shared" si="26"/>
        <v>32</v>
      </c>
      <c r="B39" s="90">
        <f>IF(A39&lt;=malumot!$B$81,DATE(YEAR(R39),MONTH(R39),DAY(IF(A39=malumot!$B$81,malumot!$B$67,IF(A39&lt;malumot!$B$81,(Q39),IF(A39&gt;malumot!$B$81,$H$44,0))))))</f>
        <v>46692</v>
      </c>
      <c r="C39" s="51">
        <f t="shared" si="15"/>
        <v>7222222.3600000162</v>
      </c>
      <c r="D39" s="51">
        <f t="shared" si="16"/>
        <v>1444444.44</v>
      </c>
      <c r="E39" s="51">
        <f t="shared" si="17"/>
        <v>368036.64999999997</v>
      </c>
      <c r="F39" s="51">
        <f t="shared" si="18"/>
        <v>1812481.0899999999</v>
      </c>
      <c r="G39" s="83">
        <f t="shared" si="19"/>
        <v>31</v>
      </c>
      <c r="H39" s="83">
        <f t="shared" si="20"/>
        <v>365</v>
      </c>
      <c r="I39" s="91">
        <f t="shared" si="21"/>
        <v>1444444.44</v>
      </c>
      <c r="J39" s="91">
        <f>SUM($I$8:I38)</f>
        <v>44777777.639999993</v>
      </c>
      <c r="K39" s="91">
        <f t="shared" si="22"/>
        <v>7222222.3600000069</v>
      </c>
      <c r="L39" s="85">
        <f>ROUND(C39*malumot!$B$84/H39,2)*G39</f>
        <v>368036.64999999997</v>
      </c>
      <c r="M39" s="85">
        <f t="shared" si="23"/>
        <v>1812481.0899999999</v>
      </c>
      <c r="N39" s="85"/>
      <c r="O39" s="100" t="str">
        <f t="shared" si="24"/>
        <v>Пн</v>
      </c>
      <c r="P39" s="102">
        <f t="shared" si="25"/>
        <v>0</v>
      </c>
      <c r="Q39" s="102">
        <f>DAY(malumot!$B$78)+P39</f>
        <v>1</v>
      </c>
      <c r="R39" s="97">
        <f>IF(A39&lt;=malumot!$B$81,DATE(YEAR($B$8),MONTH($B$8)+A38,DAY(malumot!$B$78)),0)</f>
        <v>46692</v>
      </c>
      <c r="S39" s="83"/>
      <c r="T39" s="83"/>
      <c r="U39" s="83"/>
      <c r="V39" s="83"/>
    </row>
    <row r="40" spans="1:22">
      <c r="A40" s="89">
        <f t="shared" si="26"/>
        <v>33</v>
      </c>
      <c r="B40" s="90">
        <f>IF(A40&lt;=malumot!$B$81,DATE(YEAR(R40),MONTH(R40),DAY(IF(A40=malumot!$B$81,malumot!$B$67,IF(A40&lt;malumot!$B$81,(Q40),IF(A40&gt;malumot!$B$81,$H$44,0))))))</f>
        <v>46722</v>
      </c>
      <c r="C40" s="51">
        <f t="shared" si="15"/>
        <v>5777777.9200000167</v>
      </c>
      <c r="D40" s="51">
        <f t="shared" si="16"/>
        <v>1444444.44</v>
      </c>
      <c r="E40" s="51">
        <f t="shared" si="17"/>
        <v>284931.59999999998</v>
      </c>
      <c r="F40" s="51">
        <f t="shared" si="18"/>
        <v>1729376.04</v>
      </c>
      <c r="G40" s="83">
        <f t="shared" si="19"/>
        <v>30</v>
      </c>
      <c r="H40" s="83">
        <f t="shared" si="20"/>
        <v>365</v>
      </c>
      <c r="I40" s="91">
        <f t="shared" si="21"/>
        <v>1444444.44</v>
      </c>
      <c r="J40" s="91">
        <f>SUM($I$8:I39)</f>
        <v>46222222.079999991</v>
      </c>
      <c r="K40" s="91">
        <f t="shared" si="22"/>
        <v>5777777.9200000092</v>
      </c>
      <c r="L40" s="85">
        <f>ROUND(C40*malumot!$B$84/H40,2)*G40</f>
        <v>284931.59999999998</v>
      </c>
      <c r="M40" s="85">
        <f t="shared" si="23"/>
        <v>1729376.04</v>
      </c>
      <c r="N40" s="85"/>
      <c r="O40" s="100" t="str">
        <f t="shared" si="24"/>
        <v>Ср</v>
      </c>
      <c r="P40" s="102">
        <f t="shared" si="25"/>
        <v>0</v>
      </c>
      <c r="Q40" s="102">
        <f>DAY(malumot!$B$78)+P40</f>
        <v>1</v>
      </c>
      <c r="R40" s="97">
        <f>IF(A40&lt;=malumot!$B$81,DATE(YEAR($B$8),MONTH($B$8)+A39,DAY(malumot!$B$78)),0)</f>
        <v>46722</v>
      </c>
      <c r="S40" s="83"/>
      <c r="T40" s="83"/>
      <c r="U40" s="83"/>
      <c r="V40" s="83"/>
    </row>
    <row r="41" spans="1:22">
      <c r="A41" s="89">
        <f t="shared" si="26"/>
        <v>34</v>
      </c>
      <c r="B41" s="90">
        <f>IF(A41&lt;=malumot!$B$81,DATE(YEAR(R41),MONTH(R41),DAY(IF(A41=malumot!$B$81,malumot!$B$67,IF(A41&lt;malumot!$B$81,(Q41),IF(A41&gt;malumot!$B$81,$H$44,0))))))</f>
        <v>46755</v>
      </c>
      <c r="C41" s="51">
        <f t="shared" si="15"/>
        <v>4333333.4800000172</v>
      </c>
      <c r="D41" s="51">
        <f t="shared" si="16"/>
        <v>1444444.44</v>
      </c>
      <c r="E41" s="51">
        <f t="shared" si="17"/>
        <v>234426.38999999998</v>
      </c>
      <c r="F41" s="51">
        <f t="shared" si="18"/>
        <v>1678870.8299999998</v>
      </c>
      <c r="G41" s="83">
        <f t="shared" si="19"/>
        <v>33</v>
      </c>
      <c r="H41" s="83">
        <f t="shared" si="20"/>
        <v>366</v>
      </c>
      <c r="I41" s="91">
        <f t="shared" si="21"/>
        <v>1444444.44</v>
      </c>
      <c r="J41" s="91">
        <f>SUM($I$8:I40)</f>
        <v>47666666.519999988</v>
      </c>
      <c r="K41" s="91">
        <f t="shared" si="22"/>
        <v>4333333.4800000116</v>
      </c>
      <c r="L41" s="85">
        <f>ROUND(C41*malumot!$B$84/H41,2)*G41</f>
        <v>234426.38999999998</v>
      </c>
      <c r="M41" s="85">
        <f t="shared" si="23"/>
        <v>1678870.8299999998</v>
      </c>
      <c r="N41" s="85"/>
      <c r="O41" s="100" t="str">
        <f t="shared" si="24"/>
        <v>Сб</v>
      </c>
      <c r="P41" s="102">
        <f t="shared" si="25"/>
        <v>2</v>
      </c>
      <c r="Q41" s="102">
        <f>DAY(malumot!$B$78)+P41</f>
        <v>3</v>
      </c>
      <c r="R41" s="97">
        <f>IF(A41&lt;=malumot!$B$81,DATE(YEAR($B$8),MONTH($B$8)+A40,DAY(malumot!$B$78)),0)</f>
        <v>46753</v>
      </c>
      <c r="S41" s="83"/>
      <c r="T41" s="83"/>
      <c r="U41" s="83"/>
      <c r="V41" s="83"/>
    </row>
    <row r="42" spans="1:22">
      <c r="A42" s="89">
        <f t="shared" si="26"/>
        <v>35</v>
      </c>
      <c r="B42" s="90">
        <f>IF(A42&lt;=malumot!$B$81,DATE(YEAR(R42),MONTH(R42),DAY(IF(A42=malumot!$B$81,malumot!$B$67,IF(A42&lt;malumot!$B$81,(Q42),IF(A42&gt;malumot!$B$81,$H$44,0))))))</f>
        <v>46784</v>
      </c>
      <c r="C42" s="51">
        <f t="shared" si="15"/>
        <v>2888889.0400000173</v>
      </c>
      <c r="D42" s="51">
        <f t="shared" si="16"/>
        <v>1444444.44</v>
      </c>
      <c r="E42" s="51">
        <f t="shared" si="17"/>
        <v>137340.51999999999</v>
      </c>
      <c r="F42" s="51">
        <f t="shared" si="18"/>
        <v>1581784.96</v>
      </c>
      <c r="G42" s="83">
        <f t="shared" si="19"/>
        <v>29</v>
      </c>
      <c r="H42" s="83">
        <f t="shared" si="20"/>
        <v>366</v>
      </c>
      <c r="I42" s="91">
        <f t="shared" si="21"/>
        <v>1444444.44</v>
      </c>
      <c r="J42" s="91">
        <f>SUM($I$8:I41)</f>
        <v>49111110.959999986</v>
      </c>
      <c r="K42" s="91">
        <f t="shared" si="22"/>
        <v>2888889.040000014</v>
      </c>
      <c r="L42" s="85">
        <f>ROUND(C42*malumot!$B$84/H42,2)*G42</f>
        <v>137340.51999999999</v>
      </c>
      <c r="M42" s="85">
        <f t="shared" si="23"/>
        <v>1581784.96</v>
      </c>
      <c r="N42" s="85"/>
      <c r="O42" s="100" t="str">
        <f t="shared" si="24"/>
        <v>Вт</v>
      </c>
      <c r="P42" s="102">
        <f t="shared" si="25"/>
        <v>0</v>
      </c>
      <c r="Q42" s="102">
        <f>DAY(malumot!$B$78)+P42</f>
        <v>1</v>
      </c>
      <c r="R42" s="97">
        <f>IF(A42&lt;=malumot!$B$81,DATE(YEAR($B$8),MONTH($B$8)+A41,DAY(malumot!$B$78)),0)</f>
        <v>46784</v>
      </c>
      <c r="S42" s="83"/>
      <c r="T42" s="83"/>
      <c r="U42" s="83"/>
      <c r="V42" s="83"/>
    </row>
    <row r="43" spans="1:22">
      <c r="A43" s="89">
        <f t="shared" ref="A43" si="27">1+A42</f>
        <v>36</v>
      </c>
      <c r="B43" s="90">
        <f>IF(A43&lt;=malumot!$B$81,DATE(YEAR(R43),MONTH(R43),DAY(IF(A43=malumot!$B$81,malumot!$B$67,IF(A43&lt;malumot!$B$81,(Q43),IF(A43&gt;malumot!$B$81,$H$44,0))))))</f>
        <v>46836</v>
      </c>
      <c r="C43" s="51">
        <f t="shared" ref="C43" si="28">C42-D42</f>
        <v>1444444.6000000173</v>
      </c>
      <c r="D43" s="51">
        <f t="shared" ref="D43" si="29">IF(C43=0,L43,IF(C43&gt;1,I43))</f>
        <v>1444444.6000000164</v>
      </c>
      <c r="E43" s="51">
        <f t="shared" ref="E43" si="30">IF(C43=0,N42,IF(C43&gt;1,L43))</f>
        <v>123132.88</v>
      </c>
      <c r="F43" s="51">
        <f t="shared" ref="F43" si="31">IF(C43=0,N42,IF(C43&gt;1,M43))</f>
        <v>1567577.4800000163</v>
      </c>
      <c r="G43" s="83">
        <f t="shared" ref="G43" si="32">B43-B42</f>
        <v>52</v>
      </c>
      <c r="H43" s="83">
        <f t="shared" ref="H43" si="33">DATE(YEAR(B43),12,31)-DATE(YEAR(B43),1,1)+1</f>
        <v>366</v>
      </c>
      <c r="I43" s="91">
        <f t="shared" ref="I43" si="34">IF($L$5=A43,K43,IF($L$5&gt;A43,I42))</f>
        <v>1444444.6000000164</v>
      </c>
      <c r="J43" s="91">
        <f>SUM($I$8:I42)</f>
        <v>50555555.399999984</v>
      </c>
      <c r="K43" s="91">
        <f t="shared" ref="K43" si="35">$J$12-J43</f>
        <v>1444444.6000000164</v>
      </c>
      <c r="L43" s="85">
        <f>ROUND(C43*malumot!$B$84/H43,2)*G43</f>
        <v>123132.88</v>
      </c>
      <c r="M43" s="85">
        <f t="shared" ref="M43" si="36">D43+E43</f>
        <v>1567577.4800000163</v>
      </c>
      <c r="N43" s="85"/>
      <c r="O43" s="100" t="str">
        <f t="shared" ref="O43" si="37">TEXT(R43,"ддд")</f>
        <v>Ср</v>
      </c>
      <c r="P43" s="102">
        <f t="shared" ref="P43" si="38">IF(O43=$U$8,2,IF(O43=$V$8,1,0))</f>
        <v>0</v>
      </c>
      <c r="Q43" s="102">
        <f>DAY(malumot!$B$78)+P43</f>
        <v>1</v>
      </c>
      <c r="R43" s="97">
        <f>IF(A43&lt;=malumot!$B$81,DATE(YEAR($B$8),MONTH($B$8)+A42,DAY(malumot!$B$78)),0)</f>
        <v>46813</v>
      </c>
      <c r="S43" s="83"/>
      <c r="T43" s="83"/>
      <c r="U43" s="83"/>
      <c r="V43" s="83"/>
    </row>
    <row r="44" spans="1:22">
      <c r="A44" s="92"/>
      <c r="B44" s="93" t="s">
        <v>7</v>
      </c>
      <c r="C44" s="94"/>
      <c r="D44" s="94">
        <f>SUM(D8:D43)</f>
        <v>52000000</v>
      </c>
      <c r="E44" s="94">
        <f t="shared" ref="E44:F44" si="39">SUM(E8:E43)</f>
        <v>46309511.769999996</v>
      </c>
      <c r="F44" s="94">
        <f t="shared" si="39"/>
        <v>98309511.770000011</v>
      </c>
    </row>
    <row r="45" spans="1:22" ht="9" customHeight="1">
      <c r="B45" s="95"/>
      <c r="C45" s="96"/>
      <c r="D45" s="96"/>
      <c r="E45" s="96"/>
      <c r="F45" s="96"/>
    </row>
    <row r="46" spans="1:22" ht="47.25" customHeight="1">
      <c r="A46" s="302" t="s">
        <v>18</v>
      </c>
      <c r="B46" s="302"/>
      <c r="C46" s="302"/>
      <c r="D46" s="302"/>
      <c r="E46" s="302"/>
      <c r="F46" s="302"/>
    </row>
    <row r="47" spans="1:22" ht="7.5" customHeight="1"/>
    <row r="48" spans="1:22">
      <c r="A48" s="303" t="e">
        <f>#REF!</f>
        <v>#REF!</v>
      </c>
      <c r="B48" s="303"/>
      <c r="C48" s="303"/>
      <c r="D48" s="303" t="e">
        <f>#REF!</f>
        <v>#REF!</v>
      </c>
      <c r="E48" s="303"/>
      <c r="F48" s="303"/>
    </row>
    <row r="49" spans="1:6" ht="11.25" customHeight="1">
      <c r="A49" s="304"/>
      <c r="B49" s="304"/>
      <c r="C49" s="304"/>
      <c r="D49" s="304"/>
      <c r="E49" s="304"/>
      <c r="F49" s="304"/>
    </row>
    <row r="50" spans="1:6" ht="30" customHeight="1">
      <c r="A50" s="301" t="e">
        <f>#REF!</f>
        <v>#REF!</v>
      </c>
      <c r="B50" s="301"/>
      <c r="C50" s="301"/>
      <c r="D50" s="301" t="e">
        <f>#REF!</f>
        <v>#REF!</v>
      </c>
      <c r="E50" s="301"/>
      <c r="F50" s="301"/>
    </row>
    <row r="51" spans="1:6" ht="32.25" customHeight="1">
      <c r="A51" s="297" t="e">
        <f>#REF!</f>
        <v>#REF!</v>
      </c>
      <c r="B51" s="297"/>
      <c r="C51" s="297"/>
      <c r="D51" s="297" t="e">
        <f>#REF!</f>
        <v>#REF!</v>
      </c>
      <c r="E51" s="297"/>
      <c r="F51" s="297"/>
    </row>
    <row r="52" spans="1:6">
      <c r="A52" s="297" t="e">
        <f>#REF!</f>
        <v>#REF!</v>
      </c>
      <c r="B52" s="297"/>
      <c r="C52" s="297"/>
      <c r="D52" s="297" t="str">
        <f>"паспорт серии "&amp;malumot!B16&amp;", "&amp;malumot!B20&amp;""</f>
        <v>паспорт серии AC 1659096, SURXONDARYO VILOYATI JARQO'RG'ON TUMANI IIB tomonidan 21.02.2019 yilda berilgan</v>
      </c>
      <c r="E52" s="297"/>
      <c r="F52" s="297"/>
    </row>
    <row r="53" spans="1:6" ht="32.25" customHeight="1">
      <c r="A53" s="297" t="e">
        <f>#REF!</f>
        <v>#REF!</v>
      </c>
      <c r="B53" s="297"/>
      <c r="C53" s="297"/>
      <c r="D53" s="297"/>
      <c r="E53" s="297"/>
      <c r="F53" s="297"/>
    </row>
    <row r="54" spans="1:6">
      <c r="A54" s="297" t="e">
        <f>#REF!</f>
        <v>#REF!</v>
      </c>
      <c r="B54" s="297"/>
      <c r="C54" s="297"/>
      <c r="D54" s="297" t="e">
        <f>#REF!</f>
        <v>#REF!</v>
      </c>
      <c r="E54" s="297"/>
      <c r="F54" s="297"/>
    </row>
    <row r="55" spans="1:6">
      <c r="A55" s="297" t="e">
        <f>#REF!</f>
        <v>#REF!</v>
      </c>
      <c r="B55" s="297"/>
      <c r="C55" s="297"/>
      <c r="D55" s="297" t="e">
        <f>#REF!</f>
        <v>#REF!</v>
      </c>
      <c r="E55" s="297"/>
      <c r="F55" s="297"/>
    </row>
    <row r="56" spans="1:6">
      <c r="A56" s="297" t="e">
        <f>#REF!</f>
        <v>#REF!</v>
      </c>
      <c r="B56" s="297"/>
      <c r="C56" s="297"/>
      <c r="D56" s="297" t="e">
        <f>#REF!</f>
        <v>#REF!</v>
      </c>
      <c r="E56" s="297"/>
      <c r="F56" s="297"/>
    </row>
    <row r="57" spans="1:6" ht="8.25" customHeight="1">
      <c r="A57" s="297"/>
      <c r="B57" s="297"/>
      <c r="C57" s="297"/>
      <c r="D57" s="297"/>
      <c r="E57" s="297"/>
      <c r="F57" s="297"/>
    </row>
    <row r="58" spans="1:6">
      <c r="A58" s="301" t="e">
        <f>#REF!</f>
        <v>#REF!</v>
      </c>
      <c r="B58" s="301"/>
      <c r="C58" s="301"/>
      <c r="D58" s="301" t="e">
        <f>#REF!</f>
        <v>#REF!</v>
      </c>
      <c r="E58" s="301"/>
      <c r="F58" s="301"/>
    </row>
    <row r="59" spans="1:6" ht="7.5" customHeight="1">
      <c r="A59" s="301"/>
      <c r="B59" s="301"/>
      <c r="C59" s="301"/>
      <c r="D59" s="301"/>
      <c r="E59" s="301"/>
      <c r="F59" s="301"/>
    </row>
    <row r="60" spans="1:6">
      <c r="A60" s="301" t="e">
        <f>#REF!</f>
        <v>#REF!</v>
      </c>
      <c r="B60" s="301"/>
      <c r="C60" s="301"/>
      <c r="D60" s="301" t="e">
        <f>#REF!</f>
        <v>#REF!</v>
      </c>
      <c r="E60" s="301"/>
      <c r="F60" s="301"/>
    </row>
    <row r="61" spans="1:6" ht="8.25" customHeight="1">
      <c r="A61" s="297"/>
      <c r="B61" s="297"/>
      <c r="C61" s="297"/>
      <c r="D61" s="297"/>
      <c r="E61" s="297"/>
      <c r="F61" s="297"/>
    </row>
    <row r="62" spans="1:6" ht="30" customHeight="1">
      <c r="A62" s="298"/>
      <c r="B62" s="298"/>
      <c r="C62" s="298"/>
      <c r="D62" s="299" t="e">
        <f>#REF!</f>
        <v>#REF!</v>
      </c>
      <c r="E62" s="299"/>
      <c r="F62" s="299"/>
    </row>
    <row r="63" spans="1:6">
      <c r="A63" s="300"/>
      <c r="B63" s="300"/>
      <c r="C63" s="300"/>
      <c r="D63" s="300"/>
      <c r="E63" s="300"/>
      <c r="F63" s="300"/>
    </row>
    <row r="64" spans="1:6">
      <c r="A64" s="296"/>
      <c r="B64" s="296"/>
      <c r="C64" s="296"/>
      <c r="D64" s="296"/>
      <c r="E64" s="296"/>
      <c r="F64" s="296"/>
    </row>
  </sheetData>
  <mergeCells count="40">
    <mergeCell ref="E1:F1"/>
    <mergeCell ref="A4:F4"/>
    <mergeCell ref="A6:A7"/>
    <mergeCell ref="B6:B7"/>
    <mergeCell ref="C6:C7"/>
    <mergeCell ref="D6:F6"/>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A55:C55"/>
    <mergeCell ref="D55:F55"/>
    <mergeCell ref="A56:C56"/>
    <mergeCell ref="D56:F56"/>
    <mergeCell ref="A57:C57"/>
    <mergeCell ref="D57:F57"/>
    <mergeCell ref="A58:C58"/>
    <mergeCell ref="D58:F58"/>
    <mergeCell ref="A59:C59"/>
    <mergeCell ref="D59:F59"/>
    <mergeCell ref="A60:C60"/>
    <mergeCell ref="D60:F60"/>
    <mergeCell ref="A64:C64"/>
    <mergeCell ref="D64:F64"/>
    <mergeCell ref="A61:C61"/>
    <mergeCell ref="D61:F61"/>
    <mergeCell ref="A62:C62"/>
    <mergeCell ref="D62:F62"/>
    <mergeCell ref="A63:C63"/>
    <mergeCell ref="D63:F63"/>
  </mergeCells>
  <conditionalFormatting sqref="B8:B43">
    <cfRule type="cellIs" dxfId="7" priority="4" operator="lessThan">
      <formula>22105</formula>
    </cfRule>
  </conditionalFormatting>
  <conditionalFormatting sqref="C8:C43">
    <cfRule type="cellIs" dxfId="6" priority="3" operator="lessThan">
      <formula>1</formula>
    </cfRule>
  </conditionalFormatting>
  <conditionalFormatting sqref="C8:F43">
    <cfRule type="cellIs" dxfId="5"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cols>
    <col min="1" max="1" width="16.7109375" style="109"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15" customFormat="1" ht="36.75" customHeight="1">
      <c r="A1" s="114" t="s">
        <v>15</v>
      </c>
      <c r="B1" s="115" t="s">
        <v>3</v>
      </c>
      <c r="D1" s="114"/>
      <c r="E1" s="114" t="s">
        <v>40</v>
      </c>
      <c r="F1" s="114" t="s">
        <v>41</v>
      </c>
      <c r="G1" s="114"/>
      <c r="H1" s="114"/>
      <c r="I1" s="114"/>
      <c r="J1" s="114"/>
      <c r="K1" s="114"/>
      <c r="L1" s="114" t="s">
        <v>42</v>
      </c>
      <c r="M1" s="114" t="s">
        <v>44</v>
      </c>
      <c r="N1" s="114" t="s">
        <v>43</v>
      </c>
    </row>
    <row r="2" spans="1:23" ht="15" customHeight="1">
      <c r="A2" s="108">
        <v>1</v>
      </c>
      <c r="B2" t="s">
        <v>256</v>
      </c>
      <c r="C2" t="s">
        <v>67</v>
      </c>
      <c r="D2" s="110" t="s">
        <v>256</v>
      </c>
      <c r="E2" s="110" t="s">
        <v>46</v>
      </c>
      <c r="F2" s="111">
        <v>44207</v>
      </c>
      <c r="G2" s="101">
        <f>MONTH(F2)</f>
        <v>1</v>
      </c>
      <c r="H2" s="111" t="str">
        <f>IF(G2=$A$26,$A$28,IF(G2=$B$26,$B$28,IF(G2=$C$26,$C$28,IF(G2=$D$26,$D$28,IF(G2=$E$26,$E$28,IF(G2=$F$26,$F$28,IF(G2=$K$26,$K$28,IF(G2=$L$26,$L$28,IF(G2=$M$26,$M$28,IF(G2=$N$26,$N$28,IF(G2=$O$26,$O$28,IF(G2=$P$26,$P$28,0))))))))))))</f>
        <v>yanvar</v>
      </c>
      <c r="I2" s="101">
        <f>DAY(F2)</f>
        <v>11</v>
      </c>
      <c r="J2" s="113">
        <f>YEAR(F2)</f>
        <v>2021</v>
      </c>
      <c r="K2" s="111" t="str">
        <f>""&amp;I2&amp;" "&amp;H2&amp;" "&amp;J2&amp;" г."</f>
        <v>11 yanvar 2021 г.</v>
      </c>
      <c r="L2" s="110">
        <v>5</v>
      </c>
      <c r="M2" s="112">
        <v>15000000</v>
      </c>
      <c r="N2" s="110" t="s">
        <v>130</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61"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c r="A3" s="108">
        <v>2</v>
      </c>
      <c r="D3" s="110" t="s">
        <v>256</v>
      </c>
      <c r="E3" s="110" t="s">
        <v>45</v>
      </c>
      <c r="F3" s="111">
        <v>43775</v>
      </c>
      <c r="G3" s="101">
        <f>MONTH(F3)</f>
        <v>11</v>
      </c>
      <c r="H3" s="111" t="str">
        <f>IF(G3=$A$26,$A$28,IF(G3=$B$26,$B$28,IF(G3=$C$26,$C$28,IF(G3=$D$26,$D$28,IF(G3=$E$26,$E$28,IF(G3=$F$26,$F$28,IF(G3=$K$26,$K$28,IF(G3=$L$26,$L$28,IF(G3=$M$26,$M$28,IF(G3=$N$26,$N$28,IF(G3=$O$26,$O$28,IF(G3=$P$26,$P$28,0))))))))))))</f>
        <v>noyabr</v>
      </c>
      <c r="I3" s="101">
        <f>DAY(F3)</f>
        <v>6</v>
      </c>
      <c r="J3" s="113">
        <f>YEAR(F3)</f>
        <v>2019</v>
      </c>
      <c r="K3" s="111" t="str">
        <f>""&amp;I3&amp;" "&amp;H3&amp;" "&amp;J3&amp;" г."</f>
        <v>6 noyabr 2019 г.</v>
      </c>
      <c r="L3" s="110">
        <v>386</v>
      </c>
      <c r="M3" s="112">
        <v>15000000</v>
      </c>
      <c r="N3" s="110" t="s">
        <v>130</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c r="A4" s="108">
        <v>3</v>
      </c>
      <c r="D4" s="110" t="s">
        <v>256</v>
      </c>
      <c r="E4" s="110" t="s">
        <v>45</v>
      </c>
      <c r="F4" s="111">
        <v>44217</v>
      </c>
      <c r="G4" s="101">
        <f>MONTH(F4)</f>
        <v>1</v>
      </c>
      <c r="H4" s="111" t="str">
        <f>IF(G4=$A$26,$A$28,IF(G4=$B$26,$B$28,IF(G4=$C$26,$C$28,IF(G4=$D$26,$D$28,IF(G4=$E$26,$E$28,IF(G4=$F$26,$F$28,IF(G4=$K$26,$K$28,IF(G4=$L$26,$L$28,IF(G4=$M$26,$M$28,IF(G4=$N$26,$N$28,IF(G4=$O$26,$O$28,IF(G4=$P$26,$P$28,0))))))))))))</f>
        <v>yanvar</v>
      </c>
      <c r="I4" s="101">
        <f>DAY(F4)</f>
        <v>21</v>
      </c>
      <c r="J4" s="113">
        <f>YEAR(F4)</f>
        <v>2021</v>
      </c>
      <c r="K4" s="111" t="str">
        <f>""&amp;I4&amp;" "&amp;H4&amp;" "&amp;J4&amp;" г."</f>
        <v>21 yanvar 2021 г.</v>
      </c>
      <c r="L4" s="110">
        <v>33</v>
      </c>
      <c r="M4" s="112">
        <v>15000000</v>
      </c>
      <c r="N4" s="110" t="s">
        <v>130</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c r="A5" s="108">
        <v>4</v>
      </c>
      <c r="D5" s="110" t="s">
        <v>256</v>
      </c>
      <c r="E5" s="110"/>
      <c r="F5" s="111"/>
      <c r="G5" s="101">
        <f t="shared" ref="G5:G21" si="2">MONTH(F5)</f>
        <v>1</v>
      </c>
      <c r="H5" s="111" t="str">
        <f t="shared" ref="H5:H21" si="3">IF(G5=$A$26,$A$28,IF(G5=$B$26,$B$28,IF(G5=$C$26,$C$28,IF(G5=$D$26,$D$28,IF(G5=$E$26,$E$28,IF(G5=$F$26,$F$28,IF(G5=$K$26,$K$28,IF(G5=$L$26,$L$28,IF(G5=$M$26,$M$28,IF(G5=$N$26,$N$28,IF(G5=$O$26,$O$28,IF(G5=$P$26,$P$28,0))))))))))))</f>
        <v>yanvar</v>
      </c>
      <c r="I5" s="101">
        <f t="shared" ref="I5:I21" si="4">DAY(F5)</f>
        <v>0</v>
      </c>
      <c r="J5" s="113">
        <f t="shared" ref="J5:J21" si="5">YEAR(F5)</f>
        <v>1900</v>
      </c>
      <c r="K5" s="111" t="str">
        <f t="shared" ref="K5:K21" si="6">""&amp;I5&amp;" "&amp;H5&amp;" "&amp;J5&amp;" г."</f>
        <v>0 yanvar 1900 г.</v>
      </c>
      <c r="L5" s="110"/>
      <c r="M5" s="112"/>
      <c r="N5" s="110"/>
      <c r="P5">
        <f t="shared" si="1"/>
        <v>0</v>
      </c>
    </row>
    <row r="6" spans="1:23" ht="15" customHeight="1">
      <c r="A6" s="108">
        <v>5</v>
      </c>
      <c r="D6" s="110" t="s">
        <v>256</v>
      </c>
      <c r="E6" s="110"/>
      <c r="F6" s="111"/>
      <c r="G6" s="101">
        <f t="shared" si="2"/>
        <v>1</v>
      </c>
      <c r="H6" s="111" t="str">
        <f t="shared" si="3"/>
        <v>yanvar</v>
      </c>
      <c r="I6" s="101">
        <f t="shared" si="4"/>
        <v>0</v>
      </c>
      <c r="J6" s="113">
        <f t="shared" si="5"/>
        <v>1900</v>
      </c>
      <c r="K6" s="111" t="str">
        <f t="shared" si="6"/>
        <v>0 yanvar 1900 г.</v>
      </c>
      <c r="L6" s="110"/>
      <c r="M6" s="112"/>
      <c r="N6" s="110"/>
      <c r="P6">
        <f t="shared" si="1"/>
        <v>0</v>
      </c>
    </row>
    <row r="7" spans="1:23" ht="15" customHeight="1">
      <c r="A7" s="108">
        <v>6</v>
      </c>
      <c r="D7" s="110" t="s">
        <v>256</v>
      </c>
      <c r="E7" s="110"/>
      <c r="F7" s="111"/>
      <c r="G7" s="101">
        <f t="shared" si="2"/>
        <v>1</v>
      </c>
      <c r="H7" s="111" t="str">
        <f t="shared" si="3"/>
        <v>yanvar</v>
      </c>
      <c r="I7" s="101">
        <f t="shared" si="4"/>
        <v>0</v>
      </c>
      <c r="J7" s="113">
        <f t="shared" si="5"/>
        <v>1900</v>
      </c>
      <c r="K7" s="111" t="str">
        <f t="shared" si="6"/>
        <v>0 yanvar 1900 г.</v>
      </c>
      <c r="L7" s="110"/>
      <c r="M7" s="112"/>
      <c r="N7" s="110"/>
      <c r="P7">
        <f t="shared" si="1"/>
        <v>0</v>
      </c>
    </row>
    <row r="8" spans="1:23" ht="15" customHeight="1">
      <c r="A8" s="108">
        <v>7</v>
      </c>
      <c r="D8" s="110" t="s">
        <v>256</v>
      </c>
      <c r="E8" s="110"/>
      <c r="F8" s="111"/>
      <c r="G8" s="101">
        <f t="shared" si="2"/>
        <v>1</v>
      </c>
      <c r="H8" s="111" t="str">
        <f t="shared" si="3"/>
        <v>yanvar</v>
      </c>
      <c r="I8" s="101">
        <f t="shared" si="4"/>
        <v>0</v>
      </c>
      <c r="J8" s="113">
        <f t="shared" si="5"/>
        <v>1900</v>
      </c>
      <c r="K8" s="111" t="str">
        <f t="shared" si="6"/>
        <v>0 yanvar 1900 г.</v>
      </c>
      <c r="L8" s="110"/>
      <c r="M8" s="112"/>
      <c r="N8" s="110"/>
      <c r="P8">
        <f t="shared" si="1"/>
        <v>0</v>
      </c>
    </row>
    <row r="9" spans="1:23" ht="15" customHeight="1">
      <c r="A9" s="108">
        <v>8</v>
      </c>
      <c r="D9" s="110" t="s">
        <v>256</v>
      </c>
      <c r="E9" s="110"/>
      <c r="F9" s="111"/>
      <c r="G9" s="101">
        <f t="shared" si="2"/>
        <v>1</v>
      </c>
      <c r="H9" s="111" t="str">
        <f t="shared" si="3"/>
        <v>yanvar</v>
      </c>
      <c r="I9" s="101">
        <f t="shared" si="4"/>
        <v>0</v>
      </c>
      <c r="J9" s="113">
        <f t="shared" si="5"/>
        <v>1900</v>
      </c>
      <c r="K9" s="111" t="str">
        <f t="shared" si="6"/>
        <v>0 yanvar 1900 г.</v>
      </c>
      <c r="L9" s="110"/>
      <c r="M9" s="112"/>
      <c r="N9" s="110"/>
      <c r="P9">
        <f t="shared" si="1"/>
        <v>0</v>
      </c>
    </row>
    <row r="10" spans="1:23" ht="15" customHeight="1">
      <c r="A10" s="108">
        <v>9</v>
      </c>
      <c r="D10" s="110" t="s">
        <v>256</v>
      </c>
      <c r="E10" s="110"/>
      <c r="F10" s="111"/>
      <c r="G10" s="101">
        <f t="shared" si="2"/>
        <v>1</v>
      </c>
      <c r="H10" s="111" t="str">
        <f t="shared" si="3"/>
        <v>yanvar</v>
      </c>
      <c r="I10" s="101">
        <f t="shared" si="4"/>
        <v>0</v>
      </c>
      <c r="J10" s="113">
        <f t="shared" si="5"/>
        <v>1900</v>
      </c>
      <c r="K10" s="111" t="str">
        <f t="shared" si="6"/>
        <v>0 yanvar 1900 г.</v>
      </c>
      <c r="L10" s="110"/>
      <c r="M10" s="112"/>
      <c r="N10" s="110"/>
      <c r="P10">
        <f t="shared" si="1"/>
        <v>0</v>
      </c>
    </row>
    <row r="11" spans="1:23" ht="15" customHeight="1">
      <c r="A11" s="108">
        <v>10</v>
      </c>
      <c r="D11" s="110" t="s">
        <v>256</v>
      </c>
      <c r="E11" s="110"/>
      <c r="F11" s="111"/>
      <c r="G11" s="101">
        <f t="shared" si="2"/>
        <v>1</v>
      </c>
      <c r="H11" s="111" t="str">
        <f t="shared" si="3"/>
        <v>yanvar</v>
      </c>
      <c r="I11" s="101">
        <f t="shared" si="4"/>
        <v>0</v>
      </c>
      <c r="J11" s="113">
        <f t="shared" si="5"/>
        <v>1900</v>
      </c>
      <c r="K11" s="111" t="str">
        <f t="shared" si="6"/>
        <v>0 yanvar 1900 г.</v>
      </c>
      <c r="L11" s="110"/>
      <c r="M11" s="112"/>
      <c r="N11" s="110"/>
      <c r="P11">
        <f t="shared" si="1"/>
        <v>0</v>
      </c>
    </row>
    <row r="12" spans="1:23" ht="15" customHeight="1">
      <c r="A12" s="108">
        <v>11</v>
      </c>
      <c r="D12" s="110" t="s">
        <v>256</v>
      </c>
      <c r="E12" s="110"/>
      <c r="F12" s="111"/>
      <c r="G12" s="101">
        <f t="shared" si="2"/>
        <v>1</v>
      </c>
      <c r="H12" s="111" t="str">
        <f t="shared" si="3"/>
        <v>yanvar</v>
      </c>
      <c r="I12" s="101">
        <f t="shared" si="4"/>
        <v>0</v>
      </c>
      <c r="J12" s="113">
        <f t="shared" si="5"/>
        <v>1900</v>
      </c>
      <c r="K12" s="111" t="str">
        <f t="shared" si="6"/>
        <v>0 yanvar 1900 г.</v>
      </c>
      <c r="L12" s="110"/>
      <c r="M12" s="112"/>
      <c r="N12" s="110"/>
      <c r="P12">
        <f t="shared" si="1"/>
        <v>0</v>
      </c>
    </row>
    <row r="13" spans="1:23" ht="15" customHeight="1">
      <c r="A13" s="108">
        <v>12</v>
      </c>
      <c r="D13" s="110" t="s">
        <v>256</v>
      </c>
      <c r="E13" s="110"/>
      <c r="F13" s="111"/>
      <c r="G13" s="101">
        <f t="shared" si="2"/>
        <v>1</v>
      </c>
      <c r="H13" s="111" t="str">
        <f t="shared" si="3"/>
        <v>yanvar</v>
      </c>
      <c r="I13" s="101">
        <f t="shared" si="4"/>
        <v>0</v>
      </c>
      <c r="J13" s="113">
        <f t="shared" si="5"/>
        <v>1900</v>
      </c>
      <c r="K13" s="111" t="str">
        <f t="shared" si="6"/>
        <v>0 yanvar 1900 г.</v>
      </c>
      <c r="L13" s="110"/>
      <c r="M13" s="112"/>
      <c r="N13" s="110"/>
      <c r="P13">
        <f t="shared" si="1"/>
        <v>0</v>
      </c>
    </row>
    <row r="14" spans="1:23" ht="15" customHeight="1">
      <c r="A14" s="108">
        <v>13</v>
      </c>
      <c r="D14" s="110" t="s">
        <v>256</v>
      </c>
      <c r="E14" s="110"/>
      <c r="F14" s="111"/>
      <c r="G14" s="101">
        <f t="shared" si="2"/>
        <v>1</v>
      </c>
      <c r="H14" s="111" t="str">
        <f t="shared" si="3"/>
        <v>yanvar</v>
      </c>
      <c r="I14" s="101">
        <f t="shared" si="4"/>
        <v>0</v>
      </c>
      <c r="J14" s="113">
        <f t="shared" si="5"/>
        <v>1900</v>
      </c>
      <c r="K14" s="111" t="str">
        <f t="shared" si="6"/>
        <v>0 yanvar 1900 г.</v>
      </c>
      <c r="L14" s="110"/>
      <c r="M14" s="112"/>
      <c r="N14" s="110"/>
      <c r="P14">
        <f t="shared" si="1"/>
        <v>0</v>
      </c>
    </row>
    <row r="15" spans="1:23" ht="15" customHeight="1">
      <c r="A15" s="108">
        <v>14</v>
      </c>
      <c r="D15" s="110" t="s">
        <v>256</v>
      </c>
      <c r="E15" s="110"/>
      <c r="F15" s="111"/>
      <c r="G15" s="101">
        <f t="shared" si="2"/>
        <v>1</v>
      </c>
      <c r="H15" s="111" t="str">
        <f t="shared" si="3"/>
        <v>yanvar</v>
      </c>
      <c r="I15" s="101">
        <f t="shared" si="4"/>
        <v>0</v>
      </c>
      <c r="J15" s="113">
        <f t="shared" si="5"/>
        <v>1900</v>
      </c>
      <c r="K15" s="111" t="str">
        <f t="shared" si="6"/>
        <v>0 yanvar 1900 г.</v>
      </c>
      <c r="L15" s="110"/>
      <c r="M15" s="112"/>
      <c r="N15" s="110"/>
      <c r="P15">
        <f t="shared" si="1"/>
        <v>0</v>
      </c>
    </row>
    <row r="16" spans="1:23" ht="15" customHeight="1">
      <c r="A16" s="108">
        <v>15</v>
      </c>
      <c r="D16" s="110" t="s">
        <v>256</v>
      </c>
      <c r="E16" s="110"/>
      <c r="F16" s="111"/>
      <c r="G16" s="101">
        <f t="shared" si="2"/>
        <v>1</v>
      </c>
      <c r="H16" s="111" t="str">
        <f t="shared" si="3"/>
        <v>yanvar</v>
      </c>
      <c r="I16" s="101">
        <f t="shared" si="4"/>
        <v>0</v>
      </c>
      <c r="J16" s="113">
        <f t="shared" si="5"/>
        <v>1900</v>
      </c>
      <c r="K16" s="111" t="str">
        <f t="shared" si="6"/>
        <v>0 yanvar 1900 г.</v>
      </c>
      <c r="L16" s="110"/>
      <c r="M16" s="112"/>
      <c r="N16" s="110"/>
      <c r="P16">
        <f t="shared" si="1"/>
        <v>0</v>
      </c>
    </row>
    <row r="17" spans="1:17" ht="15" customHeight="1">
      <c r="A17" s="108">
        <v>16</v>
      </c>
      <c r="D17" s="110" t="s">
        <v>256</v>
      </c>
      <c r="E17" s="110"/>
      <c r="F17" s="111"/>
      <c r="G17" s="101">
        <f t="shared" si="2"/>
        <v>1</v>
      </c>
      <c r="H17" s="111" t="str">
        <f t="shared" si="3"/>
        <v>yanvar</v>
      </c>
      <c r="I17" s="101">
        <f t="shared" si="4"/>
        <v>0</v>
      </c>
      <c r="J17" s="113">
        <f t="shared" si="5"/>
        <v>1900</v>
      </c>
      <c r="K17" s="111" t="str">
        <f t="shared" si="6"/>
        <v>0 yanvar 1900 г.</v>
      </c>
      <c r="L17" s="110"/>
      <c r="M17" s="112"/>
      <c r="N17" s="110"/>
      <c r="P17">
        <f t="shared" si="1"/>
        <v>0</v>
      </c>
    </row>
    <row r="18" spans="1:17" ht="15" customHeight="1">
      <c r="A18" s="108">
        <v>17</v>
      </c>
      <c r="D18" s="110" t="s">
        <v>256</v>
      </c>
      <c r="E18" s="110"/>
      <c r="F18" s="111"/>
      <c r="G18" s="101">
        <f t="shared" si="2"/>
        <v>1</v>
      </c>
      <c r="H18" s="111" t="str">
        <f t="shared" si="3"/>
        <v>yanvar</v>
      </c>
      <c r="I18" s="101">
        <f t="shared" si="4"/>
        <v>0</v>
      </c>
      <c r="J18" s="113">
        <f t="shared" si="5"/>
        <v>1900</v>
      </c>
      <c r="K18" s="111" t="str">
        <f t="shared" si="6"/>
        <v>0 yanvar 1900 г.</v>
      </c>
      <c r="L18" s="110"/>
      <c r="M18" s="112"/>
      <c r="N18" s="110"/>
      <c r="P18">
        <f t="shared" si="1"/>
        <v>0</v>
      </c>
    </row>
    <row r="19" spans="1:17" ht="15" customHeight="1">
      <c r="A19" s="108">
        <v>18</v>
      </c>
      <c r="D19" s="110" t="s">
        <v>256</v>
      </c>
      <c r="E19" s="110"/>
      <c r="F19" s="111"/>
      <c r="G19" s="101">
        <f t="shared" si="2"/>
        <v>1</v>
      </c>
      <c r="H19" s="111" t="str">
        <f t="shared" si="3"/>
        <v>yanvar</v>
      </c>
      <c r="I19" s="101">
        <f t="shared" si="4"/>
        <v>0</v>
      </c>
      <c r="J19" s="113">
        <f t="shared" si="5"/>
        <v>1900</v>
      </c>
      <c r="K19" s="111" t="str">
        <f t="shared" si="6"/>
        <v>0 yanvar 1900 г.</v>
      </c>
      <c r="L19" s="110"/>
      <c r="M19" s="112"/>
      <c r="N19" s="110"/>
      <c r="P19">
        <f t="shared" si="1"/>
        <v>0</v>
      </c>
    </row>
    <row r="20" spans="1:17" ht="15" customHeight="1">
      <c r="A20" s="108">
        <v>19</v>
      </c>
      <c r="D20" s="110" t="s">
        <v>256</v>
      </c>
      <c r="E20" s="110"/>
      <c r="F20" s="111"/>
      <c r="G20" s="101">
        <f t="shared" si="2"/>
        <v>1</v>
      </c>
      <c r="H20" s="111" t="str">
        <f t="shared" si="3"/>
        <v>yanvar</v>
      </c>
      <c r="I20" s="101">
        <f t="shared" si="4"/>
        <v>0</v>
      </c>
      <c r="J20" s="113">
        <f t="shared" si="5"/>
        <v>1900</v>
      </c>
      <c r="K20" s="111" t="str">
        <f t="shared" si="6"/>
        <v>0 yanvar 1900 г.</v>
      </c>
      <c r="L20" s="110"/>
      <c r="M20" s="112"/>
      <c r="N20" s="110"/>
      <c r="P20">
        <f t="shared" si="1"/>
        <v>0</v>
      </c>
    </row>
    <row r="21" spans="1:17" ht="15" customHeight="1">
      <c r="A21" s="108">
        <v>20</v>
      </c>
      <c r="D21" s="110" t="s">
        <v>256</v>
      </c>
      <c r="E21" s="110"/>
      <c r="F21" s="111"/>
      <c r="G21" s="101">
        <f t="shared" si="2"/>
        <v>1</v>
      </c>
      <c r="H21" s="111" t="str">
        <f t="shared" si="3"/>
        <v>yanvar</v>
      </c>
      <c r="I21" s="101">
        <f t="shared" si="4"/>
        <v>0</v>
      </c>
      <c r="J21" s="113">
        <f t="shared" si="5"/>
        <v>1900</v>
      </c>
      <c r="K21" s="111" t="str">
        <f t="shared" si="6"/>
        <v>0 yanvar 1900 г.</v>
      </c>
      <c r="L21" s="110"/>
      <c r="M21" s="112"/>
      <c r="N21" s="110"/>
      <c r="P21">
        <f t="shared" si="1"/>
        <v>0</v>
      </c>
    </row>
    <row r="22" spans="1:17">
      <c r="M22" s="116">
        <f>SUM(M2:M21)+malumot!B142</f>
        <v>123000000</v>
      </c>
      <c r="Q22" t="s">
        <v>255</v>
      </c>
    </row>
    <row r="23" spans="1:17">
      <c r="A23" s="97"/>
      <c r="B23" s="98"/>
      <c r="C23" s="98"/>
      <c r="D23" s="98"/>
      <c r="E23" s="98"/>
      <c r="F23" s="98"/>
      <c r="G23" s="98"/>
      <c r="H23" s="98"/>
      <c r="I23" s="98"/>
      <c r="J23" s="98"/>
      <c r="K23" s="98"/>
      <c r="L23" s="98"/>
      <c r="M23" s="98"/>
      <c r="N23" s="98"/>
      <c r="O23" s="98"/>
    </row>
    <row r="24" spans="1:17">
      <c r="A24" s="98"/>
      <c r="B24" s="98"/>
      <c r="C24" s="98"/>
      <c r="D24" s="98"/>
      <c r="E24" s="98"/>
      <c r="F24" s="98"/>
      <c r="G24" s="98"/>
      <c r="H24" s="98"/>
      <c r="I24" s="98"/>
      <c r="J24" s="98"/>
      <c r="K24" s="98"/>
      <c r="L24" s="98"/>
      <c r="M24" s="98"/>
      <c r="N24" s="98"/>
      <c r="O24" s="98"/>
    </row>
    <row r="25" spans="1:17">
      <c r="A25" s="98">
        <f>MONTH(F2)</f>
        <v>1</v>
      </c>
      <c r="B25" s="98" t="str">
        <f>IF(A25=A26,A28,IF(A25=B26,B28,IF(A25=C26,C28,IF(A25=D26,D28,IF(A25=E26,E28,IF(A25=F26,F28,IF(A25=K26,K28,IF(A25=L26,L28,IF(A25=M26,M28,IF(A25=N26,N28,IF(A25=O26,O28,IF(A25=#REF!,#REF!,))))))))))))</f>
        <v>yanvar</v>
      </c>
      <c r="C25" s="98">
        <f>DAY(F2)</f>
        <v>11</v>
      </c>
      <c r="D25" s="98">
        <f>YEAR(F2)</f>
        <v>2021</v>
      </c>
      <c r="E25" s="98"/>
      <c r="F25" s="98"/>
      <c r="G25" s="98"/>
      <c r="H25" s="98"/>
      <c r="I25" s="98"/>
      <c r="J25" s="98"/>
      <c r="K25" s="98"/>
      <c r="L25" s="98"/>
      <c r="M25" s="98"/>
      <c r="N25" s="98"/>
      <c r="O25" s="98"/>
    </row>
    <row r="26" spans="1:17">
      <c r="A26" s="98">
        <v>1</v>
      </c>
      <c r="B26" s="98">
        <v>2</v>
      </c>
      <c r="C26" s="98">
        <v>3</v>
      </c>
      <c r="D26" s="98">
        <v>4</v>
      </c>
      <c r="E26" s="98">
        <v>5</v>
      </c>
      <c r="F26" s="98">
        <v>6</v>
      </c>
      <c r="G26" s="98"/>
      <c r="H26" s="98"/>
      <c r="I26" s="98"/>
      <c r="J26" s="98"/>
      <c r="K26" s="98">
        <v>7</v>
      </c>
      <c r="L26" s="98">
        <v>8</v>
      </c>
      <c r="M26" s="98">
        <v>9</v>
      </c>
      <c r="N26" s="98">
        <v>10</v>
      </c>
      <c r="O26" s="98">
        <v>11</v>
      </c>
      <c r="P26" s="98">
        <v>12</v>
      </c>
    </row>
    <row r="27" spans="1:17">
      <c r="A27" s="98"/>
      <c r="B27" s="98"/>
      <c r="C27" s="98"/>
      <c r="D27" s="98"/>
      <c r="E27" s="98"/>
      <c r="F27" s="98"/>
      <c r="G27" s="98"/>
      <c r="H27" s="98"/>
      <c r="I27" s="98"/>
      <c r="J27" s="98"/>
      <c r="K27" s="98"/>
      <c r="L27" s="98"/>
      <c r="M27" s="98"/>
      <c r="N27" s="98"/>
      <c r="O27" s="98"/>
    </row>
    <row r="28" spans="1:17">
      <c r="A28" s="98" t="s">
        <v>119</v>
      </c>
      <c r="B28" s="98" t="s">
        <v>120</v>
      </c>
      <c r="C28" s="98" t="s">
        <v>109</v>
      </c>
      <c r="D28" s="98" t="s">
        <v>110</v>
      </c>
      <c r="E28" s="98" t="s">
        <v>111</v>
      </c>
      <c r="F28" s="98" t="s">
        <v>112</v>
      </c>
      <c r="G28" s="98"/>
      <c r="H28" s="98"/>
      <c r="I28" s="98"/>
      <c r="J28" s="98"/>
      <c r="K28" s="98" t="s">
        <v>24</v>
      </c>
      <c r="L28" s="98" t="s">
        <v>114</v>
      </c>
      <c r="M28" s="98" t="s">
        <v>254</v>
      </c>
      <c r="N28" s="98" t="s">
        <v>253</v>
      </c>
      <c r="O28" s="98" t="s">
        <v>117</v>
      </c>
      <c r="P28" s="98" t="s">
        <v>118</v>
      </c>
    </row>
    <row r="29" spans="1:17">
      <c r="A29" s="98" t="s">
        <v>119</v>
      </c>
      <c r="B29" s="98" t="s">
        <v>120</v>
      </c>
      <c r="C29" s="98" t="s">
        <v>109</v>
      </c>
      <c r="D29" s="98" t="s">
        <v>110</v>
      </c>
      <c r="E29" s="98" t="s">
        <v>111</v>
      </c>
      <c r="F29" s="98" t="s">
        <v>112</v>
      </c>
      <c r="G29" s="98"/>
      <c r="H29" s="98"/>
      <c r="I29" s="98"/>
      <c r="J29" s="98"/>
      <c r="K29" s="98" t="s">
        <v>28</v>
      </c>
      <c r="L29" s="98" t="s">
        <v>114</v>
      </c>
      <c r="M29" s="98" t="s">
        <v>254</v>
      </c>
      <c r="N29" s="98" t="s">
        <v>253</v>
      </c>
      <c r="O29" s="98" t="s">
        <v>117</v>
      </c>
      <c r="P29" s="98" t="s">
        <v>118</v>
      </c>
    </row>
    <row r="30" spans="1:17">
      <c r="A30" s="98"/>
      <c r="B30" s="98"/>
      <c r="C30" s="98"/>
      <c r="D30" s="98"/>
      <c r="E30" s="98"/>
      <c r="F30" s="98"/>
      <c r="G30" s="98"/>
      <c r="H30" s="98"/>
      <c r="I30" s="98"/>
      <c r="J30" s="98"/>
      <c r="K30" s="98"/>
      <c r="L30" s="99"/>
      <c r="M30" s="99"/>
      <c r="N30" s="99"/>
      <c r="O30" s="99"/>
    </row>
  </sheetData>
  <dataValidations count="1">
    <dataValidation type="list" allowBlank="1" showInputMessage="1" showErrorMessage="1" sqref="D2:D21" xr:uid="{00000000-0002-0000-0500-000000000000}">
      <formula1>$B$2:$C$2</formula1>
    </dataValidation>
  </dataValidations>
  <pageMargins left="0.7" right="0.7" top="0.75" bottom="0.75" header="0.3" footer="0.3"/>
  <pageSetup paperSize="9" scale="6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18">
    <tabColor theme="1"/>
  </sheetPr>
  <dimension ref="A1:H64"/>
  <sheetViews>
    <sheetView view="pageBreakPreview" topLeftCell="A17" zoomScaleSheetLayoutView="100" workbookViewId="0">
      <selection activeCell="D37" sqref="D37"/>
    </sheetView>
  </sheetViews>
  <sheetFormatPr defaultColWidth="9.140625" defaultRowHeight="15" outlineLevelCol="1"/>
  <cols>
    <col min="1" max="1" width="9.140625" style="15"/>
    <col min="2" max="2" width="10.140625" style="15" bestFit="1" customWidth="1"/>
    <col min="3" max="3" width="16.5703125" style="15" customWidth="1"/>
    <col min="4" max="4" width="17.140625" style="15" customWidth="1"/>
    <col min="5" max="5" width="17.85546875" style="15" customWidth="1"/>
    <col min="6" max="6" width="20.85546875" style="15" customWidth="1"/>
    <col min="7" max="7" width="10.140625" style="15" customWidth="1" outlineLevel="1"/>
    <col min="8" max="16384" width="9.140625" style="15"/>
  </cols>
  <sheetData>
    <row r="1" spans="1:8">
      <c r="A1" s="37"/>
      <c r="B1" s="37"/>
      <c r="C1" s="37"/>
      <c r="D1" s="37"/>
      <c r="E1" s="317" t="s">
        <v>16</v>
      </c>
      <c r="F1" s="317"/>
    </row>
    <row r="2" spans="1:8">
      <c r="A2" s="37"/>
      <c r="B2" s="37"/>
      <c r="C2" s="37"/>
      <c r="D2" s="37"/>
      <c r="E2" s="37"/>
      <c r="F2" s="38" t="str">
        <f>"к договору микрозайма "&amp;malumot!B74&amp;""</f>
        <v>к договору микрозайма 24 mart 2025 y.dan №659-SR</v>
      </c>
    </row>
    <row r="3" spans="1:8" ht="6.75" customHeight="1">
      <c r="A3" s="37"/>
      <c r="B3" s="37"/>
      <c r="C3" s="37"/>
      <c r="D3" s="37"/>
      <c r="E3" s="37"/>
      <c r="F3" s="37"/>
    </row>
    <row r="4" spans="1:8">
      <c r="A4" s="318" t="s">
        <v>17</v>
      </c>
      <c r="B4" s="318"/>
      <c r="C4" s="318"/>
      <c r="D4" s="318"/>
      <c r="E4" s="318"/>
      <c r="F4" s="318"/>
    </row>
    <row r="5" spans="1:8" ht="7.5" customHeight="1"/>
    <row r="6" spans="1:8">
      <c r="A6" s="319" t="s">
        <v>15</v>
      </c>
      <c r="B6" s="320" t="s">
        <v>9</v>
      </c>
      <c r="C6" s="320" t="s">
        <v>10</v>
      </c>
      <c r="D6" s="321" t="s">
        <v>11</v>
      </c>
      <c r="E6" s="321"/>
      <c r="F6" s="321"/>
    </row>
    <row r="7" spans="1:8" s="16" customFormat="1">
      <c r="A7" s="319"/>
      <c r="B7" s="320"/>
      <c r="C7" s="320"/>
      <c r="D7" s="17" t="s">
        <v>12</v>
      </c>
      <c r="E7" s="17" t="s">
        <v>13</v>
      </c>
      <c r="F7" s="17" t="s">
        <v>14</v>
      </c>
    </row>
    <row r="8" spans="1:8">
      <c r="A8" s="18">
        <v>1</v>
      </c>
      <c r="B8" s="33">
        <f>'График дифференц'!B8</f>
        <v>45748</v>
      </c>
      <c r="C8" s="34">
        <f>malumot!B75</f>
        <v>52000000</v>
      </c>
      <c r="D8" s="34">
        <f>IF(A8&lt;malumot!$B$81,'График аннуитет.'!F8-'График аннуитет.'!E8,'График аннуитет.'!C8)</f>
        <v>3343987.7199999997</v>
      </c>
      <c r="E8" s="34">
        <f>ROUND(C8*malumot!$B$84/H8,2)*'График аннуитет.'!G8</f>
        <v>683835.6</v>
      </c>
      <c r="F8" s="34">
        <f>malumot!B90</f>
        <v>4027823.32</v>
      </c>
      <c r="G8" s="15">
        <f>B8-malumot!B67</f>
        <v>8</v>
      </c>
      <c r="H8" s="15">
        <f>DATE(YEAR(B8),12,31)-DATE(YEAR(B8),1,1)+1</f>
        <v>365</v>
      </c>
    </row>
    <row r="9" spans="1:8">
      <c r="A9" s="18">
        <v>2</v>
      </c>
      <c r="B9" s="33">
        <f>'График дифференц'!B9</f>
        <v>45778</v>
      </c>
      <c r="C9" s="34">
        <f t="shared" ref="C9:C30" si="0">C8-D8</f>
        <v>48656012.280000001</v>
      </c>
      <c r="D9" s="34">
        <f>IF(A9&lt;malumot!$B$81,'График аннуитет.'!F9-'График аннуитет.'!E9,'График аннуитет.'!C9)</f>
        <v>1628348.6199999996</v>
      </c>
      <c r="E9" s="34">
        <f>ROUND(C9*malumot!$B$84/H9,2)*'График аннуитет.'!G9</f>
        <v>2399474.7000000002</v>
      </c>
      <c r="F9" s="34">
        <f>IF(A9&lt;malumot!$B$81,'График аннуитет.'!F8,'График аннуитет.'!D9+'График аннуитет.'!E9)</f>
        <v>4027823.32</v>
      </c>
      <c r="G9" s="15">
        <f>B9-B8</f>
        <v>30</v>
      </c>
      <c r="H9" s="15">
        <f t="shared" ref="H9:H31" si="1">DATE(YEAR(B9),12,31)-DATE(YEAR(B9),1,1)+1</f>
        <v>365</v>
      </c>
    </row>
    <row r="10" spans="1:8">
      <c r="A10" s="18">
        <v>3</v>
      </c>
      <c r="B10" s="33">
        <f>'График дифференц'!B10</f>
        <v>45810</v>
      </c>
      <c r="C10" s="34">
        <f t="shared" si="0"/>
        <v>47027663.660000004</v>
      </c>
      <c r="D10" s="34">
        <f>IF(A10&lt;malumot!$B$81,'График аннуитет.'!F10-'График аннуитет.'!E10,'График аннуитет.'!C10)</f>
        <v>1554039.3199999998</v>
      </c>
      <c r="E10" s="34">
        <f>ROUND(C10*malumot!$B$84/H10,2)*'График аннуитет.'!G10</f>
        <v>2473784</v>
      </c>
      <c r="F10" s="34">
        <f>IF(A10&lt;malumot!$B$81,'График аннуитет.'!F9,'График аннуитет.'!D10+'График аннуитет.'!E10)</f>
        <v>4027823.32</v>
      </c>
      <c r="G10" s="15">
        <f t="shared" ref="G10:G24" si="2">B10-B9</f>
        <v>32</v>
      </c>
      <c r="H10" s="15">
        <f t="shared" si="1"/>
        <v>365</v>
      </c>
    </row>
    <row r="11" spans="1:8">
      <c r="A11" s="18">
        <v>4</v>
      </c>
      <c r="B11" s="33">
        <f>'График дифференц'!B11</f>
        <v>45839</v>
      </c>
      <c r="C11" s="34">
        <f t="shared" si="0"/>
        <v>45473624.340000004</v>
      </c>
      <c r="D11" s="34">
        <f>IF(A11&lt;malumot!$B$81,'График аннуитет.'!F11-'График аннуитет.'!E11,'График аннуитет.'!C11)</f>
        <v>1860039.6799999997</v>
      </c>
      <c r="E11" s="34">
        <f>ROUND(C11*malumot!$B$84/H11,2)*'График аннуитет.'!G11</f>
        <v>2167783.64</v>
      </c>
      <c r="F11" s="34">
        <f>IF(A11&lt;malumot!$B$81,'График аннуитет.'!F10,'График аннуитет.'!D11+'График аннуитет.'!E11)</f>
        <v>4027823.32</v>
      </c>
      <c r="G11" s="15">
        <f t="shared" si="2"/>
        <v>29</v>
      </c>
      <c r="H11" s="15">
        <f t="shared" si="1"/>
        <v>365</v>
      </c>
    </row>
    <row r="12" spans="1:8">
      <c r="A12" s="18">
        <v>5</v>
      </c>
      <c r="B12" s="33">
        <f>'График дифференц'!B12</f>
        <v>45870</v>
      </c>
      <c r="C12" s="34">
        <f t="shared" si="0"/>
        <v>43613584.660000004</v>
      </c>
      <c r="D12" s="34">
        <f>IF(A12&lt;malumot!$B$81,'График аннуитет.'!F12-'График аннуитет.'!E12,'График аннуитет.'!C12)</f>
        <v>1805322.96</v>
      </c>
      <c r="E12" s="34">
        <f>ROUND(C12*malumot!$B$84/H12,2)*'График аннуитет.'!G12</f>
        <v>2222500.36</v>
      </c>
      <c r="F12" s="34">
        <f>IF(A12&lt;malumot!$B$81,'График аннуитет.'!F11,'График аннуитет.'!D12+'График аннуитет.'!E12)</f>
        <v>4027823.32</v>
      </c>
      <c r="G12" s="15">
        <f t="shared" si="2"/>
        <v>31</v>
      </c>
      <c r="H12" s="15">
        <f t="shared" si="1"/>
        <v>365</v>
      </c>
    </row>
    <row r="13" spans="1:8">
      <c r="A13" s="18">
        <v>6</v>
      </c>
      <c r="B13" s="33">
        <f>'График дифференц'!B13</f>
        <v>45901</v>
      </c>
      <c r="C13" s="34">
        <f t="shared" si="0"/>
        <v>41808261.700000003</v>
      </c>
      <c r="D13" s="34">
        <f>IF(A13&lt;malumot!$B$81,'График аннуитет.'!F13-'График аннуитет.'!E13,'График аннуитет.'!C13)</f>
        <v>1897320.1099999999</v>
      </c>
      <c r="E13" s="34">
        <f>ROUND(C13*malumot!$B$84/H13,2)*'График аннуитет.'!G13</f>
        <v>2130503.21</v>
      </c>
      <c r="F13" s="34">
        <f>IF(A13&lt;malumot!$B$81,'График аннуитет.'!F12,'График аннуитет.'!D13+'График аннуитет.'!E13)</f>
        <v>4027823.32</v>
      </c>
      <c r="G13" s="15">
        <f t="shared" si="2"/>
        <v>31</v>
      </c>
      <c r="H13" s="15">
        <f t="shared" si="1"/>
        <v>365</v>
      </c>
    </row>
    <row r="14" spans="1:8">
      <c r="A14" s="18">
        <v>7</v>
      </c>
      <c r="B14" s="33">
        <f>'График дифференц'!B14</f>
        <v>45931</v>
      </c>
      <c r="C14" s="34">
        <f t="shared" si="0"/>
        <v>39910941.590000004</v>
      </c>
      <c r="D14" s="34">
        <f>IF(A14&lt;malumot!$B$81,'График аннуитет.'!F14-'График аннуитет.'!E14,'График аннуитет.'!C14)</f>
        <v>2059612.42</v>
      </c>
      <c r="E14" s="34">
        <f>ROUND(C14*malumot!$B$84/H14,2)*'График аннуитет.'!G14</f>
        <v>1968210.9</v>
      </c>
      <c r="F14" s="34">
        <f>IF(A14&lt;malumot!$B$81,'График аннуитет.'!F13,'График аннуитет.'!D14+'График аннуитет.'!E14)</f>
        <v>4027823.32</v>
      </c>
      <c r="G14" s="15">
        <f t="shared" si="2"/>
        <v>30</v>
      </c>
      <c r="H14" s="15">
        <f t="shared" si="1"/>
        <v>365</v>
      </c>
    </row>
    <row r="15" spans="1:8">
      <c r="A15" s="18">
        <v>8</v>
      </c>
      <c r="B15" s="33">
        <f>'График дифференц'!B15</f>
        <v>45964</v>
      </c>
      <c r="C15" s="34">
        <f t="shared" si="0"/>
        <v>37851329.170000002</v>
      </c>
      <c r="D15" s="34">
        <f>IF(A15&lt;malumot!$B$81,'График аннуитет.'!F15-'График аннуитет.'!E15,'График аннуитет.'!C15)</f>
        <v>1974518.4399999997</v>
      </c>
      <c r="E15" s="34">
        <f>ROUND(C15*malumot!$B$84/H15,2)*'График аннуитет.'!G15</f>
        <v>2053304.8800000001</v>
      </c>
      <c r="F15" s="34">
        <f>IF(A15&lt;malumot!$B$81,'График аннуитет.'!F14,'График аннуитет.'!D15+'График аннуитет.'!E15)</f>
        <v>4027823.32</v>
      </c>
      <c r="G15" s="15">
        <f t="shared" si="2"/>
        <v>33</v>
      </c>
      <c r="H15" s="15">
        <f t="shared" si="1"/>
        <v>365</v>
      </c>
    </row>
    <row r="16" spans="1:8">
      <c r="A16" s="18">
        <v>9</v>
      </c>
      <c r="B16" s="33">
        <f>'График дифференц'!B16</f>
        <v>45992</v>
      </c>
      <c r="C16" s="34">
        <f t="shared" si="0"/>
        <v>35876810.730000004</v>
      </c>
      <c r="D16" s="34">
        <f>IF(A16&lt;malumot!$B$81,'График аннуитет.'!F16-'График аннуитет.'!E16,'График аннуитет.'!C16)</f>
        <v>2376507.08</v>
      </c>
      <c r="E16" s="34">
        <f>ROUND(C16*malumot!$B$84/H16,2)*'График аннуитет.'!G16</f>
        <v>1651316.24</v>
      </c>
      <c r="F16" s="34">
        <f>IF(A16&lt;malumot!$B$81,'График аннуитет.'!F15,'График аннуитет.'!D16+'График аннуитет.'!E16)</f>
        <v>4027823.32</v>
      </c>
      <c r="G16" s="15">
        <f t="shared" si="2"/>
        <v>28</v>
      </c>
      <c r="H16" s="15">
        <f t="shared" si="1"/>
        <v>365</v>
      </c>
    </row>
    <row r="17" spans="1:8">
      <c r="A17" s="18">
        <v>10</v>
      </c>
      <c r="B17" s="33">
        <f>'График дифференц'!B17</f>
        <v>46023</v>
      </c>
      <c r="C17" s="34">
        <f t="shared" si="0"/>
        <v>33500303.650000006</v>
      </c>
      <c r="D17" s="34">
        <f>IF(A17&lt;malumot!$B$81,'График аннуитет.'!F17-'График аннуитет.'!E17,'График аннуитет.'!C17)</f>
        <v>2320684.63</v>
      </c>
      <c r="E17" s="34">
        <f>ROUND(C17*malumot!$B$84/H17,2)*'График аннуитет.'!G17</f>
        <v>1707138.69</v>
      </c>
      <c r="F17" s="34">
        <f>IF(A17&lt;malumot!$B$81,'График аннуитет.'!F16,'График аннуитет.'!D17+'График аннуитет.'!E17)</f>
        <v>4027823.32</v>
      </c>
      <c r="G17" s="15">
        <f t="shared" si="2"/>
        <v>31</v>
      </c>
      <c r="H17" s="15">
        <f t="shared" si="1"/>
        <v>365</v>
      </c>
    </row>
    <row r="18" spans="1:8">
      <c r="A18" s="18">
        <v>11</v>
      </c>
      <c r="B18" s="33">
        <f>'График дифференц'!B18</f>
        <v>46055</v>
      </c>
      <c r="C18" s="34">
        <f t="shared" si="0"/>
        <v>31179619.020000007</v>
      </c>
      <c r="D18" s="34">
        <f>IF(A18&lt;malumot!$B$81,'График аннуитет.'!F18-'График аннуитет.'!E18,'График аннуитет.'!C18)</f>
        <v>2387689.88</v>
      </c>
      <c r="E18" s="34">
        <f>ROUND(C18*malumot!$B$84/H18,2)*'График аннуитет.'!G18</f>
        <v>1640133.44</v>
      </c>
      <c r="F18" s="34">
        <f>IF(A18&lt;malumot!$B$81,'График аннуитет.'!F17,'График аннуитет.'!D18+'График аннуитет.'!E18)</f>
        <v>4027823.32</v>
      </c>
      <c r="G18" s="15">
        <f t="shared" si="2"/>
        <v>32</v>
      </c>
      <c r="H18" s="15">
        <f t="shared" si="1"/>
        <v>365</v>
      </c>
    </row>
    <row r="19" spans="1:8">
      <c r="A19" s="18">
        <v>12</v>
      </c>
      <c r="B19" s="33">
        <f>'График дифференц'!B19</f>
        <v>46083</v>
      </c>
      <c r="C19" s="34">
        <f t="shared" si="0"/>
        <v>28791929.140000008</v>
      </c>
      <c r="D19" s="34">
        <f>IF(A19&lt;malumot!$B$81,'График аннуитет.'!F19-'График аннуитет.'!E19,'График аннуитет.'!C19)</f>
        <v>2702605.7199999997</v>
      </c>
      <c r="E19" s="34">
        <f>ROUND(C19*malumot!$B$84/H19,2)*'График аннуитет.'!G19</f>
        <v>1325217.5999999999</v>
      </c>
      <c r="F19" s="34">
        <f>IF(A19&lt;malumot!$B$81,'График аннуитет.'!F18,'График аннуитет.'!D19+'График аннуитет.'!E19)</f>
        <v>4027823.32</v>
      </c>
      <c r="G19" s="15">
        <f>B19-B18</f>
        <v>28</v>
      </c>
      <c r="H19" s="15">
        <f t="shared" si="1"/>
        <v>365</v>
      </c>
    </row>
    <row r="20" spans="1:8">
      <c r="A20" s="18">
        <v>13</v>
      </c>
      <c r="B20" s="33">
        <f>'График дифференц'!B20</f>
        <v>46113</v>
      </c>
      <c r="C20" s="34">
        <f t="shared" si="0"/>
        <v>26089323.420000009</v>
      </c>
      <c r="D20" s="34">
        <f>IF(A20&lt;malumot!$B$81,'График аннуитет.'!F20-'График аннуитет.'!E20,'График аннуитет.'!C20)</f>
        <v>2741226.52</v>
      </c>
      <c r="E20" s="34">
        <f>ROUND(C20*malumot!$B$84/H20,2)*'График аннуитет.'!G20</f>
        <v>1286596.7999999998</v>
      </c>
      <c r="F20" s="34">
        <f>IF(A20&lt;malumot!$B$81,'График аннуитет.'!F19,'График аннуитет.'!D20+'График аннуитет.'!E20)</f>
        <v>4027823.32</v>
      </c>
      <c r="G20" s="15">
        <f t="shared" si="2"/>
        <v>30</v>
      </c>
      <c r="H20" s="15">
        <f t="shared" si="1"/>
        <v>365</v>
      </c>
    </row>
    <row r="21" spans="1:8">
      <c r="A21" s="18">
        <v>14</v>
      </c>
      <c r="B21" s="33">
        <f>'График дифференц'!B21</f>
        <v>46143</v>
      </c>
      <c r="C21" s="34">
        <f t="shared" si="0"/>
        <v>23348096.90000001</v>
      </c>
      <c r="D21" s="34">
        <f>IF(A21&lt;malumot!$B$81,'График аннуитет.'!F21-'График аннуитет.'!E21,'График аннуитет.'!C21)</f>
        <v>2876410.42</v>
      </c>
      <c r="E21" s="34">
        <f>ROUND(C21*malumot!$B$84/H21,2)*'График аннуитет.'!G21</f>
        <v>1151412.8999999999</v>
      </c>
      <c r="F21" s="34">
        <f>IF(A21&lt;malumot!$B$81,'График аннуитет.'!F20,'График аннуитет.'!D21+'График аннуитет.'!E21)</f>
        <v>4027823.32</v>
      </c>
      <c r="G21" s="15">
        <f t="shared" si="2"/>
        <v>30</v>
      </c>
      <c r="H21" s="15">
        <f t="shared" si="1"/>
        <v>365</v>
      </c>
    </row>
    <row r="22" spans="1:8">
      <c r="A22" s="18">
        <v>15</v>
      </c>
      <c r="B22" s="33">
        <f>'График дифференц'!B22</f>
        <v>46174</v>
      </c>
      <c r="C22" s="34">
        <f t="shared" si="0"/>
        <v>20471686.480000012</v>
      </c>
      <c r="D22" s="34">
        <f>IF(A22&lt;malumot!$B$81,'График аннуитет.'!F22-'График аннуитет.'!E22,'График аннуитет.'!C22)</f>
        <v>2984608.53</v>
      </c>
      <c r="E22" s="34">
        <f>ROUND(C22*malumot!$B$84/H22,2)*'График аннуитет.'!G22</f>
        <v>1043214.7899999999</v>
      </c>
      <c r="F22" s="34">
        <f>IF(A22&lt;malumot!$B$81,'График аннуитет.'!F21,'График аннуитет.'!D22+'График аннуитет.'!E22)</f>
        <v>4027823.32</v>
      </c>
      <c r="G22" s="15">
        <f t="shared" si="2"/>
        <v>31</v>
      </c>
      <c r="H22" s="15">
        <f t="shared" si="1"/>
        <v>365</v>
      </c>
    </row>
    <row r="23" spans="1:8">
      <c r="A23" s="18">
        <v>16</v>
      </c>
      <c r="B23" s="33">
        <f>'График дифференц'!B23</f>
        <v>46204</v>
      </c>
      <c r="C23" s="34">
        <f t="shared" si="0"/>
        <v>17487077.95000001</v>
      </c>
      <c r="D23" s="34">
        <f>IF(A23&lt;malumot!$B$81,'График аннуитет.'!F23-'График аннуитет.'!E23,'График аннуитет.'!C23)</f>
        <v>3165446.92</v>
      </c>
      <c r="E23" s="34">
        <f>ROUND(C23*malumot!$B$84/H23,2)*'График аннуитет.'!G23</f>
        <v>862376.4</v>
      </c>
      <c r="F23" s="34">
        <f>IF(A23&lt;malumot!$B$81,'График аннуитет.'!F22,'График аннуитет.'!D23+'График аннуитет.'!E23)</f>
        <v>4027823.32</v>
      </c>
      <c r="G23" s="15">
        <f t="shared" si="2"/>
        <v>30</v>
      </c>
      <c r="H23" s="15">
        <f t="shared" si="1"/>
        <v>365</v>
      </c>
    </row>
    <row r="24" spans="1:8">
      <c r="A24" s="18">
        <v>17</v>
      </c>
      <c r="B24" s="33">
        <f>'График дифференц'!B24</f>
        <v>46237</v>
      </c>
      <c r="C24" s="34">
        <f t="shared" si="0"/>
        <v>14321631.030000011</v>
      </c>
      <c r="D24" s="34">
        <f>IF(A24&lt;malumot!$B$81,'График аннуитет.'!F24-'График аннуитет.'!E24,'График аннуитет.'!C24)</f>
        <v>3250923.79</v>
      </c>
      <c r="E24" s="34">
        <f>ROUND(C24*malumot!$B$84/H24,2)*'График аннуитет.'!G24</f>
        <v>776899.53</v>
      </c>
      <c r="F24" s="34">
        <f>IF(A24&lt;malumot!$B$81,'График аннуитет.'!F23,'График аннуитет.'!D24+'График аннуитет.'!E24)</f>
        <v>4027823.32</v>
      </c>
      <c r="G24" s="15">
        <f t="shared" si="2"/>
        <v>33</v>
      </c>
      <c r="H24" s="15">
        <f t="shared" si="1"/>
        <v>365</v>
      </c>
    </row>
    <row r="25" spans="1:8">
      <c r="A25" s="18">
        <v>18</v>
      </c>
      <c r="B25" s="33">
        <f>'График дифференц'!B25</f>
        <v>46266</v>
      </c>
      <c r="C25" s="34">
        <f t="shared" si="0"/>
        <v>11070707.24000001</v>
      </c>
      <c r="D25" s="34">
        <f>IF(A25&lt;malumot!$B$81,'График аннуитет.'!F25-'График аннуитет.'!E25,'График аннуитет.'!C25)</f>
        <v>3500069.1399999997</v>
      </c>
      <c r="E25" s="34">
        <f>ROUND(C25*malumot!$B$84/H25,2)*'График аннуитет.'!G25</f>
        <v>527754.17999999993</v>
      </c>
      <c r="F25" s="34">
        <f>IF(A25&lt;malumot!$B$81,'График аннуитет.'!F24,'График аннуитет.'!D25+'График аннуитет.'!E25)</f>
        <v>4027823.32</v>
      </c>
      <c r="G25" s="15">
        <f>B25-B24</f>
        <v>29</v>
      </c>
      <c r="H25" s="15">
        <f t="shared" si="1"/>
        <v>365</v>
      </c>
    </row>
    <row r="26" spans="1:8">
      <c r="A26" s="18">
        <v>19</v>
      </c>
      <c r="B26" s="33">
        <f>'График дифференц'!B26</f>
        <v>46296</v>
      </c>
      <c r="C26" s="34">
        <f t="shared" si="0"/>
        <v>7570638.1000000099</v>
      </c>
      <c r="D26" s="34">
        <f>IF(A26&lt;malumot!$B$81,'График аннуитет.'!F26-'График аннуитет.'!E26,'График аннуитет.'!C26)</f>
        <v>3654476.92</v>
      </c>
      <c r="E26" s="34">
        <f>ROUND(C26*malumot!$B$84/H26,2)*'График аннуитет.'!G26</f>
        <v>373346.39999999997</v>
      </c>
      <c r="F26" s="34">
        <f>IF(A26&lt;malumot!$B$81,'График аннуитет.'!F25,'График аннуитет.'!D26+'График аннуитет.'!E26)</f>
        <v>4027823.32</v>
      </c>
      <c r="G26" s="15">
        <f t="shared" ref="G26:G30" si="3">B26-B25</f>
        <v>30</v>
      </c>
      <c r="H26" s="15">
        <f t="shared" si="1"/>
        <v>365</v>
      </c>
    </row>
    <row r="27" spans="1:8">
      <c r="A27" s="18">
        <v>20</v>
      </c>
      <c r="B27" s="33">
        <f>'График дифференц'!B27</f>
        <v>46328</v>
      </c>
      <c r="C27" s="34">
        <f t="shared" si="0"/>
        <v>3916161.1800000099</v>
      </c>
      <c r="D27" s="34">
        <f>IF(A27&lt;malumot!$B$81,'График аннуитет.'!F27-'График аннуитет.'!E27,'График аннуитет.'!C27)</f>
        <v>3821822.36</v>
      </c>
      <c r="E27" s="34">
        <f>ROUND(C27*malumot!$B$84/H27,2)*'График аннуитет.'!G27</f>
        <v>206000.96</v>
      </c>
      <c r="F27" s="34">
        <f>IF(A27&lt;malumot!$B$81,'График аннуитет.'!F26,'График аннуитет.'!D27+'График аннуитет.'!E27)</f>
        <v>4027823.32</v>
      </c>
      <c r="G27" s="15">
        <f t="shared" si="3"/>
        <v>32</v>
      </c>
      <c r="H27" s="15">
        <f t="shared" si="1"/>
        <v>365</v>
      </c>
    </row>
    <row r="28" spans="1:8">
      <c r="A28" s="18">
        <v>21</v>
      </c>
      <c r="B28" s="33">
        <f>'График дифференц'!B28</f>
        <v>46357</v>
      </c>
      <c r="C28" s="34">
        <f t="shared" si="0"/>
        <v>94338.820000010077</v>
      </c>
      <c r="D28" s="34">
        <f>IF(A28&lt;malumot!$B$81,'График аннуитет.'!F28-'График аннуитет.'!E28,'График аннуитет.'!C28)</f>
        <v>4023326</v>
      </c>
      <c r="E28" s="34">
        <f>ROUND(C28*malumot!$B$84/H28,2)*'График аннуитет.'!G28</f>
        <v>4497.3200000000006</v>
      </c>
      <c r="F28" s="34">
        <f>IF(A28&lt;malumot!$B$81,'График аннуитет.'!F27,'График аннуитет.'!D28+'График аннуитет.'!E28)</f>
        <v>4027823.32</v>
      </c>
      <c r="G28" s="15">
        <f t="shared" si="3"/>
        <v>29</v>
      </c>
      <c r="H28" s="15">
        <f t="shared" si="1"/>
        <v>365</v>
      </c>
    </row>
    <row r="29" spans="1:8">
      <c r="A29" s="18">
        <v>22</v>
      </c>
      <c r="B29" s="33">
        <f>'График дифференц'!B29</f>
        <v>46388</v>
      </c>
      <c r="C29" s="34">
        <f t="shared" si="0"/>
        <v>-3928987.1799999899</v>
      </c>
      <c r="D29" s="34">
        <f>IF(A29&lt;malumot!$B$81,'График аннуитет.'!F29-'График аннуитет.'!E29,'График аннуитет.'!C29)</f>
        <v>4228040.2299999995</v>
      </c>
      <c r="E29" s="34">
        <f>ROUND(C29*malumot!$B$84/H29,2)*'График аннуитет.'!G29</f>
        <v>-200216.91</v>
      </c>
      <c r="F29" s="34">
        <f>IF(A29&lt;malumot!$B$81,'График аннуитет.'!F28,'График аннуитет.'!D29+'График аннуитет.'!E29)</f>
        <v>4027823.32</v>
      </c>
      <c r="G29" s="15">
        <f t="shared" si="3"/>
        <v>31</v>
      </c>
      <c r="H29" s="15">
        <f t="shared" si="1"/>
        <v>365</v>
      </c>
    </row>
    <row r="30" spans="1:8">
      <c r="A30" s="18">
        <v>23</v>
      </c>
      <c r="B30" s="33">
        <f>'График дифференц'!B30</f>
        <v>46419</v>
      </c>
      <c r="C30" s="34">
        <f t="shared" si="0"/>
        <v>-8157027.409999989</v>
      </c>
      <c r="D30" s="34">
        <f>IF(A30&lt;malumot!$B$81,'График аннуитет.'!F30-'График аннуитет.'!E30,'График аннуитет.'!C30)</f>
        <v>4443496.43</v>
      </c>
      <c r="E30" s="34">
        <f>ROUND(C30*malumot!$B$84/H30,2)*'График аннуитет.'!G30</f>
        <v>-415673.11</v>
      </c>
      <c r="F30" s="34">
        <f>IF(A30&lt;malumot!$B$81,'График аннуитет.'!F29,'График аннуитет.'!D30+'График аннуитет.'!E30)</f>
        <v>4027823.32</v>
      </c>
      <c r="G30" s="15">
        <f t="shared" si="3"/>
        <v>31</v>
      </c>
      <c r="H30" s="15">
        <f t="shared" si="1"/>
        <v>365</v>
      </c>
    </row>
    <row r="31" spans="1:8">
      <c r="A31" s="18">
        <v>24</v>
      </c>
      <c r="B31" s="33">
        <f>'График дифференц'!B31</f>
        <v>46447</v>
      </c>
      <c r="C31" s="34">
        <f t="shared" ref="C31" si="4">C30-D30</f>
        <v>-12600523.839999989</v>
      </c>
      <c r="D31" s="34">
        <f>IF(A31&lt;malumot!$B$81,'График аннуитет.'!F31-'График аннуитет.'!E31,'График аннуитет.'!C31)</f>
        <v>4607792.6399999997</v>
      </c>
      <c r="E31" s="34">
        <f>ROUND(C31*malumot!$B$84/H31,2)*'График аннуитет.'!G31</f>
        <v>-579969.31999999995</v>
      </c>
      <c r="F31" s="34">
        <f>IF(A31&lt;malumot!$B$81,'График аннуитет.'!F30,'График аннуитет.'!D31+'График аннуитет.'!E31)</f>
        <v>4027823.32</v>
      </c>
      <c r="G31" s="15">
        <f>B31-B30</f>
        <v>28</v>
      </c>
      <c r="H31" s="15">
        <f t="shared" si="1"/>
        <v>365</v>
      </c>
    </row>
    <row r="32" spans="1:8">
      <c r="A32" s="18">
        <f>1+A31</f>
        <v>25</v>
      </c>
      <c r="B32" s="33">
        <f>'График дифференц'!B32</f>
        <v>46478</v>
      </c>
      <c r="C32" s="34">
        <f t="shared" ref="C32:C43" si="5">C31-D31</f>
        <v>-17208316.479999989</v>
      </c>
      <c r="D32" s="34">
        <f>IF(A32&lt;malumot!$B$81,'График аннуитет.'!F32-'График аннуитет.'!E32,'График аннуитет.'!C32)</f>
        <v>4904740.16</v>
      </c>
      <c r="E32" s="34">
        <f>ROUND(C32*malumot!$B$84/H32,2)*'График аннуитет.'!G32</f>
        <v>-876916.84</v>
      </c>
      <c r="F32" s="34">
        <f>IF(A32&lt;malumot!$B$81,'График аннуитет.'!F31,'График аннуитет.'!D32+'График аннуитет.'!E32)</f>
        <v>4027823.32</v>
      </c>
      <c r="G32" s="15">
        <f t="shared" ref="G32:G43" si="6">B32-B31</f>
        <v>31</v>
      </c>
      <c r="H32" s="15">
        <f t="shared" ref="H32:H43" si="7">DATE(YEAR(B32),12,31)-DATE(YEAR(B32),1,1)+1</f>
        <v>365</v>
      </c>
    </row>
    <row r="33" spans="1:8">
      <c r="A33" s="18">
        <f t="shared" ref="A33:A43" si="8">1+A32</f>
        <v>26</v>
      </c>
      <c r="B33" s="33">
        <f>'График дифференц'!B33</f>
        <v>46510</v>
      </c>
      <c r="C33" s="34">
        <f t="shared" si="5"/>
        <v>-22113056.639999989</v>
      </c>
      <c r="D33" s="34">
        <f>IF(A33&lt;malumot!$B$81,'График аннуитет.'!F33-'График аннуитет.'!E33,'График аннуитет.'!C33)</f>
        <v>5191030.68</v>
      </c>
      <c r="E33" s="34">
        <f>ROUND(C33*malumot!$B$84/H33,2)*'График аннуитет.'!G33</f>
        <v>-1163207.3600000001</v>
      </c>
      <c r="F33" s="34">
        <f>IF(A33&lt;malumot!$B$81,'График аннуитет.'!F32,'График аннуитет.'!D33+'График аннуитет.'!E33)</f>
        <v>4027823.32</v>
      </c>
      <c r="G33" s="15">
        <f t="shared" si="6"/>
        <v>32</v>
      </c>
      <c r="H33" s="15">
        <f t="shared" si="7"/>
        <v>365</v>
      </c>
    </row>
    <row r="34" spans="1:8">
      <c r="A34" s="18">
        <f t="shared" si="8"/>
        <v>27</v>
      </c>
      <c r="B34" s="33">
        <f>'График дифференц'!B34</f>
        <v>46539</v>
      </c>
      <c r="C34" s="34">
        <f t="shared" si="5"/>
        <v>-27304087.319999989</v>
      </c>
      <c r="D34" s="34">
        <f>IF(A34&lt;malumot!$B$81,'График аннуитет.'!F34-'График аннуитет.'!E34,'График аннуитет.'!C34)</f>
        <v>5329442.79</v>
      </c>
      <c r="E34" s="34">
        <f>ROUND(C34*malumot!$B$84/H34,2)*'График аннуитет.'!G34</f>
        <v>-1301619.47</v>
      </c>
      <c r="F34" s="34">
        <f>IF(A34&lt;malumot!$B$81,'График аннуитет.'!F33,'График аннуитет.'!D34+'График аннуитет.'!E34)</f>
        <v>4027823.32</v>
      </c>
      <c r="G34" s="15">
        <f t="shared" si="6"/>
        <v>29</v>
      </c>
      <c r="H34" s="15">
        <f t="shared" si="7"/>
        <v>365</v>
      </c>
    </row>
    <row r="35" spans="1:8">
      <c r="A35" s="18">
        <f t="shared" si="8"/>
        <v>28</v>
      </c>
      <c r="B35" s="33">
        <f>'График дифференц'!B35</f>
        <v>46569</v>
      </c>
      <c r="C35" s="34">
        <f t="shared" si="5"/>
        <v>-32633530.109999988</v>
      </c>
      <c r="D35" s="34">
        <f>IF(A35&lt;malumot!$B$81,'График аннуитет.'!F35-'График аннуитет.'!E35,'График аннуитет.'!C35)</f>
        <v>5637148.1200000001</v>
      </c>
      <c r="E35" s="34">
        <f>ROUND(C35*malumot!$B$84/H35,2)*'График аннуитет.'!G35</f>
        <v>-1609324.8</v>
      </c>
      <c r="F35" s="34">
        <f>IF(A35&lt;malumot!$B$81,'График аннуитет.'!F34,'График аннуитет.'!D35+'График аннуитет.'!E35)</f>
        <v>4027823.32</v>
      </c>
      <c r="G35" s="15">
        <f t="shared" si="6"/>
        <v>30</v>
      </c>
      <c r="H35" s="15">
        <f t="shared" si="7"/>
        <v>365</v>
      </c>
    </row>
    <row r="36" spans="1:8">
      <c r="A36" s="18">
        <f t="shared" si="8"/>
        <v>29</v>
      </c>
      <c r="B36" s="33">
        <f>'График дифференц'!B36</f>
        <v>46601</v>
      </c>
      <c r="C36" s="34">
        <f t="shared" si="5"/>
        <v>-38270678.229999989</v>
      </c>
      <c r="D36" s="34">
        <f>IF(A36&lt;malumot!$B$81,'График аннуитет.'!F36-'График аннуитет.'!E36,'График аннуитет.'!C36)</f>
        <v>6040965.7199999997</v>
      </c>
      <c r="E36" s="34">
        <f>ROUND(C36*malumot!$B$84/H36,2)*'График аннуитет.'!G36</f>
        <v>-2013142.4</v>
      </c>
      <c r="F36" s="34">
        <f>IF(A36&lt;malumot!$B$81,'График аннуитет.'!F35,'График аннуитет.'!D36+'График аннуитет.'!E36)</f>
        <v>4027823.32</v>
      </c>
      <c r="G36" s="15">
        <f t="shared" si="6"/>
        <v>32</v>
      </c>
      <c r="H36" s="15">
        <f t="shared" si="7"/>
        <v>365</v>
      </c>
    </row>
    <row r="37" spans="1:8">
      <c r="A37" s="18">
        <f t="shared" si="8"/>
        <v>30</v>
      </c>
      <c r="B37" s="33">
        <f>'График дифференц'!B37</f>
        <v>46631</v>
      </c>
      <c r="C37" s="34">
        <f t="shared" si="5"/>
        <v>-44311643.949999988</v>
      </c>
      <c r="D37" s="34">
        <f>IF(A37&lt;malumot!$B$81,'График аннуитет.'!F37-'График аннуитет.'!E37,'График аннуитет.'!C37)</f>
        <v>6213055.1199999992</v>
      </c>
      <c r="E37" s="34">
        <f>ROUND(C37*malumot!$B$84/H37,2)*'График аннуитет.'!G37</f>
        <v>-2185231.7999999998</v>
      </c>
      <c r="F37" s="34">
        <f>IF(A37&lt;malumot!$B$81,'График аннуитет.'!F36,'График аннуитет.'!D37+'График аннуитет.'!E37)</f>
        <v>4027823.32</v>
      </c>
      <c r="G37" s="15">
        <f t="shared" si="6"/>
        <v>30</v>
      </c>
      <c r="H37" s="15">
        <f t="shared" si="7"/>
        <v>365</v>
      </c>
    </row>
    <row r="38" spans="1:8">
      <c r="A38" s="18">
        <f t="shared" si="8"/>
        <v>31</v>
      </c>
      <c r="B38" s="33">
        <f>'График дифференц'!B38</f>
        <v>46661</v>
      </c>
      <c r="C38" s="34">
        <f t="shared" si="5"/>
        <v>-50524699.069999985</v>
      </c>
      <c r="D38" s="34">
        <f>IF(A38&lt;malumot!$B$81,'График аннуитет.'!F38-'График аннуитет.'!E38,'График аннуитет.'!C38)</f>
        <v>6519452.3200000003</v>
      </c>
      <c r="E38" s="34">
        <f>ROUND(C38*malumot!$B$84/H38,2)*'График аннуитет.'!G38</f>
        <v>-2491629</v>
      </c>
      <c r="F38" s="34">
        <f>IF(A38&lt;malumot!$B$81,'График аннуитет.'!F37,'График аннуитет.'!D38+'График аннуитет.'!E38)</f>
        <v>4027823.32</v>
      </c>
      <c r="G38" s="15">
        <f t="shared" si="6"/>
        <v>30</v>
      </c>
      <c r="H38" s="15">
        <f t="shared" si="7"/>
        <v>365</v>
      </c>
    </row>
    <row r="39" spans="1:8">
      <c r="A39" s="18">
        <f t="shared" si="8"/>
        <v>32</v>
      </c>
      <c r="B39" s="33">
        <f>'График дифференц'!B39</f>
        <v>46692</v>
      </c>
      <c r="C39" s="34">
        <f t="shared" si="5"/>
        <v>-57044151.389999986</v>
      </c>
      <c r="D39" s="34">
        <f>IF(A39&lt;malumot!$B$81,'График аннуитет.'!F39-'График аннуитет.'!E39,'График аннуитет.'!C39)</f>
        <v>6934730.8300000001</v>
      </c>
      <c r="E39" s="34">
        <f>ROUND(C39*malumot!$B$84/H39,2)*'График аннуитет.'!G39</f>
        <v>-2906907.5100000002</v>
      </c>
      <c r="F39" s="34">
        <f>IF(A39&lt;malumot!$B$81,'График аннуитет.'!F38,'График аннуитет.'!D39+'График аннуитет.'!E39)</f>
        <v>4027823.32</v>
      </c>
      <c r="G39" s="15">
        <f t="shared" si="6"/>
        <v>31</v>
      </c>
      <c r="H39" s="15">
        <f t="shared" si="7"/>
        <v>365</v>
      </c>
    </row>
    <row r="40" spans="1:8">
      <c r="A40" s="18">
        <f t="shared" si="8"/>
        <v>33</v>
      </c>
      <c r="B40" s="33">
        <f>'График дифференц'!B40</f>
        <v>46722</v>
      </c>
      <c r="C40" s="34">
        <f t="shared" si="5"/>
        <v>-63978882.219999984</v>
      </c>
      <c r="D40" s="34">
        <f>IF(A40&lt;malumot!$B$81,'График аннуитет.'!F40-'График аннуитет.'!E40,'График аннуитет.'!C40)</f>
        <v>7182946.4199999999</v>
      </c>
      <c r="E40" s="34">
        <f>ROUND(C40*malumot!$B$84/H40,2)*'График аннуитет.'!G40</f>
        <v>-3155123.1</v>
      </c>
      <c r="F40" s="34">
        <f>IF(A40&lt;malumot!$B$81,'График аннуитет.'!F39,'График аннуитет.'!D40+'График аннуитет.'!E40)</f>
        <v>4027823.32</v>
      </c>
      <c r="G40" s="15">
        <f t="shared" si="6"/>
        <v>30</v>
      </c>
      <c r="H40" s="15">
        <f t="shared" si="7"/>
        <v>365</v>
      </c>
    </row>
    <row r="41" spans="1:8">
      <c r="A41" s="18">
        <f t="shared" si="8"/>
        <v>34</v>
      </c>
      <c r="B41" s="33">
        <f>'График дифференц'!B41</f>
        <v>46755</v>
      </c>
      <c r="C41" s="34">
        <f t="shared" si="5"/>
        <v>-71161828.639999986</v>
      </c>
      <c r="D41" s="34">
        <f>IF(A41&lt;malumot!$B$81,'График аннуитет.'!F41-'График аннуитет.'!E41,'График аннуитет.'!C41)</f>
        <v>7877561.7400000002</v>
      </c>
      <c r="E41" s="34">
        <f>ROUND(C41*malumot!$B$84/H41,2)*'График аннуитет.'!G41</f>
        <v>-3849738.4200000004</v>
      </c>
      <c r="F41" s="34">
        <f>IF(A41&lt;malumot!$B$81,'График аннуитет.'!F40,'График аннуитет.'!D41+'График аннуитет.'!E41)</f>
        <v>4027823.32</v>
      </c>
      <c r="G41" s="15">
        <f t="shared" si="6"/>
        <v>33</v>
      </c>
      <c r="H41" s="15">
        <f t="shared" si="7"/>
        <v>366</v>
      </c>
    </row>
    <row r="42" spans="1:8">
      <c r="A42" s="18">
        <f t="shared" si="8"/>
        <v>35</v>
      </c>
      <c r="B42" s="33">
        <f>'График дифференц'!B42</f>
        <v>46784</v>
      </c>
      <c r="C42" s="34">
        <f t="shared" si="5"/>
        <v>-79039390.37999998</v>
      </c>
      <c r="D42" s="34">
        <f>IF(A42&lt;malumot!$B$81,'График аннуитет.'!F42-'График аннуитет.'!E42,'График аннуитет.'!C42)</f>
        <v>7785433.6500000004</v>
      </c>
      <c r="E42" s="34">
        <f>ROUND(C42*malumot!$B$84/H42,2)*'График аннуитет.'!G42</f>
        <v>-3757610.33</v>
      </c>
      <c r="F42" s="34">
        <f>IF(A42&lt;malumot!$B$81,'График аннуитет.'!F41,'График аннуитет.'!D42+'График аннуитет.'!E42)</f>
        <v>4027823.32</v>
      </c>
      <c r="G42" s="15">
        <f t="shared" si="6"/>
        <v>29</v>
      </c>
      <c r="H42" s="15">
        <f t="shared" si="7"/>
        <v>366</v>
      </c>
    </row>
    <row r="43" spans="1:8">
      <c r="A43" s="18">
        <f t="shared" si="8"/>
        <v>36</v>
      </c>
      <c r="B43" s="33">
        <f>'График дифференц'!B43</f>
        <v>46836</v>
      </c>
      <c r="C43" s="34">
        <f t="shared" si="5"/>
        <v>-86824824.029999986</v>
      </c>
      <c r="D43" s="34">
        <f>IF(A43&lt;malumot!$B$81,'График аннуитет.'!F43-'График аннуитет.'!E43,'График аннуитет.'!C43)</f>
        <v>-86824824.029999986</v>
      </c>
      <c r="E43" s="34">
        <f>ROUND(C43*malumot!$B$84/H43,2)*'График аннуитет.'!G43</f>
        <v>-7401460.5599999996</v>
      </c>
      <c r="F43" s="34">
        <f>IF(A43&lt;malumot!$B$81,'График аннуитет.'!F42,'График аннуитет.'!D43+'График аннуитет.'!E43)</f>
        <v>-94226284.589999989</v>
      </c>
      <c r="G43" s="15">
        <f t="shared" si="6"/>
        <v>52</v>
      </c>
      <c r="H43" s="15">
        <f t="shared" si="7"/>
        <v>366</v>
      </c>
    </row>
    <row r="44" spans="1:8">
      <c r="A44" s="46"/>
      <c r="B44" s="47" t="s">
        <v>7</v>
      </c>
      <c r="C44" s="48"/>
      <c r="D44" s="48">
        <f>SUM(D8:D43)</f>
        <v>52000000.000000015</v>
      </c>
      <c r="E44" s="48">
        <f t="shared" ref="E44:F44" si="9">SUM(E8:E43)</f>
        <v>-5252468.3899999941</v>
      </c>
      <c r="F44" s="48">
        <f t="shared" si="9"/>
        <v>46747531.60999988</v>
      </c>
    </row>
    <row r="45" spans="1:8" ht="9" customHeight="1">
      <c r="B45" s="35"/>
      <c r="C45" s="36"/>
      <c r="D45" s="36"/>
      <c r="E45" s="36"/>
      <c r="F45" s="36"/>
    </row>
    <row r="46" spans="1:8" ht="47.25" customHeight="1">
      <c r="A46" s="287" t="s">
        <v>18</v>
      </c>
      <c r="B46" s="287"/>
      <c r="C46" s="287"/>
      <c r="D46" s="287"/>
      <c r="E46" s="287"/>
      <c r="F46" s="287"/>
    </row>
    <row r="47" spans="1:8" ht="7.5" customHeight="1"/>
    <row r="48" spans="1:8">
      <c r="A48" s="315" t="e">
        <f>#REF!</f>
        <v>#REF!</v>
      </c>
      <c r="B48" s="315"/>
      <c r="C48" s="315"/>
      <c r="D48" s="315" t="e">
        <f>#REF!</f>
        <v>#REF!</v>
      </c>
      <c r="E48" s="315"/>
      <c r="F48" s="315"/>
    </row>
    <row r="49" spans="1:6" ht="11.25" customHeight="1">
      <c r="A49" s="316"/>
      <c r="B49" s="316"/>
      <c r="C49" s="316"/>
      <c r="D49" s="316"/>
      <c r="E49" s="316"/>
      <c r="F49" s="316"/>
    </row>
    <row r="50" spans="1:6" ht="30" customHeight="1">
      <c r="A50" s="286" t="e">
        <f>#REF!</f>
        <v>#REF!</v>
      </c>
      <c r="B50" s="286"/>
      <c r="C50" s="286"/>
      <c r="D50" s="286" t="e">
        <f>#REF!</f>
        <v>#REF!</v>
      </c>
      <c r="E50" s="286"/>
      <c r="F50" s="286"/>
    </row>
    <row r="51" spans="1:6" ht="32.25" customHeight="1">
      <c r="A51" s="311" t="e">
        <f>#REF!</f>
        <v>#REF!</v>
      </c>
      <c r="B51" s="311"/>
      <c r="C51" s="311"/>
      <c r="D51" s="311" t="e">
        <f>#REF!</f>
        <v>#REF!</v>
      </c>
      <c r="E51" s="311"/>
      <c r="F51" s="311"/>
    </row>
    <row r="52" spans="1:6">
      <c r="A52" s="311" t="e">
        <f>#REF!</f>
        <v>#REF!</v>
      </c>
      <c r="B52" s="311"/>
      <c r="C52" s="311"/>
      <c r="D52" s="311" t="str">
        <f>"паспорт серии "&amp;malumot!B16&amp;", "&amp;malumot!B20&amp;""</f>
        <v>паспорт серии AC 1659096, SURXONDARYO VILOYATI JARQO'RG'ON TUMANI IIB tomonidan 21.02.2019 yilda berilgan</v>
      </c>
      <c r="E52" s="311"/>
      <c r="F52" s="311"/>
    </row>
    <row r="53" spans="1:6" ht="32.25" customHeight="1">
      <c r="A53" s="311" t="e">
        <f>#REF!</f>
        <v>#REF!</v>
      </c>
      <c r="B53" s="311"/>
      <c r="C53" s="311"/>
      <c r="D53" s="311"/>
      <c r="E53" s="311"/>
      <c r="F53" s="311"/>
    </row>
    <row r="54" spans="1:6">
      <c r="A54" s="311" t="e">
        <f>#REF!</f>
        <v>#REF!</v>
      </c>
      <c r="B54" s="311"/>
      <c r="C54" s="311"/>
      <c r="D54" s="311" t="e">
        <f>#REF!</f>
        <v>#REF!</v>
      </c>
      <c r="E54" s="311"/>
      <c r="F54" s="311"/>
    </row>
    <row r="55" spans="1:6">
      <c r="A55" s="311" t="e">
        <f>#REF!</f>
        <v>#REF!</v>
      </c>
      <c r="B55" s="311"/>
      <c r="C55" s="311"/>
      <c r="D55" s="311" t="e">
        <f>#REF!</f>
        <v>#REF!</v>
      </c>
      <c r="E55" s="311"/>
      <c r="F55" s="311"/>
    </row>
    <row r="56" spans="1:6">
      <c r="A56" s="311" t="e">
        <f>#REF!</f>
        <v>#REF!</v>
      </c>
      <c r="B56" s="311"/>
      <c r="C56" s="311"/>
      <c r="D56" s="311" t="e">
        <f>#REF!</f>
        <v>#REF!</v>
      </c>
      <c r="E56" s="311"/>
      <c r="F56" s="311"/>
    </row>
    <row r="57" spans="1:6" ht="8.25" customHeight="1">
      <c r="A57" s="311"/>
      <c r="B57" s="311"/>
      <c r="C57" s="311"/>
      <c r="D57" s="311"/>
      <c r="E57" s="311"/>
      <c r="F57" s="311"/>
    </row>
    <row r="58" spans="1:6">
      <c r="A58" s="286" t="e">
        <f>#REF!</f>
        <v>#REF!</v>
      </c>
      <c r="B58" s="286"/>
      <c r="C58" s="286"/>
      <c r="D58" s="286" t="e">
        <f>#REF!</f>
        <v>#REF!</v>
      </c>
      <c r="E58" s="286"/>
      <c r="F58" s="286"/>
    </row>
    <row r="59" spans="1:6" ht="7.5" customHeight="1">
      <c r="A59" s="286"/>
      <c r="B59" s="286"/>
      <c r="C59" s="286"/>
      <c r="D59" s="286"/>
      <c r="E59" s="286"/>
      <c r="F59" s="286"/>
    </row>
    <row r="60" spans="1:6">
      <c r="A60" s="286" t="e">
        <f>#REF!</f>
        <v>#REF!</v>
      </c>
      <c r="B60" s="286"/>
      <c r="C60" s="286"/>
      <c r="D60" s="286" t="e">
        <f>#REF!</f>
        <v>#REF!</v>
      </c>
      <c r="E60" s="286"/>
      <c r="F60" s="286"/>
    </row>
    <row r="61" spans="1:6" ht="8.25" customHeight="1">
      <c r="A61" s="311"/>
      <c r="B61" s="311"/>
      <c r="C61" s="311"/>
      <c r="D61" s="311"/>
      <c r="E61" s="311"/>
      <c r="F61" s="311"/>
    </row>
    <row r="62" spans="1:6" ht="30" customHeight="1">
      <c r="A62" s="312"/>
      <c r="B62" s="312"/>
      <c r="C62" s="312"/>
      <c r="D62" s="313"/>
      <c r="E62" s="313"/>
      <c r="F62" s="313"/>
    </row>
    <row r="63" spans="1:6">
      <c r="A63" s="314"/>
      <c r="B63" s="314"/>
      <c r="C63" s="314"/>
      <c r="D63" s="314"/>
      <c r="E63" s="314"/>
      <c r="F63" s="314"/>
    </row>
    <row r="64" spans="1:6">
      <c r="A64" s="310"/>
      <c r="B64" s="310"/>
      <c r="C64" s="310"/>
      <c r="D64" s="310"/>
      <c r="E64" s="310"/>
      <c r="F64" s="310"/>
    </row>
  </sheetData>
  <mergeCells count="40">
    <mergeCell ref="E1:F1"/>
    <mergeCell ref="A4:F4"/>
    <mergeCell ref="A6:A7"/>
    <mergeCell ref="B6:B7"/>
    <mergeCell ref="C6:C7"/>
    <mergeCell ref="D6:F6"/>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A55:C55"/>
    <mergeCell ref="D55:F55"/>
    <mergeCell ref="A56:C56"/>
    <mergeCell ref="D56:F56"/>
    <mergeCell ref="A57:C57"/>
    <mergeCell ref="D57:F57"/>
    <mergeCell ref="A58:C58"/>
    <mergeCell ref="D58:F58"/>
    <mergeCell ref="A59:C59"/>
    <mergeCell ref="D59:F59"/>
    <mergeCell ref="A60:C60"/>
    <mergeCell ref="D60:F60"/>
    <mergeCell ref="A64:C64"/>
    <mergeCell ref="D64:F64"/>
    <mergeCell ref="A61:C61"/>
    <mergeCell ref="D61:F61"/>
    <mergeCell ref="A62:C62"/>
    <mergeCell ref="D62:F62"/>
    <mergeCell ref="A63:C63"/>
    <mergeCell ref="D63:F63"/>
  </mergeCells>
  <conditionalFormatting sqref="B8:B43">
    <cfRule type="cellIs" dxfId="4" priority="4" operator="lessThan">
      <formula>22105</formula>
    </cfRule>
  </conditionalFormatting>
  <conditionalFormatting sqref="C8:C43">
    <cfRule type="cellIs" dxfId="3" priority="3" operator="lessThan">
      <formula>1</formula>
    </cfRule>
  </conditionalFormatting>
  <conditionalFormatting sqref="C8:F43">
    <cfRule type="cellIs" dxfId="2" priority="1" operator="lessThan">
      <formula>0.1</formula>
    </cfRule>
  </conditionalFormatting>
  <pageMargins left="0.7" right="0.7" top="0.75" bottom="0.75" header="0.3" footer="0.3"/>
  <pageSetup paperSize="9" scale="92"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7">
    <tabColor rgb="FF00B050"/>
  </sheetPr>
  <dimension ref="A1:E58"/>
  <sheetViews>
    <sheetView view="pageBreakPreview" topLeftCell="A19" zoomScaleSheetLayoutView="100" workbookViewId="0">
      <selection activeCell="C54" sqref="C54"/>
    </sheetView>
  </sheetViews>
  <sheetFormatPr defaultColWidth="9.140625" defaultRowHeight="15" outlineLevelRow="1"/>
  <cols>
    <col min="1" max="1" width="17.28515625" style="15" customWidth="1"/>
    <col min="2" max="2" width="24.7109375" style="15" customWidth="1"/>
    <col min="3" max="5" width="17" style="15" customWidth="1"/>
    <col min="6" max="16384" width="9.140625" style="15"/>
  </cols>
  <sheetData>
    <row r="1" spans="1:5" ht="36" customHeight="1">
      <c r="A1" s="286" t="str">
        <f>""&amp;malumot!B153&amp;"
mikromoliya tashkilotining Xulosasi"</f>
        <v>«CLEVER MIKROMOLIYA TASHKILOTI» MChJ
mikromoliya tashkilotining Xulosasi</v>
      </c>
      <c r="B1" s="286"/>
      <c r="C1" s="286"/>
      <c r="D1" s="286"/>
      <c r="E1" s="286"/>
    </row>
    <row r="2" spans="1:5">
      <c r="A2" s="287"/>
      <c r="B2" s="287"/>
      <c r="C2" s="287"/>
      <c r="D2" s="287"/>
      <c r="E2" s="287"/>
    </row>
    <row r="3" spans="1:5">
      <c r="A3" s="286" t="s">
        <v>204</v>
      </c>
      <c r="B3" s="286"/>
      <c r="C3" s="286"/>
      <c r="D3" s="286"/>
      <c r="E3" s="286"/>
    </row>
    <row r="4" spans="1:5" ht="19.5" customHeight="1">
      <c r="A4" s="287" t="str">
        <f>"Mijozning to'liq ismi sharifi: "&amp;malumot!B5&amp;""</f>
        <v>Mijozning to'liq ismi sharifi: SHAYMARDANOVA SABOXAT YULDASHEVNA</v>
      </c>
      <c r="B4" s="287"/>
      <c r="C4" s="287"/>
      <c r="D4" s="287"/>
      <c r="E4" s="287"/>
    </row>
    <row r="5" spans="1:5">
      <c r="A5" s="287" t="str">
        <f>"Tug'ilgan sanasi: "&amp;malumot!B15&amp;""</f>
        <v>Tug'ilgan sanasi: 09.11.1976 yil</v>
      </c>
      <c r="B5" s="287"/>
      <c r="C5" s="287"/>
      <c r="D5" s="287"/>
      <c r="E5" s="287"/>
    </row>
    <row r="6" spans="1:5" ht="31.5" customHeight="1">
      <c r="A6" s="287" t="str">
        <f>"Pasport seriyasi "&amp;malumot!B16&amp;" "&amp;malumot!B20&amp;", amal qilish muddati - "&amp;malumot!B21&amp;""</f>
        <v>Pasport seriyasi AC 1659096 SURXONDARYO VILOYATI JARQO'RG'ON TUMANI IIB tomonidan 21.02.2019 yilda berilgan, amal qilish muddati - 20.02.2029 y.</v>
      </c>
      <c r="B6" s="287"/>
      <c r="C6" s="287"/>
      <c r="D6" s="287"/>
      <c r="E6" s="287"/>
    </row>
    <row r="7" spans="1:5" ht="39.75" customHeight="1">
      <c r="A7" s="287" t="str">
        <f>"Ro‘yxatdan o‘tgan manzili: "&amp;malumot!B28&amp;", mo'ljal: "&amp;malumot!B26&amp;""</f>
        <v>Ro‘yxatdan o‘tgan manzili: SURXONDARYO VILOYATI JARQO'RG'ON TUMANI QORAYONTOQ MFY IBN SINO KO'CHASI 114-UY, mo'ljal: QORAYONTOQ BEKAT</v>
      </c>
      <c r="B7" s="287"/>
      <c r="C7" s="287"/>
      <c r="D7" s="287"/>
      <c r="E7" s="287"/>
    </row>
    <row r="8" spans="1:5" ht="26.25" customHeight="1">
      <c r="A8" s="287" t="str">
        <f>"Ish joyi: "&amp;malumot!B52&amp;" lavozimi "&amp;malumot!B49&amp;"da "&amp;malumot!B44&amp;""</f>
        <v>Ish joyi:  lavozimi Yakka tartibdagi tadbirkorda Yakka tartibdagi tadbirkor</v>
      </c>
      <c r="B8" s="287"/>
      <c r="C8" s="287"/>
      <c r="D8" s="287"/>
      <c r="E8" s="287"/>
    </row>
    <row r="9" spans="1:5">
      <c r="A9" s="287"/>
      <c r="B9" s="287"/>
      <c r="C9" s="287"/>
      <c r="D9" s="287"/>
      <c r="E9" s="287"/>
    </row>
    <row r="10" spans="1:5">
      <c r="A10" s="286" t="str">
        <f>"Mijoz tomonidan so’ralgan "&amp;malumot!B65&amp;" shartlari:"</f>
        <v>Mijoz tomonidan so’ralgan mikroqarz shartlari:</v>
      </c>
      <c r="B10" s="286"/>
      <c r="C10" s="286"/>
      <c r="D10" s="286"/>
      <c r="E10" s="286"/>
    </row>
    <row r="11" spans="1:5">
      <c r="A11" s="287" t="str">
        <f>'Кредитная заявка'!A13:D13</f>
        <v>Mikroqarz summasi: 52 000 000,00 (ellik ikki million so'm) so'm.</v>
      </c>
      <c r="B11" s="287"/>
      <c r="C11" s="287"/>
      <c r="D11" s="287"/>
      <c r="E11" s="287"/>
    </row>
    <row r="12" spans="1:5">
      <c r="A12" s="287" t="str">
        <f>'Кредитная заявка'!A14:D14</f>
        <v>Mikroqarz muddati: 36 (o'ttiz olti) oy.</v>
      </c>
      <c r="B12" s="287"/>
      <c r="C12" s="287"/>
      <c r="D12" s="287"/>
      <c r="E12" s="287"/>
    </row>
    <row r="13" spans="1:5">
      <c r="A13" s="287" t="str">
        <f>'Кредитная заявка'!A15:D15</f>
        <v>Mikroqarzdan foydalanganlik uchun foiz stavkasi: yillik  60% (Oltmish) foiz</v>
      </c>
      <c r="B13" s="287"/>
      <c r="C13" s="287"/>
      <c r="D13" s="287"/>
      <c r="E13" s="287"/>
    </row>
    <row r="14" spans="1:5">
      <c r="A14" s="287" t="str">
        <f>'Кредитная заявка'!A16:D16</f>
        <v>Mikroqarz bo'yicha asosiy qarz va foizlarni to'lash:</v>
      </c>
      <c r="B14" s="287"/>
      <c r="C14" s="287"/>
      <c r="D14" s="287"/>
      <c r="E14" s="287"/>
    </row>
    <row r="15" spans="1:5" ht="18.75" customHeight="1">
      <c r="A15" s="287" t="str">
        <f>'Кредитная заявка'!A19:D19</f>
        <v xml:space="preserve"> - mikroqarz shartnomasi bo'yicha har oy differensial to'lovlari amalga oshiriladi</v>
      </c>
      <c r="B15" s="287"/>
      <c r="C15" s="287"/>
      <c r="D15" s="287"/>
      <c r="E15" s="287"/>
    </row>
    <row r="16" spans="1:5" ht="14.25" customHeight="1">
      <c r="A16" s="288" t="str">
        <f>'Кредитная заявка'!A20:D20</f>
        <v xml:space="preserve">  Oxirgi yakuniy to'lov mikroqarz shartnomasi tuzilgan kundan boshlab oxirgi oyning oxirgi kunida amalga oshiriladi</v>
      </c>
      <c r="B16" s="288"/>
      <c r="C16" s="288"/>
      <c r="D16" s="288"/>
      <c r="E16" s="288"/>
    </row>
    <row r="17" spans="1:5">
      <c r="A17" s="287" t="str">
        <f>'Кредитная заявка'!A21:D21</f>
        <v>Mikroqarz ta’minoti::</v>
      </c>
      <c r="B17" s="287"/>
      <c r="C17" s="287"/>
      <c r="D17" s="287"/>
      <c r="E17" s="287"/>
    </row>
    <row r="18" spans="1:5" ht="83.25" customHeight="1">
      <c r="A18" s="287" t="str">
        <f>'Кредитная заявка'!A22:D22</f>
        <v xml:space="preserve">  Egalik huquqi XUDOYKULOV ALMURAT KURBONAZAROVICHga tegishli bo'lgan garovga olingan avtomobil markasi   LADA VESTA, rangi -  SARIQ JELTO- ORANJEVIY, ishlab chiqarilgan yili - 2019, davlat raqam belgisi 75M497WA, kuzov turi - YENGIL SEDAN, kuzov raqami XTAGFL110KY258232, dvigatel raqami 3977458, shassi raqami - RAKAMSIZ</v>
      </c>
      <c r="B18" s="287"/>
      <c r="C18" s="287"/>
      <c r="D18" s="287"/>
      <c r="E18" s="287"/>
    </row>
    <row r="19" spans="1:5">
      <c r="A19" s="286" t="s">
        <v>205</v>
      </c>
      <c r="B19" s="286"/>
      <c r="C19" s="286"/>
      <c r="D19" s="286"/>
      <c r="E19" s="286"/>
    </row>
    <row r="20" spans="1:5" ht="21" customHeight="1">
      <c r="A20" s="287" t="str">
        <f>"Anketaga muvofiq "&amp;malumot!B9&amp;"ning o‘rtacha oylik daromadi  "&amp;FIXED(malumot!B60)&amp;" so‘mni tashkil etdi."</f>
        <v>Anketaga muvofiq SHAYMARDANOVA S.Y.ning o‘rtacha oylik daromadi  14 000 000,00 so‘mni tashkil etdi.</v>
      </c>
      <c r="B20" s="287"/>
      <c r="C20" s="287"/>
      <c r="D20" s="287"/>
      <c r="E20" s="287"/>
    </row>
    <row r="21" spans="1:5" ht="27" customHeight="1">
      <c r="A21" s="287" t="str">
        <f>"Mijozning o'rtacha oylik xarajatlari "&amp;FIXED(mijoz_anketasi!F27)&amp;" so'mni tashkil etdi"</f>
        <v>Mijozning o'rtacha oylik xarajatlari 1 650 000,00 so'mni tashkil etdi</v>
      </c>
      <c r="B21" s="287"/>
      <c r="C21" s="287"/>
      <c r="D21" s="287"/>
      <c r="E21" s="287"/>
    </row>
    <row r="22" spans="1:5" ht="24.75" customHeight="1">
      <c r="A22" s="287" t="str">
        <f>IF(malumot!B77=malumot!C77,xulosa!A23:E23,xulosa!A24:E24)</f>
        <v>Mikroqarz shartnomasi bo'yicha birinchi oy uchun to'lov 4 027 823,32 so'mni tashkil etadi.</v>
      </c>
      <c r="B22" s="287"/>
      <c r="C22" s="287"/>
      <c r="D22" s="287"/>
      <c r="E22" s="287"/>
    </row>
    <row r="23" spans="1:5" ht="19.5" hidden="1" customHeight="1">
      <c r="A23" s="287" t="str">
        <f>""&amp;malumot!C64&amp;" shartnomasi bo'yicha birinchi oy uchun to'lov "&amp;FIXED(malumot!B90)&amp;" so'mni tashkil etadi."</f>
        <v>Mikroqarz shartnomasi bo'yicha birinchi oy uchun to'lov 4 027 823,32 so'mni tashkil etadi.</v>
      </c>
      <c r="B23" s="287"/>
      <c r="C23" s="287"/>
      <c r="D23" s="287"/>
      <c r="E23" s="287"/>
    </row>
    <row r="24" spans="1:5" ht="19.5" hidden="1" customHeight="1">
      <c r="A24" s="287" t="str">
        <f>""&amp;malumot!C64&amp;" bo‘yicha oylik "&amp;malumot!B77&amp;" to‘lovi miqdori "&amp;FIXED(malumot!B90)&amp;" so‘mni tashkil etadi."</f>
        <v>Mikroqarz bo‘yicha oylik differensial to‘lovi miqdori 4 027 823,32 so‘mni tashkil etadi.</v>
      </c>
      <c r="B24" s="287"/>
      <c r="C24" s="287"/>
      <c r="D24" s="287"/>
      <c r="E24" s="287"/>
    </row>
    <row r="25" spans="1:5" ht="56.25" hidden="1" customHeight="1">
      <c r="A25" s="288" t="s">
        <v>394</v>
      </c>
      <c r="B25" s="288"/>
      <c r="C25" s="288"/>
      <c r="D25" s="288"/>
      <c r="E25" s="288"/>
    </row>
    <row r="26" spans="1:5">
      <c r="A26" s="286" t="str">
        <f>""&amp;malumot!C64&amp;" bo’yicha ta’minot:"</f>
        <v>Mikroqarz bo’yicha ta’minot:</v>
      </c>
      <c r="B26" s="286"/>
      <c r="C26" s="286"/>
      <c r="D26" s="286"/>
      <c r="E26" s="286"/>
    </row>
    <row r="27" spans="1:5" ht="31.5" hidden="1" customHeight="1">
      <c r="A27" s="287" t="str">
        <f>" - "&amp;malumot!B123&amp;" ga mulk huquqi asosida tegishli avtotransport vositasi "&amp;malumot!B131&amp;" , quyidagi tafsilotlarga muvofiq:"</f>
        <v xml:space="preserve"> - XUDOYKULOV ALMURAT KURBONAZAROVICH ga mulk huquqi asosida tegishli avtotransport vositasi LADA VESTA , quyidagi tafsilotlarga muvofiq:</v>
      </c>
      <c r="B27" s="287"/>
      <c r="C27" s="287"/>
      <c r="D27" s="287"/>
      <c r="E27" s="287"/>
    </row>
    <row r="28" spans="1:5" ht="67.5" hidden="1" customHeight="1">
      <c r="A28" s="287" t="str">
        <f>" -   "&amp;malumot!C123&amp;" ga mulk huquqi asosida tegishli ko'chmas mulk shaklida "&amp;malumot!C132&amp;", manzili: "&amp;malumot!C129&amp;", quyidagi tafsilotlarga muvofiq:"</f>
        <v xml:space="preserve"> -   0 ga mulk huquqi asosida tegishli ko'chmas mulk shaklida 3 - xonali yakka tartibdagi uy-joy, manzili: SAMARQAND VILOYATI TAYLOQ TUMANI CHAROG'BON MFY YANGI TAYLOQ QISHLOG'I 6 TURAR JOY 12 QAVAT 58 XONADON, quyidagi tafsilotlarga muvofiq:</v>
      </c>
      <c r="B28" s="287"/>
      <c r="C28" s="287"/>
      <c r="D28" s="287"/>
      <c r="E28" s="287"/>
    </row>
    <row r="29" spans="1:5" ht="44.25" customHeight="1">
      <c r="A29" s="287" t="str">
        <f>IF(malumot!B109="Avtotransport",xulosa!A27:E27,xulosa!A28:E28)</f>
        <v xml:space="preserve"> - XUDOYKULOV ALMURAT KURBONAZAROVICH ga mulk huquqi asosida tegishli avtotransport vositasi LADA VESTA , quyidagi tafsilotlarga muvofiq:</v>
      </c>
      <c r="B29" s="287"/>
      <c r="C29" s="287"/>
      <c r="D29" s="287"/>
      <c r="E29" s="287"/>
    </row>
    <row r="30" spans="1:5" s="16" customFormat="1" ht="47.25" customHeight="1" outlineLevel="1">
      <c r="A30" s="39" t="str">
        <f>dalolatnoma!A29</f>
        <v>Nomi</v>
      </c>
      <c r="B30" s="39" t="str">
        <f>dalolatnoma!B29</f>
        <v>Kuzov turi  va kuzov raqami*</v>
      </c>
      <c r="C30" s="39" t="str">
        <f>dalolatnoma!C29</f>
        <v>Dvigatel va shassi raqami*</v>
      </c>
      <c r="D30" s="39" t="str">
        <f>dalolatnoma!D29</f>
        <v>Ishlab chiqarilgan yili va rangi*</v>
      </c>
      <c r="E30" s="39" t="str">
        <f>dalolatnoma!E29</f>
        <v>Kelishilgan garov qiymati, so'm</v>
      </c>
    </row>
    <row r="31" spans="1:5" s="20" customFormat="1" ht="92.25" customHeight="1" outlineLevel="1">
      <c r="A31" s="17" t="str">
        <f>dalolatnoma!A30</f>
        <v>LADA VESTA</v>
      </c>
      <c r="B31" s="17" t="str">
        <f>dalolatnoma!B30</f>
        <v>kuzov turi - YENGIL SEDAN, kuzov raqami XTAGFL110KY258232</v>
      </c>
      <c r="C31" s="17" t="str">
        <f>dalolatnoma!C30</f>
        <v>dvigatel raqami 3977458, shassi raqami - RAKAMSIZ</v>
      </c>
      <c r="D31" s="17" t="str">
        <f>dalolatnoma!D30</f>
        <v>rangi -  SARIQ JELTO- ORANJEVIY, ishlab chiqarilgan yili - 2019</v>
      </c>
      <c r="E31" s="17" t="str">
        <f>dalolatnoma!E30</f>
        <v>78 000 000,00 
(yetmish sakkiz million so'm)</v>
      </c>
    </row>
    <row r="32" spans="1:5" ht="17.25" customHeight="1" outlineLevel="1">
      <c r="A32" s="287" t="str">
        <f>dalolatnoma!A22</f>
        <v>-* avtotransport egasi: XUDOYKULOV ALMURAT KURBONAZAROVICH</v>
      </c>
      <c r="B32" s="287"/>
      <c r="C32" s="287"/>
      <c r="D32" s="287"/>
      <c r="E32" s="287"/>
    </row>
    <row r="33" spans="1:5" ht="15" customHeight="1" outlineLevel="1">
      <c r="A33" s="287" t="str">
        <f>dalolatnoma!A23</f>
        <v>-* texnik pasport: AAG 3367573 24.01.2024 y.</v>
      </c>
      <c r="B33" s="287"/>
      <c r="C33" s="287"/>
      <c r="D33" s="287"/>
      <c r="E33" s="287"/>
    </row>
    <row r="34" spans="1:5" ht="33" customHeight="1" outlineLevel="1">
      <c r="A34" s="287" t="str">
        <f>dalolatnoma!A24</f>
        <v>-* roʻyxatdan oʻtgan manzili/garaj manzili: SURXONDARYO VILOYATI JARQO'RG'ON TUMANI OQQURG'ON QFY QORAYONTOQ MFY IBN SINO KO'CHASI 114-UY</v>
      </c>
      <c r="B34" s="287"/>
      <c r="C34" s="287"/>
      <c r="D34" s="287"/>
      <c r="E34" s="287"/>
    </row>
    <row r="35" spans="1:5" ht="15" customHeight="1" outlineLevel="1">
      <c r="A35" s="287" t="str">
        <f>dalolatnoma!A25</f>
        <v>-* davlat raqami: 75M497WA</v>
      </c>
      <c r="B35" s="287"/>
      <c r="C35" s="287"/>
      <c r="D35" s="287"/>
      <c r="E35" s="287"/>
    </row>
    <row r="36" spans="1:5" ht="9" customHeight="1">
      <c r="A36" s="287"/>
      <c r="B36" s="287"/>
      <c r="C36" s="287"/>
      <c r="D36" s="287"/>
      <c r="E36" s="287"/>
    </row>
    <row r="37" spans="1:5" ht="39" customHeight="1">
      <c r="A37" s="286" t="str">
        <f>""&amp;malumot!B153&amp;"
mikromoliya tashkilotining Xulosasi"</f>
        <v>«CLEVER MIKROMOLIYA TASHKILOTI» MChJ
mikromoliya tashkilotining Xulosasi</v>
      </c>
      <c r="B37" s="286"/>
      <c r="C37" s="286"/>
      <c r="D37" s="286"/>
      <c r="E37" s="286"/>
    </row>
    <row r="38" spans="1:5" ht="48" customHeight="1">
      <c r="A38" s="287" t="str">
        <f>""&amp;malumot!B153&amp;" kredit qo‘mitasining xulosasiga quyidagi shartlarda "&amp;malumot!B10&amp;"ga "&amp;malumot!B65&amp;" berish masalasi kiritiladi:"</f>
        <v>«CLEVER MIKROMOLIYA TASHKILOTI» MChJ kredit qo‘mitasining xulosasiga quyidagi shartlarda SHAYMARDANOVA SABOXAT YULDASHEVNAga mikroqarz berish masalasi kiritiladi:</v>
      </c>
      <c r="B38" s="287"/>
      <c r="C38" s="287"/>
      <c r="D38" s="287"/>
      <c r="E38" s="287"/>
    </row>
    <row r="39" spans="1:5">
      <c r="A39" s="287" t="str">
        <f>A11</f>
        <v>Mikroqarz summasi: 52 000 000,00 (ellik ikki million so'm) so'm.</v>
      </c>
      <c r="B39" s="287"/>
      <c r="C39" s="287"/>
      <c r="D39" s="287"/>
      <c r="E39" s="287"/>
    </row>
    <row r="40" spans="1:5">
      <c r="A40" s="287" t="str">
        <f t="shared" ref="A40:A46" si="0">A12</f>
        <v>Mikroqarz muddati: 36 (o'ttiz olti) oy.</v>
      </c>
      <c r="B40" s="287"/>
      <c r="C40" s="287"/>
      <c r="D40" s="287"/>
      <c r="E40" s="287"/>
    </row>
    <row r="41" spans="1:5">
      <c r="A41" s="287" t="str">
        <f t="shared" si="0"/>
        <v>Mikroqarzdan foydalanganlik uchun foiz stavkasi: yillik  60% (Oltmish) foiz</v>
      </c>
      <c r="B41" s="287"/>
      <c r="C41" s="287"/>
      <c r="D41" s="287"/>
      <c r="E41" s="287"/>
    </row>
    <row r="42" spans="1:5">
      <c r="A42" s="287" t="str">
        <f t="shared" si="0"/>
        <v>Mikroqarz bo'yicha asosiy qarz va foizlarni to'lash:</v>
      </c>
      <c r="B42" s="287"/>
      <c r="C42" s="287"/>
      <c r="D42" s="287"/>
      <c r="E42" s="287"/>
    </row>
    <row r="43" spans="1:5" ht="20.25" customHeight="1">
      <c r="A43" s="287" t="str">
        <f t="shared" si="0"/>
        <v xml:space="preserve"> - mikroqarz shartnomasi bo'yicha har oy differensial to'lovlari amalga oshiriladi</v>
      </c>
      <c r="B43" s="287"/>
      <c r="C43" s="287"/>
      <c r="D43" s="287"/>
      <c r="E43" s="287"/>
    </row>
    <row r="44" spans="1:5" ht="33.75" customHeight="1">
      <c r="A44" s="287" t="str">
        <f t="shared" si="0"/>
        <v xml:space="preserve">  Oxirgi yakuniy to'lov mikroqarz shartnomasi tuzilgan kundan boshlab oxirgi oyning oxirgi kunida amalga oshiriladi</v>
      </c>
      <c r="B44" s="287"/>
      <c r="C44" s="287"/>
      <c r="D44" s="287"/>
      <c r="E44" s="287"/>
    </row>
    <row r="45" spans="1:5">
      <c r="A45" s="287" t="str">
        <f t="shared" si="0"/>
        <v>Mikroqarz ta’minoti::</v>
      </c>
      <c r="B45" s="287"/>
      <c r="C45" s="287"/>
      <c r="D45" s="287"/>
      <c r="E45" s="287"/>
    </row>
    <row r="46" spans="1:5" ht="72" customHeight="1">
      <c r="A46" s="287" t="str">
        <f t="shared" si="0"/>
        <v xml:space="preserve">  Egalik huquqi XUDOYKULOV ALMURAT KURBONAZAROVICHga tegishli bo'lgan garovga olingan avtomobil markasi   LADA VESTA, rangi -  SARIQ JELTO- ORANJEVIY, ishlab chiqarilgan yili - 2019, davlat raqam belgisi 75M497WA, kuzov turi - YENGIL SEDAN, kuzov raqami XTAGFL110KY258232, dvigatel raqami 3977458, shassi raqami - RAKAMSIZ</v>
      </c>
      <c r="B46" s="287"/>
      <c r="C46" s="287"/>
      <c r="D46" s="287"/>
      <c r="E46" s="287"/>
    </row>
    <row r="47" spans="1:5">
      <c r="A47" s="287"/>
      <c r="B47" s="287"/>
      <c r="C47" s="287"/>
      <c r="D47" s="287"/>
      <c r="E47" s="287"/>
    </row>
    <row r="48" spans="1:5" ht="36.75" customHeight="1">
      <c r="A48" s="287" t="str">
        <f>""&amp;malumot!B153&amp;" mikromoliya tashkilotining xulosasi  "&amp;TEXT(malumot!B2,"ДД.ММ.ГГГГ")&amp;" y. tayyorlangan"</f>
        <v>«CLEVER MIKROMOLIYA TASHKILOTI» MChJ mikromoliya tashkilotining xulosasi  24.03.2025 y. tayyorlangan</v>
      </c>
      <c r="B48" s="287"/>
      <c r="C48" s="287"/>
      <c r="D48" s="287"/>
      <c r="E48" s="287"/>
    </row>
    <row r="49" spans="1:5">
      <c r="A49" s="127"/>
      <c r="B49" s="216"/>
      <c r="C49" s="216"/>
      <c r="D49" s="127"/>
      <c r="E49" s="23"/>
    </row>
    <row r="50" spans="1:5">
      <c r="A50" s="287"/>
      <c r="B50" s="287"/>
      <c r="C50" s="287"/>
      <c r="D50" s="287"/>
      <c r="E50" s="287"/>
    </row>
    <row r="51" spans="1:5" ht="47.25" customHeight="1">
      <c r="A51" s="287" t="str">
        <f>""&amp;malumot!B153&amp;" mikromoliya tashkilotining Kredit qo‘mitasi a’zolari "&amp;malumot!B153&amp;"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1" s="287"/>
      <c r="C51" s="287"/>
      <c r="D51" s="287"/>
      <c r="E51" s="287"/>
    </row>
    <row r="52" spans="1:5">
      <c r="A52" s="219"/>
      <c r="B52" s="219"/>
      <c r="C52" s="219"/>
      <c r="D52" s="219"/>
      <c r="E52" s="219"/>
    </row>
    <row r="53" spans="1:5">
      <c r="A53" s="19"/>
      <c r="B53" s="322" t="s">
        <v>400</v>
      </c>
      <c r="C53" s="322"/>
      <c r="D53" s="322"/>
      <c r="E53" s="19"/>
    </row>
    <row r="54" spans="1:5">
      <c r="B54" s="223" t="str">
        <f>malumot!A156</f>
        <v>Surxondaryo filiali boshlig'i</v>
      </c>
      <c r="C54" s="267" t="str">
        <f>malumot!B156</f>
        <v>A.PARDAYEV</v>
      </c>
      <c r="D54" s="221"/>
      <c r="E54" s="221"/>
    </row>
    <row r="55" spans="1:5">
      <c r="B55" s="126" t="str">
        <f>malumot!A165</f>
        <v>Kreditlash bo’limi boshlig’i</v>
      </c>
      <c r="C55" s="257" t="str">
        <f>malumot!B165</f>
        <v>B. Mominov</v>
      </c>
      <c r="D55" s="127"/>
      <c r="E55" s="217"/>
    </row>
    <row r="56" spans="1:5">
      <c r="B56" s="220" t="str">
        <f>malumot!A166</f>
        <v>Monitoring bo’limi boshlig’i</v>
      </c>
      <c r="C56" s="257" t="str">
        <f>malumot!B166</f>
        <v>B. Jumanazarov</v>
      </c>
      <c r="D56" s="127"/>
      <c r="E56" s="212"/>
    </row>
    <row r="57" spans="1:5">
      <c r="B57" s="218" t="s">
        <v>401</v>
      </c>
      <c r="C57" s="267" t="s">
        <v>398</v>
      </c>
      <c r="D57" s="221"/>
      <c r="E57" s="212"/>
    </row>
    <row r="58" spans="1:5" ht="35.25" customHeight="1">
      <c r="B58" s="212"/>
      <c r="C58" s="211"/>
      <c r="D58" s="127"/>
      <c r="E58" s="212"/>
    </row>
  </sheetData>
  <mergeCells count="49">
    <mergeCell ref="B53:D53"/>
    <mergeCell ref="A51:E51"/>
    <mergeCell ref="A38:E38"/>
    <mergeCell ref="A39:E39"/>
    <mergeCell ref="A40:E40"/>
    <mergeCell ref="A41:E41"/>
    <mergeCell ref="A42:E42"/>
    <mergeCell ref="A43:E43"/>
    <mergeCell ref="A44:E44"/>
    <mergeCell ref="A45:E45"/>
    <mergeCell ref="A46:E46"/>
    <mergeCell ref="A47:E47"/>
    <mergeCell ref="A48:E48"/>
    <mergeCell ref="A50:E50"/>
    <mergeCell ref="A33:E33"/>
    <mergeCell ref="A34:E34"/>
    <mergeCell ref="A35:E35"/>
    <mergeCell ref="A36:E36"/>
    <mergeCell ref="A37:E37"/>
    <mergeCell ref="A32:E32"/>
    <mergeCell ref="A14:E14"/>
    <mergeCell ref="A15:E15"/>
    <mergeCell ref="A16:E16"/>
    <mergeCell ref="A17:E17"/>
    <mergeCell ref="A18:E18"/>
    <mergeCell ref="A27:E27"/>
    <mergeCell ref="A19:E19"/>
    <mergeCell ref="A20:E20"/>
    <mergeCell ref="A24:E24"/>
    <mergeCell ref="A25:E25"/>
    <mergeCell ref="A28:E28"/>
    <mergeCell ref="A29:E29"/>
    <mergeCell ref="A7:E7"/>
    <mergeCell ref="A8:E8"/>
    <mergeCell ref="A9:E9"/>
    <mergeCell ref="A26:E26"/>
    <mergeCell ref="A10:E10"/>
    <mergeCell ref="A11:E11"/>
    <mergeCell ref="A12:E12"/>
    <mergeCell ref="A13:E13"/>
    <mergeCell ref="A23:E23"/>
    <mergeCell ref="A22:E22"/>
    <mergeCell ref="A21:E21"/>
    <mergeCell ref="A6:E6"/>
    <mergeCell ref="A1:E1"/>
    <mergeCell ref="A2:E2"/>
    <mergeCell ref="A3:E3"/>
    <mergeCell ref="A4:E4"/>
    <mergeCell ref="A5:E5"/>
  </mergeCells>
  <pageMargins left="0.7" right="0.7" top="0.75" bottom="0.75" header="0.3" footer="0.3"/>
  <pageSetup paperSize="9" scale="84" orientation="portrait" r:id="rId1"/>
  <rowBreaks count="1" manualBreakCount="1">
    <brk id="36"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13">
    <tabColor rgb="FF00B050"/>
  </sheetPr>
  <dimension ref="A1:F64"/>
  <sheetViews>
    <sheetView view="pageBreakPreview" topLeftCell="A29" zoomScaleNormal="100" zoomScaleSheetLayoutView="100" workbookViewId="0">
      <selection activeCell="C63" sqref="C63:E63"/>
    </sheetView>
  </sheetViews>
  <sheetFormatPr defaultColWidth="9.140625" defaultRowHeight="15" outlineLevelRow="1"/>
  <cols>
    <col min="1" max="1" width="28.42578125" style="15" customWidth="1"/>
    <col min="2" max="2" width="22.85546875" style="15" customWidth="1"/>
    <col min="3" max="3" width="22.42578125" style="15" customWidth="1"/>
    <col min="4" max="4" width="21.42578125" style="15" customWidth="1"/>
    <col min="5" max="5" width="25.140625" style="15" customWidth="1"/>
    <col min="6" max="16384" width="9.140625" style="15"/>
  </cols>
  <sheetData>
    <row r="1" spans="1:5" ht="106.5" customHeight="1"/>
    <row r="2" spans="1:5">
      <c r="A2" s="318" t="str">
        <f>"GAROV PREDMETI QIYMATINI KELISHISH 
№"&amp;malumot!B147&amp;" SONLI DALOLATNOMASI
 "</f>
        <v xml:space="preserve">GAROV PREDMETI QIYMATINI KELISHISH 
№1 SONLI DALOLATNOMASI
 </v>
      </c>
      <c r="B2" s="318"/>
      <c r="C2" s="318"/>
      <c r="D2" s="318"/>
      <c r="E2" s="318"/>
    </row>
    <row r="3" spans="1:5">
      <c r="A3" s="40"/>
      <c r="B3" s="40"/>
      <c r="C3" s="40"/>
      <c r="D3" s="40"/>
      <c r="E3" s="40"/>
    </row>
    <row r="4" spans="1:5">
      <c r="A4" s="37" t="s">
        <v>208</v>
      </c>
      <c r="B4" s="37"/>
      <c r="C4" s="37"/>
      <c r="D4" s="37"/>
      <c r="E4" s="37" t="str">
        <f>malumot!B148</f>
        <v>24 mart 2025 y.</v>
      </c>
    </row>
    <row r="5" spans="1:5" ht="9" customHeight="1">
      <c r="A5" s="287"/>
      <c r="B5" s="287"/>
      <c r="C5" s="287"/>
      <c r="D5" s="287"/>
      <c r="E5" s="287"/>
    </row>
    <row r="6" spans="1:5" ht="76.5" customHeight="1">
      <c r="A6" s="287" t="str">
        <f>IF(malumot!B109="avtotransport",dalolatnoma!A10:E10,dalolatnoma!A7:E7)</f>
        <v>«CLEVER MIKROMOLIYA TASHKILOTI» MChJning (1-tomon) vakili bo‘lgan  Surxondaryo filiali boshlig'i A.PARDAYEV, O‘zbekiston Respublikasi fuqarosi SHAYMARDANOVA SABOXAT YULDASHEVNA (2-tomon) va garovga beruvchi O‘zbekiston Respublikasi fuqarosi XUDOYKULOV ALMURAT KURBONAZAROVICH (3-tomon) o’rtalarida, 24 mart 2025 y.dan №659-SR-sonli Mikroqarz shartnomasiga muvofiq 1-tomon 2-tomonga berilgan mikroqarz bo‘yicha ta’minot sifatida taqdim etilgan, 3-tomonga mulk huquqi asosida tegishli bo‘lgan mulkning garov qiymatini kelishish muzokaralari o’tkazildi.</v>
      </c>
      <c r="B6" s="287"/>
      <c r="C6" s="287"/>
      <c r="D6" s="287"/>
      <c r="E6" s="287"/>
    </row>
    <row r="7" spans="1:5" ht="88.5" hidden="1" customHeight="1">
      <c r="A7" s="287" t="str">
        <f>IF(malumot!B99="ha",dalolatnoma!A9:E9,dalolatnoma!A8:E8)</f>
        <v xml:space="preserve">«CLEVER MIKROMOLIYA TASHKILOTI» MChJning (1-tomon) vakili bo‘lgan  Surxondaryo filiali boshlig'i A.PARDAYEV, va O‘zbekiston Respublikasi fuqarosi  SHAYMARDANOVA SABOXAT YULDASHEVNA (2-tomon) va garov egasi 0 (3-tomon) 24 mart 2025 y.dan №659-SR Mikroqarz shartnomasiga muvofiq 1-tomon 2-tomonga berilgan mikroqarz bo‘yicha ta’minot sifatida taqdim etilgan, 2-tomonga mulk huquqi asosida tegishli bo‘lgan mulkning garov qiymatini kelishish muzokaralari o’tkazildi. </v>
      </c>
      <c r="B7" s="287"/>
      <c r="C7" s="287"/>
      <c r="D7" s="287"/>
      <c r="E7" s="287"/>
    </row>
    <row r="8" spans="1:5" ht="88.5" hidden="1" customHeight="1">
      <c r="A8" s="287" t="str">
        <f>""&amp;malumot!B153&amp;"ning (1-tomon) vakili bo‘lgan  "&amp;malumot!A156&amp;" "&amp;malumot!B156&amp;", va O‘zbekiston Respublikasi fuqarosi  "&amp;malumot!B5&amp;" (2-tomon) va garov egasi "&amp;malumot!C123&amp;" (3-tomon) "&amp;malumot!B74&amp;" "&amp;malumot!C64&amp;" shartnomasiga muvofiq 1-tomon 2-tomonga berilgan "&amp;malumot!B65&amp;" bo‘yicha ta’minot sifatida taqdim etilgan, 2-tomonga mulk huquqi asosida tegishli bo‘lgan mulkning garov qiymatini kelishish muzokaralari o’tkazildi. "</f>
        <v xml:space="preserve">«CLEVER MIKROMOLIYA TASHKILOTI» MChJning (1-tomon) vakili bo‘lgan  Surxondaryo filiali boshlig'i A.PARDAYEV, va O‘zbekiston Respublikasi fuqarosi  SHAYMARDANOVA SABOXAT YULDASHEVNA (2-tomon) va garov egasi 0 (3-tomon) 24 mart 2025 y.dan №659-SR Mikroqarz shartnomasiga muvofiq 1-tomon 2-tomonga berilgan mikroqarz bo‘yicha ta’minot sifatida taqdim etilgan, 2-tomonga mulk huquqi asosida tegishli bo‘lgan mulkning garov qiymatini kelishish muzokaralari o’tkazildi. </v>
      </c>
      <c r="B8" s="287"/>
      <c r="C8" s="287"/>
      <c r="D8" s="287"/>
      <c r="E8" s="287"/>
    </row>
    <row r="9" spans="1:5" ht="88.5" hidden="1" customHeight="1">
      <c r="A9" s="287" t="str">
        <f>""&amp;malumot!B153&amp;"ning (1-tomon) vakili bo‘lgan  "&amp;malumot!A156&amp;" "&amp;malumot!B156&amp;", va O‘zbekiston Respublikasi fuqarosi  "&amp;malumot!B5&amp;" (2-tomon) va garov egasi "&amp;malumot!C123&amp;" (3-tomon) "&amp;malumot!B74&amp;" "&amp;malumot!C64&amp;" shartnomasiga muvofiq 1-tomon 2-tomonga berilgan "&amp;malumot!B65&amp;" bo‘yicha ta’minot sifatida taqdim etilgan, 2-tomonga mulk huquqi asosida tegishli bo‘lgan mulkning garov qiymatini kelishish muzokaralari o’tkazildi. "</f>
        <v xml:space="preserve">«CLEVER MIKROMOLIYA TASHKILOTI» MChJning (1-tomon) vakili bo‘lgan  Surxondaryo filiali boshlig'i A.PARDAYEV, va O‘zbekiston Respublikasi fuqarosi  SHAYMARDANOVA SABOXAT YULDASHEVNA (2-tomon) va garov egasi 0 (3-tomon) 24 mart 2025 y.dan №659-SR Mikroqarz shartnomasiga muvofiq 1-tomon 2-tomonga berilgan mikroqarz bo‘yicha ta’minot sifatida taqdim etilgan, 2-tomonga mulk huquqi asosida tegishli bo‘lgan mulkning garov qiymatini kelishish muzokaralari o’tkazildi. </v>
      </c>
      <c r="B9" s="287"/>
      <c r="C9" s="287"/>
      <c r="D9" s="287"/>
      <c r="E9" s="287"/>
    </row>
    <row r="10" spans="1:5" ht="88.5" hidden="1" customHeight="1">
      <c r="A10" s="287" t="str">
        <f>IF(malumot!B99="ha",dalolatnoma!A12:E12,dalolatnoma!A11:E11)</f>
        <v>«CLEVER MIKROMOLIYA TASHKILOTI» MChJning (1-tomon) vakili bo‘lgan  Surxondaryo filiali boshlig'i A.PARDAYEV, O‘zbekiston Respublikasi fuqarosi SHAYMARDANOVA SABOXAT YULDASHEVNA (2-tomon) va garovga beruvchi O‘zbekiston Respublikasi fuqarosi XUDOYKULOV ALMURAT KURBONAZAROVICH (3-tomon) o’rtalarida, 24 mart 2025 y.dan №659-SR-sonli Mikroqarz shartnomasiga muvofiq 1-tomon 2-tomonga berilgan mikroqarz bo‘yicha ta’minot sifatida taqdim etilgan, 3-tomonga mulk huquqi asosida tegishli bo‘lgan mulkning garov qiymatini kelishish muzokaralari o’tkazildi.</v>
      </c>
      <c r="B10" s="287"/>
      <c r="C10" s="287"/>
      <c r="D10" s="287"/>
      <c r="E10" s="287"/>
    </row>
    <row r="11" spans="1:5" ht="88.5" hidden="1" customHeight="1">
      <c r="A11" s="287" t="str">
        <f>""&amp;malumot!B153&amp;"ning (1-tomon) vakili bo‘lgan  "&amp;malumot!A156&amp;" "&amp;malumot!B156&amp;", O‘zbekiston Respublikasi fuqarosi "&amp;malumot!B5&amp;" (2-tomon) va garovga beruvchi O‘zbekiston Respublikasi fuqarosi "&amp;malumot!B123&amp;" (3-tomon) o’rtalarida, "&amp;malumot!B74&amp;"-sonli "&amp;malumot!C64&amp;" shartnomasiga muvofiq 1-tomon 2-tomonga berilgan "&amp;malumot!B65&amp;" bo‘yicha ta’minot sifatida taqdim etilgan, 3-tomonga mulk huquqi asosida tegishli bo‘lgan mulkning garov qiymatini kelishish muzokaralari o’tkazildi."</f>
        <v>«CLEVER MIKROMOLIYA TASHKILOTI» MChJning (1-tomon) vakili bo‘lgan  Surxondaryo filiali boshlig'i A.PARDAYEV, O‘zbekiston Respublikasi fuqarosi SHAYMARDANOVA SABOXAT YULDASHEVNA (2-tomon) va garovga beruvchi O‘zbekiston Respublikasi fuqarosi XUDOYKULOV ALMURAT KURBONAZAROVICH (3-tomon) o’rtalarida, 24 mart 2025 y.dan №659-SR-sonli Mikroqarz shartnomasiga muvofiq 1-tomon 2-tomonga berilgan mikroqarz bo‘yicha ta’minot sifatida taqdim etilgan, 3-tomonga mulk huquqi asosida tegishli bo‘lgan mulkning garov qiymatini kelishish muzokaralari o’tkazildi.</v>
      </c>
      <c r="B11" s="287"/>
      <c r="C11" s="287"/>
      <c r="D11" s="287"/>
      <c r="E11" s="287"/>
    </row>
    <row r="12" spans="1:5" ht="88.5" hidden="1" customHeight="1">
      <c r="A12" s="287" t="str">
        <f>""&amp;malumot!B153&amp;"ning (1-tomon) vakili bo‘lgan  "&amp;malumot!A156&amp;" "&amp;malumot!B156&amp;", O‘zbekiston Respublikasi fuqarosi va garovga beruvchi "&amp;malumot!B5&amp;" (2-tomon) o’rtalarida, "&amp;malumot!B74&amp;"-sonli "&amp;malumot!C64&amp;" shartnomasiga muvofiq 1-tomon 2-tomonga berilgan "&amp;malumot!B65&amp;" bo‘yicha ta’minot sifatida taqdim etilgan, 2-tomonga mulk huquqi asosida tegishli bo‘lgan mulkning garov qiymatini kelishish muzokaralari o’tkazildi."</f>
        <v>«CLEVER MIKROMOLIYA TASHKILOTI» MChJning (1-tomon) vakili bo‘lgan  Surxondaryo filiali boshlig'i A.PARDAYEV, O‘zbekiston Respublikasi fuqarosi va garovga beruvchi SHAYMARDANOVA SABOXAT YULDASHEVNA (2-tomon) o’rtalarida, 24 mart 2025 y.dan №659-SR-sonli Mikroqarz shartnomasiga muvofiq 1-tomon 2-tomonga berilgan mikroqarz bo‘yicha ta’minot sifatida taqdim etilgan, 2-tomonga mulk huquqi asosida tegishli bo‘lgan mulkning garov qiymatini kelishish muzokaralari o’tkazildi.</v>
      </c>
      <c r="B12" s="287"/>
      <c r="C12" s="287"/>
      <c r="D12" s="287"/>
      <c r="E12" s="287"/>
    </row>
    <row r="13" spans="1:5" ht="88.5" hidden="1" customHeight="1">
      <c r="A13" s="287" t="str">
        <f>"Garov predmeti sifatida "&amp;malumot!B131&amp;", 3-tomonga egalik huquqi tegishli bo'lgan, quyidagi tafsilotlarga ega avtotransport vositasi taqdim etiladi:"</f>
        <v>Garov predmeti sifatida LADA VESTA, 3-tomonga egalik huquqi tegishli bo'lgan, quyidagi tafsilotlarga ega avtotransport vositasi taqdim etiladi:</v>
      </c>
      <c r="B13" s="287"/>
      <c r="C13" s="287"/>
      <c r="D13" s="287"/>
      <c r="E13" s="287"/>
    </row>
    <row r="14" spans="1:5" ht="88.5" hidden="1" customHeight="1">
      <c r="A14" s="287" t="str">
        <f>"Garov predmeti sifatida "&amp;malumot!B131&amp;", 2-tomonga egalik huquqi tegishli bo'lgan, quyidagi tafsilotlarga ega avtotransport vositasi taqdim etiladi:"</f>
        <v>Garov predmeti sifatida LADA VESTA, 2-tomonga egalik huquqi tegishli bo'lgan, quyidagi tafsilotlarga ega avtotransport vositasi taqdim etiladi:</v>
      </c>
      <c r="B14" s="287"/>
      <c r="C14" s="287"/>
      <c r="D14" s="287"/>
      <c r="E14" s="287"/>
    </row>
    <row r="15" spans="1:5" ht="88.5" hidden="1" customHeight="1">
      <c r="A15" s="287" t="str">
        <f>IF(malumot!B99="ha",dalolatnoma!A14:E14,dalolatnoma!A13:E13)</f>
        <v>Garov predmeti sifatida LADA VESTA, 3-tomonga egalik huquqi tegishli bo'lgan, quyidagi tafsilotlarga ega avtotransport vositasi taqdim etiladi:</v>
      </c>
      <c r="B15" s="287"/>
      <c r="C15" s="287"/>
      <c r="D15" s="287"/>
      <c r="E15" s="287"/>
    </row>
    <row r="16" spans="1:5" ht="88.5" hidden="1" customHeight="1">
      <c r="A16" s="287" t="str">
        <f>"Garov predmeti sifatida "&amp;malumot!C132&amp;", 2-tomonga egalik huquqi tegishli bo'lgan, quyidagi tafsilotlarga ega ko'chmas mulk taqdim etiladi:"</f>
        <v>Garov predmeti sifatida 3 - xonali yakka tartibdagi uy-joy, 2-tomonga egalik huquqi tegishli bo'lgan, quyidagi tafsilotlarga ega ko'chmas mulk taqdim etiladi:</v>
      </c>
      <c r="B16" s="287"/>
      <c r="C16" s="287"/>
      <c r="D16" s="287"/>
      <c r="E16" s="287"/>
    </row>
    <row r="17" spans="1:5" ht="13.5" hidden="1" customHeight="1">
      <c r="A17" s="287" t="str">
        <f>"Garov predmeti sifatida "&amp;malumot!C132&amp;", 3-tomonga egalik huquqi tegishli bo'lgan, quyidagi tafsilotlarga ega ko'chmas mulk taqdim etiladi:"</f>
        <v>Garov predmeti sifatida 3 - xonali yakka tartibdagi uy-joy, 3-tomonga egalik huquqi tegishli bo'lgan, quyidagi tafsilotlarga ega ko'chmas mulk taqdim etiladi:</v>
      </c>
      <c r="B17" s="287"/>
      <c r="C17" s="287"/>
      <c r="D17" s="287"/>
      <c r="E17" s="287"/>
    </row>
    <row r="18" spans="1:5" ht="11.25" hidden="1" customHeight="1">
      <c r="A18" s="287" t="str">
        <f>IF(malumot!B99="ha",dalolatnoma!A16:E16,dalolatnoma!A17:E17)</f>
        <v>Garov predmeti sifatida 3 - xonali yakka tartibdagi uy-joy, 3-tomonga egalik huquqi tegishli bo'lgan, quyidagi tafsilotlarga ega ko'chmas mulk taqdim etiladi:</v>
      </c>
      <c r="B18" s="287"/>
      <c r="C18" s="287"/>
      <c r="D18" s="287"/>
      <c r="E18" s="287"/>
    </row>
    <row r="19" spans="1:5" ht="32.25" customHeight="1">
      <c r="A19" s="287" t="str">
        <f>IF(malumot!B109="Avtotransport",dalolatnoma!A15:E15,dalolatnoma!A18:E18)</f>
        <v>Garov predmeti sifatida LADA VESTA, 3-tomonga egalik huquqi tegishli bo'lgan, quyidagi tafsilotlarga ega avtotransport vositasi taqdim etiladi:</v>
      </c>
      <c r="B19" s="287"/>
      <c r="C19" s="287"/>
      <c r="D19" s="287"/>
      <c r="E19" s="287"/>
    </row>
    <row r="20" spans="1:5" ht="48" customHeight="1" outlineLevel="1">
      <c r="A20" s="39" t="s">
        <v>206</v>
      </c>
      <c r="B20" s="323" t="str">
        <f>IF(malumot!B109=malumot!C109,"Kuzov turi  va kuzov raqami*","Foydali maydoni")</f>
        <v>Kuzov turi  va kuzov raqami*</v>
      </c>
      <c r="C20" s="324"/>
      <c r="D20" s="39" t="str">
        <f>IF(malumot!B109=malumot!C109,"Dvigatel va shassi raqami*","Yashash maydoni")</f>
        <v>Dvigatel va shassi raqami*</v>
      </c>
      <c r="E20" s="39" t="str">
        <f>IF(malumot!B109=malumot!C109,"Ishlab chiqarilgan yili va rangi**","Umumiy maydoni")</f>
        <v>Ishlab chiqarilgan yili va rangi**</v>
      </c>
    </row>
    <row r="21" spans="1:5" ht="65.25" customHeight="1" outlineLevel="1">
      <c r="A21" s="17" t="str">
        <f>IF(malumot!B109=malumot!C109,malumot!B131,malumot!C131)</f>
        <v>LADA VESTA</v>
      </c>
      <c r="B21" s="320" t="str">
        <f>IF(malumot!B109=malumot!C109,malumot!B133,CONCATENATE(malumot!F136," ","kv.m"))</f>
        <v>kuzov turi - YENGIL SEDAN, kuzov raqami XTAGFL110KY258232</v>
      </c>
      <c r="C21" s="320"/>
      <c r="D21" s="17" t="str">
        <f>IF(malumot!B109=malumot!C109,malumot!B136,malumot!E139)</f>
        <v>dvigatel raqami 3977458, shassi raqami - RAKAMSIZ</v>
      </c>
      <c r="E21" s="17" t="str">
        <f>IF(malumot!B109=malumot!C109,malumot!B139,malumot!E136)</f>
        <v>rangi -  SARIQ JELTO- ORANJEVIY, ishlab chiqarilgan yili - 2019</v>
      </c>
    </row>
    <row r="22" spans="1:5" ht="17.25" customHeight="1" outlineLevel="1">
      <c r="A22" s="287" t="str">
        <f>"-* "&amp;IF(malumot!B109=malumot!C109,"avtotransport "&amp;"egasi: "&amp;malumot!B123&amp;"","ko'chmas mulk"&amp;" egasi: "&amp;malumot!B123&amp;"")</f>
        <v>-* avtotransport egasi: XUDOYKULOV ALMURAT KURBONAZAROVICH</v>
      </c>
      <c r="B22" s="287"/>
      <c r="C22" s="287"/>
      <c r="D22" s="287"/>
      <c r="E22" s="287"/>
    </row>
    <row r="23" spans="1:5" outlineLevel="1">
      <c r="A23" s="287" t="str">
        <f>IF(malumot!B109=malumot!C109,"-* texnik pasport: "&amp;malumot!B130&amp;"","-* reest raqami: "&amp;malumot!C130&amp;"")</f>
        <v>-* texnik pasport: AAG 3367573 24.01.2024 y.</v>
      </c>
      <c r="B23" s="287"/>
      <c r="C23" s="287"/>
      <c r="D23" s="287"/>
      <c r="E23" s="287"/>
    </row>
    <row r="24" spans="1:5" s="172" customFormat="1" outlineLevel="1">
      <c r="A24" s="287" t="str">
        <f>IF(malumot!B109=malumot!C109,"-* roʻyxatdan oʻtgan manzili/garaj manzili: "&amp;malumot!B128&amp;"","-*  kadastr raqami: "&amp;malumot!C133&amp;"")</f>
        <v>-* roʻyxatdan oʻtgan manzili/garaj manzili: SURXONDARYO VILOYATI JARQO'RG'ON TUMANI OQQURG'ON QFY QORAYONTOQ MFY IBN SINO KO'CHASI 114-UY</v>
      </c>
      <c r="B24" s="287"/>
      <c r="C24" s="287"/>
      <c r="D24" s="287"/>
      <c r="E24" s="287"/>
    </row>
    <row r="25" spans="1:5" ht="27" customHeight="1" outlineLevel="1">
      <c r="A25" s="287" t="str">
        <f>IF(malumot!B109=malumot!C109,"-* davlat raqami: "&amp;malumot!B132&amp;"","-* manzili: "&amp;malumot!C129&amp;"")</f>
        <v>-* davlat raqami: 75M497WA</v>
      </c>
      <c r="B25" s="287"/>
      <c r="C25" s="287"/>
      <c r="D25" s="287"/>
      <c r="E25" s="287"/>
    </row>
    <row r="26" spans="1:5" ht="65.25" customHeight="1">
      <c r="A26" s="287" t="str">
        <f>IF(malumot!B99="ha",dalolatnoma!A28:E28,dalolatnoma!A27:E27)</f>
        <v>Tomonlar o’rtasida o’tkazilgan muzokaralar natijalariga ko‘ra, 2-tomon ta’minot sifatida quyidagi tafsilotlarga ega bo’lgan garov predmetini taqdim etadi, 1-tomon esa ushbu garov predmetini  24 mart 2025 y.dan №659-SR mikroqarz shartnomasi bo‘yicha berilgan mikroqarz bo‘yicha  
78 000 000,00 (yetmish sakkiz million so'm) so’m bo‘lgan kelishilgan garov qiymatida qabul qiladi::</v>
      </c>
      <c r="B26" s="287"/>
      <c r="C26" s="287"/>
      <c r="D26" s="287"/>
      <c r="E26" s="287"/>
    </row>
    <row r="27" spans="1:5" ht="66" hidden="1" customHeight="1">
      <c r="A27" s="287" t="str">
        <f>"Tomonlar o’rtasida o’tkazilgan muzokaralar natijalariga ko‘ra, 2-tomon ta’minot sifatida quyidagi tafsilotlarga ega bo’lgan garov predmetini taqdim etadi, 1-tomon esa ushbu garov predmetini  "&amp;malumot!B74&amp;" "&amp;malumot!B65&amp;" shartnomasi bo‘yicha berilgan "&amp;malumot!B65&amp;" bo‘yicha  
"&amp;FIXED(malumot!B142,2)&amp;" ("&amp;malumot!B143&amp;") so’m bo‘lgan kelishilgan garov qiymatida qabul qiladi::"</f>
        <v>Tomonlar o’rtasida o’tkazilgan muzokaralar natijalariga ko‘ra, 2-tomon ta’minot sifatida quyidagi tafsilotlarga ega bo’lgan garov predmetini taqdim etadi, 1-tomon esa ushbu garov predmetini  24 mart 2025 y.dan №659-SR mikroqarz shartnomasi bo‘yicha berilgan mikroqarz bo‘yicha  
78 000 000,00 (yetmish sakkiz million so'm) so’m bo‘lgan kelishilgan garov qiymatida qabul qiladi::</v>
      </c>
      <c r="B27" s="287"/>
      <c r="C27" s="287"/>
      <c r="D27" s="287"/>
      <c r="E27" s="287"/>
    </row>
    <row r="28" spans="1:5" ht="58.5" hidden="1" customHeight="1">
      <c r="A28" s="287" t="str">
        <f>"Tomonlar o’rtasida o’tkazilgan muzokaralar natijalariga ko‘ra, 2-tomon ta’minot sifatida quyidagi tafsilotlarga ega bo’lgan garov predmetini taqdim etadi, 1-tomon esa ushbu garov predmetini  "&amp;malumot!B74&amp;" "&amp;malumot!C64&amp;" shartnomasi bo‘yicha berilgan "&amp;malumot!B65&amp;" bo‘yicha  
"&amp;FIXED(malumot!B142,2)&amp;" ("&amp;malumot!B143&amp;") so’m bo‘lgan kelishilgan garov qiymatida qabul qiladi::"</f>
        <v>Tomonlar o’rtasida o’tkazilgan muzokaralar natijalariga ko‘ra, 2-tomon ta’minot sifatida quyidagi tafsilotlarga ega bo’lgan garov predmetini taqdim etadi, 1-tomon esa ushbu garov predmetini  24 mart 2025 y.dan №659-SR Mikroqarz shartnomasi bo‘yicha berilgan mikroqarz bo‘yicha  
78 000 000,00 (yetmish sakkiz million so'm) so’m bo‘lgan kelishilgan garov qiymatida qabul qiladi::</v>
      </c>
      <c r="B28" s="287"/>
      <c r="C28" s="287"/>
      <c r="D28" s="287"/>
      <c r="E28" s="287"/>
    </row>
    <row r="29" spans="1:5" ht="51.75" customHeight="1" outlineLevel="1">
      <c r="A29" s="39" t="s">
        <v>206</v>
      </c>
      <c r="B29" s="39" t="str">
        <f>B20</f>
        <v>Kuzov turi  va kuzov raqami*</v>
      </c>
      <c r="C29" s="39" t="str">
        <f>D20</f>
        <v>Dvigatel va shassi raqami*</v>
      </c>
      <c r="D29" s="39" t="str">
        <f>IF(malumot!B109=malumot!C109,"Ishlab chiqarilgan yili va rangi*","Foydalanishga topshirilgan sanasi")</f>
        <v>Ishlab chiqarilgan yili va rangi*</v>
      </c>
      <c r="E29" s="39" t="s">
        <v>207</v>
      </c>
    </row>
    <row r="30" spans="1:5" ht="76.5" customHeight="1" outlineLevel="1">
      <c r="A30" s="17" t="str">
        <f>A21</f>
        <v>LADA VESTA</v>
      </c>
      <c r="B30" s="17" t="str">
        <f>B21</f>
        <v>kuzov turi - YENGIL SEDAN, kuzov raqami XTAGFL110KY258232</v>
      </c>
      <c r="C30" s="17" t="str">
        <f>D21</f>
        <v>dvigatel raqami 3977458, shassi raqami - RAKAMSIZ</v>
      </c>
      <c r="D30" s="17" t="str">
        <f>IF(malumot!B109=malumot!C109,E21,TEXT(malumot!C141,"ДД.ММ.ГГГГ"))</f>
        <v>rangi -  SARIQ JELTO- ORANJEVIY, ishlab chiqarilgan yili - 2019</v>
      </c>
      <c r="E30" s="17" t="str">
        <f>""&amp;FIXED(malumot!B142,2)&amp;" 
("&amp;malumot!B143&amp;")"</f>
        <v>78 000 000,00 
(yetmish sakkiz million so'm)</v>
      </c>
    </row>
    <row r="31" spans="1:5" ht="16.5" customHeight="1">
      <c r="A31" s="16"/>
      <c r="B31" s="16"/>
      <c r="C31" s="16"/>
      <c r="D31" s="16"/>
      <c r="E31" s="16"/>
    </row>
    <row r="32" spans="1:5" ht="56.25" hidden="1" customHeight="1" outlineLevel="1">
      <c r="A32" s="39" t="s">
        <v>5</v>
      </c>
      <c r="B32" s="39" t="s">
        <v>19</v>
      </c>
      <c r="C32" s="39" t="s">
        <v>20</v>
      </c>
      <c r="D32" s="39" t="s">
        <v>21</v>
      </c>
      <c r="E32" s="39" t="s">
        <v>6</v>
      </c>
    </row>
    <row r="33" spans="1:5" ht="15.75" hidden="1" customHeight="1" outlineLevel="1">
      <c r="A33" s="17" t="e">
        <f>#REF!</f>
        <v>#REF!</v>
      </c>
      <c r="B33" s="107" t="e">
        <f>#REF!</f>
        <v>#REF!</v>
      </c>
      <c r="C33" s="107" t="e">
        <f>#REF!</f>
        <v>#REF!</v>
      </c>
      <c r="D33" s="107" t="e">
        <f>#REF!</f>
        <v>#REF!</v>
      </c>
      <c r="E33" s="327" t="str">
        <f>""&amp;FIXED(malumot!C142,2)&amp;" ("&amp;malumot!B143&amp;")"</f>
        <v>78 000 000,00 (yetmish sakkiz million so'm)</v>
      </c>
    </row>
    <row r="34" spans="1:5" ht="15.75" hidden="1" customHeight="1" outlineLevel="1">
      <c r="A34" s="17"/>
      <c r="B34" s="107"/>
      <c r="C34" s="107"/>
      <c r="D34" s="107"/>
      <c r="E34" s="328"/>
    </row>
    <row r="35" spans="1:5" ht="15.75" hidden="1" customHeight="1" outlineLevel="1">
      <c r="A35" s="17" t="e">
        <f>#REF!</f>
        <v>#REF!</v>
      </c>
      <c r="B35" s="107" t="e">
        <f>#REF!</f>
        <v>#REF!</v>
      </c>
      <c r="C35" s="107" t="e">
        <f>#REF!</f>
        <v>#REF!</v>
      </c>
      <c r="D35" s="107" t="e">
        <f>#REF!</f>
        <v>#REF!</v>
      </c>
      <c r="E35" s="328"/>
    </row>
    <row r="36" spans="1:5" ht="15.75" hidden="1" customHeight="1" outlineLevel="1">
      <c r="A36" s="17" t="e">
        <f>#REF!</f>
        <v>#REF!</v>
      </c>
      <c r="B36" s="107" t="e">
        <f>#REF!</f>
        <v>#REF!</v>
      </c>
      <c r="C36" s="107" t="e">
        <f>#REF!</f>
        <v>#REF!</v>
      </c>
      <c r="D36" s="107" t="e">
        <f>#REF!</f>
        <v>#REF!</v>
      </c>
      <c r="E36" s="328"/>
    </row>
    <row r="37" spans="1:5" ht="15.75" hidden="1" customHeight="1" outlineLevel="1">
      <c r="A37" s="17" t="e">
        <f>#REF!</f>
        <v>#REF!</v>
      </c>
      <c r="B37" s="107" t="e">
        <f>#REF!</f>
        <v>#REF!</v>
      </c>
      <c r="C37" s="107" t="e">
        <f>#REF!</f>
        <v>#REF!</v>
      </c>
      <c r="D37" s="107" t="e">
        <f>#REF!</f>
        <v>#REF!</v>
      </c>
      <c r="E37" s="328"/>
    </row>
    <row r="38" spans="1:5" ht="15.75" hidden="1" customHeight="1" outlineLevel="1">
      <c r="A38" s="17" t="e">
        <f>#REF!</f>
        <v>#REF!</v>
      </c>
      <c r="B38" s="107" t="e">
        <f>#REF!</f>
        <v>#REF!</v>
      </c>
      <c r="C38" s="107" t="e">
        <f>#REF!</f>
        <v>#REF!</v>
      </c>
      <c r="D38" s="107" t="e">
        <f>#REF!</f>
        <v>#REF!</v>
      </c>
      <c r="E38" s="328"/>
    </row>
    <row r="39" spans="1:5" ht="15.75" hidden="1" customHeight="1" outlineLevel="1">
      <c r="A39" s="17" t="e">
        <f>#REF!</f>
        <v>#REF!</v>
      </c>
      <c r="B39" s="107" t="e">
        <f>#REF!</f>
        <v>#REF!</v>
      </c>
      <c r="C39" s="107" t="e">
        <f>#REF!</f>
        <v>#REF!</v>
      </c>
      <c r="D39" s="107" t="e">
        <f>#REF!</f>
        <v>#REF!</v>
      </c>
      <c r="E39" s="328"/>
    </row>
    <row r="40" spans="1:5" ht="15.75" hidden="1" customHeight="1" outlineLevel="1">
      <c r="A40" s="17" t="e">
        <f>#REF!</f>
        <v>#REF!</v>
      </c>
      <c r="B40" s="107" t="e">
        <f>#REF!</f>
        <v>#REF!</v>
      </c>
      <c r="C40" s="107" t="e">
        <f>#REF!</f>
        <v>#REF!</v>
      </c>
      <c r="D40" s="107" t="e">
        <f>#REF!</f>
        <v>#REF!</v>
      </c>
      <c r="E40" s="328"/>
    </row>
    <row r="41" spans="1:5" ht="15.75" hidden="1" customHeight="1" outlineLevel="1">
      <c r="A41" s="17" t="e">
        <f>#REF!</f>
        <v>#REF!</v>
      </c>
      <c r="B41" s="107" t="e">
        <f>#REF!</f>
        <v>#REF!</v>
      </c>
      <c r="C41" s="107" t="e">
        <f>#REF!</f>
        <v>#REF!</v>
      </c>
      <c r="D41" s="107" t="e">
        <f>#REF!</f>
        <v>#REF!</v>
      </c>
      <c r="E41" s="328"/>
    </row>
    <row r="42" spans="1:5" ht="15.75" hidden="1" customHeight="1" outlineLevel="1">
      <c r="A42" s="17" t="e">
        <f>#REF!</f>
        <v>#REF!</v>
      </c>
      <c r="B42" s="107" t="e">
        <f>#REF!</f>
        <v>#REF!</v>
      </c>
      <c r="C42" s="107" t="e">
        <f>#REF!</f>
        <v>#REF!</v>
      </c>
      <c r="D42" s="107" t="e">
        <f>#REF!</f>
        <v>#REF!</v>
      </c>
      <c r="E42" s="328"/>
    </row>
    <row r="43" spans="1:5" ht="15.75" hidden="1" customHeight="1" outlineLevel="1">
      <c r="A43" s="17" t="e">
        <f>#REF!</f>
        <v>#REF!</v>
      </c>
      <c r="B43" s="17" t="e">
        <f>#REF!</f>
        <v>#REF!</v>
      </c>
      <c r="C43" s="17" t="e">
        <f>#REF!</f>
        <v>#REF!</v>
      </c>
      <c r="D43" s="17" t="e">
        <f>#REF!</f>
        <v>#REF!</v>
      </c>
      <c r="E43" s="329"/>
    </row>
    <row r="44" spans="1:5" s="37" customFormat="1" ht="15.75" hidden="1" customHeight="1" outlineLevel="1">
      <c r="A44" s="39" t="e">
        <f>#REF!</f>
        <v>#REF!</v>
      </c>
      <c r="B44" s="39" t="e">
        <f>#REF!</f>
        <v>#REF!</v>
      </c>
      <c r="C44" s="39" t="e">
        <f>#REF!</f>
        <v>#REF!</v>
      </c>
      <c r="D44" s="39" t="e">
        <f>#REF!</f>
        <v>#REF!</v>
      </c>
      <c r="E44" s="39" t="str">
        <f>FIXED(malumot!C142,2)</f>
        <v>78 000 000,00</v>
      </c>
    </row>
    <row r="45" spans="1:5" ht="12.75" customHeight="1" collapsed="1">
      <c r="A45" s="16"/>
      <c r="B45" s="16"/>
      <c r="C45" s="16"/>
      <c r="D45" s="16"/>
      <c r="E45" s="16"/>
    </row>
    <row r="46" spans="1:5" ht="93.75" hidden="1" customHeight="1">
      <c r="A46" s="287"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87"/>
      <c r="C46" s="287"/>
      <c r="D46" s="287"/>
      <c r="E46" s="287"/>
    </row>
    <row r="47" spans="1:5" ht="42" customHeight="1">
      <c r="A47" s="287" t="s">
        <v>210</v>
      </c>
      <c r="B47" s="287"/>
      <c r="C47" s="287"/>
      <c r="D47" s="287"/>
      <c r="E47" s="287"/>
    </row>
    <row r="48" spans="1:5" ht="35.25" customHeight="1">
      <c r="A48" s="287" t="str">
        <f>"Shunday qilib, garov predmetining kelishilgan garov qiymati  "&amp;FIXED(malumot!B142)&amp;" ("&amp;malumot!B143&amp;") so‘mni tashkil etadi."</f>
        <v>Shunday qilib, garov predmetining kelishilgan garov qiymati  78 000 000,00 (yetmish sakkiz million so'm) so‘mni tashkil etadi.</v>
      </c>
      <c r="B48" s="287"/>
      <c r="C48" s="287"/>
      <c r="D48" s="287"/>
      <c r="E48" s="287"/>
    </row>
    <row r="49" spans="1:6" ht="35.25" hidden="1" customHeight="1">
      <c r="A49" s="19"/>
      <c r="B49" s="19"/>
      <c r="C49" s="19"/>
      <c r="D49" s="19">
        <f>IF(malumot!B98=malumot!C98,malumot!C142,IF(malumot!B98=malumot!D98,'Данные для послед. Залога'!M22,0))</f>
        <v>78000000</v>
      </c>
      <c r="E49" s="19" t="str">
        <f>IF(malumot!B98=malumot!C98,malumot!B143,IF(malumot!B98=malumot!D98,'Данные для послед. Залога'!Q22,0))</f>
        <v>yetmish sakkiz million so'm</v>
      </c>
    </row>
    <row r="50" spans="1:6">
      <c r="A50" s="326" t="s">
        <v>211</v>
      </c>
      <c r="B50" s="326"/>
      <c r="C50" s="326"/>
      <c r="D50" s="22"/>
      <c r="E50" s="22"/>
    </row>
    <row r="51" spans="1:6" ht="15" customHeight="1">
      <c r="A51" s="126" t="str">
        <f>malumot!B154</f>
        <v>«CLEVER MIKROMOLIYA TASHKILOTI» MChJ</v>
      </c>
      <c r="B51" s="260"/>
      <c r="C51" s="260"/>
      <c r="D51" s="158"/>
      <c r="E51" s="158"/>
    </row>
    <row r="52" spans="1:6" ht="15" customHeight="1">
      <c r="A52" s="258" t="str">
        <f>""&amp;malumot!A156&amp;""</f>
        <v>Surxondaryo filiali boshlig'i</v>
      </c>
      <c r="B52" s="258"/>
      <c r="C52" s="258"/>
      <c r="D52" s="264"/>
      <c r="E52" s="264" t="str">
        <f>malumot!B156</f>
        <v>A.PARDAYEV</v>
      </c>
    </row>
    <row r="53" spans="1:6">
      <c r="A53" s="53"/>
      <c r="B53" s="53"/>
      <c r="C53" s="53"/>
      <c r="D53" s="53"/>
      <c r="E53" s="53"/>
    </row>
    <row r="54" spans="1:6">
      <c r="A54" s="326"/>
      <c r="B54" s="326"/>
      <c r="C54" s="326"/>
      <c r="D54" s="53"/>
      <c r="E54" s="53"/>
    </row>
    <row r="55" spans="1:6" hidden="1">
      <c r="A55" s="288" t="s">
        <v>47</v>
      </c>
      <c r="B55" s="288"/>
      <c r="C55" s="288"/>
      <c r="D55" s="53"/>
      <c r="E55" s="53"/>
    </row>
    <row r="56" spans="1:6" hidden="1">
      <c r="A56" s="288" t="str">
        <f>malumot!B154</f>
        <v>«CLEVER MIKROMOLIYA TASHKILOTI» MChJ</v>
      </c>
      <c r="B56" s="288"/>
      <c r="C56" s="288"/>
      <c r="D56" s="288" t="str">
        <f>"_______________   "&amp;malumot!B165&amp;""</f>
        <v>_______________   B. Mominov</v>
      </c>
      <c r="E56" s="288"/>
    </row>
    <row r="57" spans="1:6" ht="12.75" customHeight="1">
      <c r="A57" s="288"/>
      <c r="B57" s="288"/>
      <c r="C57" s="288"/>
      <c r="D57" s="288"/>
      <c r="E57" s="288"/>
    </row>
    <row r="58" spans="1:6">
      <c r="A58" s="326" t="s">
        <v>212</v>
      </c>
      <c r="B58" s="326"/>
      <c r="C58" s="326"/>
      <c r="D58" s="288"/>
      <c r="E58" s="288"/>
    </row>
    <row r="59" spans="1:6" ht="31.5" customHeight="1">
      <c r="A59" s="288" t="s">
        <v>213</v>
      </c>
      <c r="B59" s="288"/>
      <c r="C59" s="288"/>
      <c r="D59" s="326" t="str">
        <f>"_______________  "&amp;malumot!B7&amp;""</f>
        <v>_______________  SHAYMARDANOVA S.Y.</v>
      </c>
      <c r="E59" s="326"/>
    </row>
    <row r="60" spans="1:6" ht="12.75" customHeight="1">
      <c r="A60" s="288"/>
      <c r="B60" s="288"/>
      <c r="C60" s="288"/>
      <c r="D60" s="325" t="str">
        <f>IF(malumot!B99="да","",malumot!B124)</f>
        <v>XUDOYKULOV A.K.</v>
      </c>
      <c r="E60" s="325"/>
    </row>
    <row r="61" spans="1:6" ht="17.25" customHeight="1">
      <c r="A61" s="326" t="str">
        <f>+IF(malumot!B99="ha"," ","3-tomondan:")</f>
        <v>3-tomondan:</v>
      </c>
      <c r="B61" s="326"/>
      <c r="C61" s="326"/>
      <c r="D61" s="326"/>
      <c r="E61" s="326"/>
      <c r="F61" s="15" t="str">
        <f>IF(malumot!B100=malumot!D100,B7,"")</f>
        <v/>
      </c>
    </row>
    <row r="62" spans="1:6" ht="17.25" customHeight="1">
      <c r="A62" s="288" t="str">
        <f>+IF(malumot!B99="ha"," ","O'zbekiston Respublikasi fuqarosi")</f>
        <v>O'zbekiston Respublikasi fuqarosi</v>
      </c>
      <c r="B62" s="288"/>
      <c r="C62" s="288"/>
      <c r="D62" s="326" t="str">
        <f>"_______________  "&amp;malumot!B118&amp;""</f>
        <v>_______________  XUDOYKULOV A.K.</v>
      </c>
      <c r="E62" s="326"/>
    </row>
    <row r="63" spans="1:6" ht="63.75" customHeight="1">
      <c r="A63" s="180" t="str">
        <f>IF(malumot!B100=malumot!C100,"_______________  "&amp;malumot!B118&amp;"","_______________  "&amp;malumot!B7&amp;"")</f>
        <v>_______________  XUDOYKULOV A.K.</v>
      </c>
      <c r="B63" s="53"/>
      <c r="C63" s="288" t="str">
        <f>'заявление залогодателя'!A20</f>
        <v/>
      </c>
      <c r="D63" s="288"/>
      <c r="E63" s="288"/>
    </row>
    <row r="64" spans="1:6" ht="6.75" customHeight="1">
      <c r="D64" s="312"/>
      <c r="E64" s="312"/>
    </row>
  </sheetData>
  <mergeCells count="48">
    <mergeCell ref="A56:C56"/>
    <mergeCell ref="D56:E56"/>
    <mergeCell ref="A27:E27"/>
    <mergeCell ref="A50:C50"/>
    <mergeCell ref="A46:E46"/>
    <mergeCell ref="A47:E47"/>
    <mergeCell ref="E33:E43"/>
    <mergeCell ref="A28:E28"/>
    <mergeCell ref="A48:E48"/>
    <mergeCell ref="D64:E64"/>
    <mergeCell ref="A2:E2"/>
    <mergeCell ref="A11:E11"/>
    <mergeCell ref="A12:E12"/>
    <mergeCell ref="A13:E13"/>
    <mergeCell ref="A10:E10"/>
    <mergeCell ref="A5:E5"/>
    <mergeCell ref="A6:E6"/>
    <mergeCell ref="A7:E7"/>
    <mergeCell ref="A8:E8"/>
    <mergeCell ref="A9:E9"/>
    <mergeCell ref="C63:E63"/>
    <mergeCell ref="A26:E26"/>
    <mergeCell ref="A25:E25"/>
    <mergeCell ref="A54:C54"/>
    <mergeCell ref="A55:C55"/>
    <mergeCell ref="A57:C57"/>
    <mergeCell ref="D57:E57"/>
    <mergeCell ref="A58:C58"/>
    <mergeCell ref="D58:E58"/>
    <mergeCell ref="A59:C59"/>
    <mergeCell ref="D59:E59"/>
    <mergeCell ref="A60:C60"/>
    <mergeCell ref="D60:E60"/>
    <mergeCell ref="A61:C61"/>
    <mergeCell ref="D61:E61"/>
    <mergeCell ref="A62:C62"/>
    <mergeCell ref="D62:E62"/>
    <mergeCell ref="A14:E14"/>
    <mergeCell ref="A15:E15"/>
    <mergeCell ref="A16:E16"/>
    <mergeCell ref="A17:E17"/>
    <mergeCell ref="A18:E18"/>
    <mergeCell ref="A19:E19"/>
    <mergeCell ref="A24:E24"/>
    <mergeCell ref="B20:C20"/>
    <mergeCell ref="B21:C21"/>
    <mergeCell ref="A22:E22"/>
    <mergeCell ref="A23:E23"/>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12">
    <tabColor rgb="FF00B050"/>
  </sheetPr>
  <dimension ref="A1:P65"/>
  <sheetViews>
    <sheetView view="pageBreakPreview" zoomScaleNormal="100" zoomScaleSheetLayoutView="100" workbookViewId="0">
      <selection activeCell="A59" sqref="A59"/>
    </sheetView>
  </sheetViews>
  <sheetFormatPr defaultColWidth="9.140625" defaultRowHeight="15" outlineLevelCol="1"/>
  <cols>
    <col min="1" max="1" width="9.140625" style="15"/>
    <col min="2" max="2" width="13.7109375" style="15" customWidth="1"/>
    <col min="3" max="3" width="20.140625" style="15" customWidth="1"/>
    <col min="4" max="4" width="20.28515625" style="15" customWidth="1"/>
    <col min="5" max="5" width="19.5703125" style="15" customWidth="1"/>
    <col min="6" max="6" width="18.28515625" style="15" customWidth="1"/>
    <col min="7" max="7" width="10.140625" style="15" customWidth="1" outlineLevel="1"/>
    <col min="8" max="8" width="19.7109375" style="15" customWidth="1"/>
    <col min="9" max="10" width="9.140625" style="15" customWidth="1"/>
    <col min="11" max="16384" width="9.140625" style="15"/>
  </cols>
  <sheetData>
    <row r="1" spans="1:16" ht="9" customHeight="1"/>
    <row r="2" spans="1:16" ht="6" customHeight="1">
      <c r="A2" s="37"/>
      <c r="B2" s="37"/>
      <c r="C2" s="37"/>
      <c r="D2" s="37"/>
      <c r="E2" s="317"/>
      <c r="F2" s="317"/>
      <c r="G2" s="20"/>
    </row>
    <row r="3" spans="1:16" ht="77.25" customHeight="1">
      <c r="A3" s="37"/>
      <c r="B3" s="37"/>
      <c r="C3" s="37"/>
      <c r="D3" s="37"/>
      <c r="E3" s="332" t="str">
        <f>""&amp;malumot!B74&amp;" 
"&amp;malumot!B65&amp;" shartnomasiga 
1 sonli ilova"</f>
        <v>24 mart 2025 y.dan №659-SR 
mikroqarz shartnomasiga 
1 sonli ilova</v>
      </c>
      <c r="F3" s="332"/>
      <c r="G3" s="20"/>
    </row>
    <row r="4" spans="1:16" ht="6.75" customHeight="1">
      <c r="A4" s="37"/>
      <c r="B4" s="37"/>
      <c r="C4" s="37"/>
      <c r="D4" s="37"/>
      <c r="E4" s="37"/>
      <c r="F4" s="37"/>
    </row>
    <row r="5" spans="1:16">
      <c r="A5" s="318" t="s">
        <v>264</v>
      </c>
      <c r="B5" s="318"/>
      <c r="C5" s="318"/>
      <c r="D5" s="318"/>
      <c r="E5" s="318"/>
      <c r="F5" s="318"/>
    </row>
    <row r="6" spans="1:16" ht="7.5" customHeight="1"/>
    <row r="7" spans="1:16" ht="15" customHeight="1">
      <c r="A7" s="319" t="s">
        <v>15</v>
      </c>
      <c r="B7" s="320" t="s">
        <v>265</v>
      </c>
      <c r="C7" s="320" t="s">
        <v>266</v>
      </c>
      <c r="D7" s="321" t="s">
        <v>267</v>
      </c>
      <c r="E7" s="321"/>
      <c r="F7" s="321"/>
    </row>
    <row r="8" spans="1:16" s="16" customFormat="1">
      <c r="A8" s="319"/>
      <c r="B8" s="320"/>
      <c r="C8" s="320"/>
      <c r="D8" s="17" t="s">
        <v>268</v>
      </c>
      <c r="E8" s="17" t="s">
        <v>269</v>
      </c>
      <c r="F8" s="17" t="s">
        <v>270</v>
      </c>
    </row>
    <row r="9" spans="1:16">
      <c r="A9" s="18">
        <v>1</v>
      </c>
      <c r="B9" s="33">
        <f>'График аннуитет.'!B8</f>
        <v>45748</v>
      </c>
      <c r="C9" s="34">
        <f>IF(malumot!$B$77=malumot!$C$77,'График дифференц'!C8,IF(malumot!$B$77=malumot!$D$77,'График аннуитет.'!C8))</f>
        <v>52000000</v>
      </c>
      <c r="D9" s="34">
        <f>IF(malumot!$B$77=malumot!$C$77,'График дифференц'!D8,IF(malumot!$B$77=malumot!$D$77,'График аннуитет.'!D8))</f>
        <v>1444444.44</v>
      </c>
      <c r="E9" s="34">
        <f>IF(malumot!$B$77=malumot!$C$77,'График дифференц'!E8,IF(malumot!$B$77=malumot!$D$77,'График аннуитет.'!E8))</f>
        <v>683835.6</v>
      </c>
      <c r="F9" s="34">
        <f>IF(malumot!$B$77=malumot!$C$77,'График дифференц'!F8,IF(malumot!$B$77=malumot!$D$77,'График аннуитет.'!F8))</f>
        <v>2128280.04</v>
      </c>
    </row>
    <row r="10" spans="1:16">
      <c r="A10" s="18">
        <v>2</v>
      </c>
      <c r="B10" s="33">
        <f>'График аннуитет.'!B9</f>
        <v>45778</v>
      </c>
      <c r="C10" s="34">
        <f>IF(malumot!$B$77=malumot!$C$77,'График дифференц'!C9,IF(malumot!$B$77=malumot!$D$77,'График аннуитет.'!C9))</f>
        <v>50555555.560000002</v>
      </c>
      <c r="D10" s="34">
        <f>IF(malumot!$B$77=malumot!$C$77,'График дифференц'!D9,IF(malumot!$B$77=malumot!$D$77,'График аннуитет.'!D9))</f>
        <v>1444444.44</v>
      </c>
      <c r="E10" s="34">
        <f>IF(malumot!$B$77=malumot!$C$77,'График дифференц'!E9,IF(malumot!$B$77=malumot!$D$77,'График аннуитет.'!E9))</f>
        <v>2493150.6</v>
      </c>
      <c r="F10" s="34">
        <f>IF(malumot!$B$77=malumot!$C$77,'График дифференц'!F9,IF(malumot!$B$77=malumot!$D$77,'График аннуитет.'!F9))</f>
        <v>3937595.04</v>
      </c>
    </row>
    <row r="11" spans="1:16">
      <c r="A11" s="18">
        <v>3</v>
      </c>
      <c r="B11" s="33">
        <f>'График аннуитет.'!B10</f>
        <v>45810</v>
      </c>
      <c r="C11" s="34">
        <f>IF(malumot!$B$77=malumot!$C$77,'График дифференц'!C10,IF(malumot!$B$77=malumot!$D$77,'График аннуитет.'!C10))</f>
        <v>49111111.120000005</v>
      </c>
      <c r="D11" s="34">
        <f>IF(malumot!$B$77=malumot!$C$77,'График дифференц'!D10,IF(malumot!$B$77=malumot!$D$77,'График аннуитет.'!D10))</f>
        <v>1444444.44</v>
      </c>
      <c r="E11" s="34">
        <f>IF(malumot!$B$77=malumot!$C$77,'График дифференц'!E10,IF(malumot!$B$77=malumot!$D$77,'График аннуитет.'!E10))</f>
        <v>2583378.88</v>
      </c>
      <c r="F11" s="34">
        <f>IF(malumot!$B$77=malumot!$C$77,'График дифференц'!F10,IF(malumot!$B$77=malumot!$D$77,'График аннуитет.'!F10))</f>
        <v>4027823.32</v>
      </c>
    </row>
    <row r="12" spans="1:16">
      <c r="A12" s="18">
        <v>4</v>
      </c>
      <c r="B12" s="33">
        <f>'График аннуитет.'!B11</f>
        <v>45839</v>
      </c>
      <c r="C12" s="34">
        <f>IF(malumot!$B$77=malumot!$C$77,'График дифференц'!C11,IF(malumot!$B$77=malumot!$D$77,'График аннуитет.'!C11))</f>
        <v>47666666.680000007</v>
      </c>
      <c r="D12" s="34">
        <f>IF(malumot!$B$77=malumot!$C$77,'График дифференц'!D11,IF(malumot!$B$77=malumot!$D$77,'График аннуитет.'!D11))</f>
        <v>1444444.44</v>
      </c>
      <c r="E12" s="34">
        <f>IF(malumot!$B$77=malumot!$C$77,'График дифференц'!E11,IF(malumot!$B$77=malumot!$D$77,'График аннуитет.'!E11))</f>
        <v>2272328.64</v>
      </c>
      <c r="F12" s="34">
        <f>IF(malumot!$B$77=malumot!$C$77,'График дифференц'!F11,IF(malumot!$B$77=malumot!$D$77,'График аннуитет.'!F11))</f>
        <v>3716773.08</v>
      </c>
      <c r="H12" s="331" t="s">
        <v>375</v>
      </c>
      <c r="I12" s="331"/>
      <c r="J12" s="331"/>
      <c r="K12" s="331"/>
      <c r="L12" s="331"/>
      <c r="M12" s="331"/>
      <c r="N12" s="331"/>
      <c r="O12" s="331"/>
      <c r="P12" s="331"/>
    </row>
    <row r="13" spans="1:16">
      <c r="A13" s="18">
        <v>5</v>
      </c>
      <c r="B13" s="33">
        <f>'График аннуитет.'!B12</f>
        <v>45870</v>
      </c>
      <c r="C13" s="34">
        <f>IF(malumot!$B$77=malumot!$C$77,'График дифференц'!C12,IF(malumot!$B$77=malumot!$D$77,'График аннуитет.'!C12))</f>
        <v>46222222.24000001</v>
      </c>
      <c r="D13" s="34">
        <f>IF(malumot!$B$77=malumot!$C$77,'График дифференц'!D12,IF(malumot!$B$77=malumot!$D$77,'График аннуитет.'!D12))</f>
        <v>1444444.44</v>
      </c>
      <c r="E13" s="34">
        <f>IF(malumot!$B$77=malumot!$C$77,'График дифференц'!E12,IF(malumot!$B$77=malumot!$D$77,'График аннуитет.'!E12))</f>
        <v>2355433.94</v>
      </c>
      <c r="F13" s="34">
        <f>IF(malumot!$B$77=malumot!$C$77,'График дифференц'!F12,IF(malumot!$B$77=malumot!$D$77,'График аннуитет.'!F12))</f>
        <v>3799878.38</v>
      </c>
      <c r="H13" s="331"/>
      <c r="I13" s="331"/>
      <c r="J13" s="331"/>
      <c r="K13" s="331"/>
      <c r="L13" s="331"/>
      <c r="M13" s="331"/>
      <c r="N13" s="331"/>
      <c r="O13" s="331"/>
      <c r="P13" s="331"/>
    </row>
    <row r="14" spans="1:16">
      <c r="A14" s="18">
        <v>6</v>
      </c>
      <c r="B14" s="33">
        <f>'График аннуитет.'!B13</f>
        <v>45901</v>
      </c>
      <c r="C14" s="34">
        <f>IF(malumot!$B$77=malumot!$C$77,'График дифференц'!C13,IF(malumot!$B$77=malumot!$D$77,'График аннуитет.'!C13))</f>
        <v>44777777.800000012</v>
      </c>
      <c r="D14" s="34">
        <f>IF(malumot!$B$77=malumot!$C$77,'График дифференц'!D13,IF(malumot!$B$77=malumot!$D$77,'График аннуитет.'!D13))</f>
        <v>1444444.44</v>
      </c>
      <c r="E14" s="34">
        <f>IF(malumot!$B$77=malumot!$C$77,'График дифференц'!E13,IF(malumot!$B$77=malumot!$D$77,'График аннуитет.'!E13))</f>
        <v>2281826.61</v>
      </c>
      <c r="F14" s="34">
        <f>IF(malumot!$B$77=malumot!$C$77,'График дифференц'!F13,IF(malumot!$B$77=malumot!$D$77,'График аннуитет.'!F13))</f>
        <v>3726271.05</v>
      </c>
      <c r="H14" s="331"/>
      <c r="I14" s="331"/>
      <c r="J14" s="331"/>
      <c r="K14" s="331"/>
      <c r="L14" s="331"/>
      <c r="M14" s="331"/>
      <c r="N14" s="331"/>
      <c r="O14" s="331"/>
      <c r="P14" s="331"/>
    </row>
    <row r="15" spans="1:16">
      <c r="A15" s="18">
        <v>7</v>
      </c>
      <c r="B15" s="33">
        <f>'График аннуитет.'!B14</f>
        <v>45931</v>
      </c>
      <c r="C15" s="34">
        <f>IF(malumot!$B$77=malumot!$C$77,'График дифференц'!C14,IF(malumot!$B$77=malumot!$D$77,'График аннуитет.'!C14))</f>
        <v>43333333.360000014</v>
      </c>
      <c r="D15" s="34">
        <f>IF(malumot!$B$77=malumot!$C$77,'График дифференц'!D14,IF(malumot!$B$77=malumot!$D$77,'График аннуитет.'!D14))</f>
        <v>1444444.44</v>
      </c>
      <c r="E15" s="34">
        <f>IF(malumot!$B$77=malumot!$C$77,'График дифференц'!E14,IF(malumot!$B$77=malumot!$D$77,'График аннуитет.'!E14))</f>
        <v>2136986.4000000004</v>
      </c>
      <c r="F15" s="34">
        <f>IF(malumot!$B$77=malumot!$C$77,'График дифференц'!F14,IF(malumot!$B$77=malumot!$D$77,'График аннуитет.'!F14))</f>
        <v>3581430.8400000003</v>
      </c>
      <c r="H15" s="331"/>
      <c r="I15" s="331"/>
      <c r="J15" s="331"/>
      <c r="K15" s="331"/>
      <c r="L15" s="331"/>
      <c r="M15" s="331"/>
      <c r="N15" s="331"/>
      <c r="O15" s="331"/>
      <c r="P15" s="331"/>
    </row>
    <row r="16" spans="1:16">
      <c r="A16" s="18">
        <v>8</v>
      </c>
      <c r="B16" s="33">
        <f>'График аннуитет.'!B15</f>
        <v>45964</v>
      </c>
      <c r="C16" s="34">
        <f>IF(malumot!$B$77=malumot!$C$77,'График дифференц'!C15,IF(malumot!$B$77=malumot!$D$77,'График аннуитет.'!C15))</f>
        <v>41888888.920000017</v>
      </c>
      <c r="D16" s="34">
        <f>IF(malumot!$B$77=malumot!$C$77,'График дифференц'!D15,IF(malumot!$B$77=malumot!$D$77,'График аннуитет.'!D15))</f>
        <v>1444444.44</v>
      </c>
      <c r="E16" s="34">
        <f>IF(malumot!$B$77=malumot!$C$77,'График дифференц'!E15,IF(malumot!$B$77=malumot!$D$77,'График аннуитет.'!E15))</f>
        <v>2272328.85</v>
      </c>
      <c r="F16" s="34">
        <f>IF(malumot!$B$77=malumot!$C$77,'График дифференц'!F15,IF(malumot!$B$77=malumot!$D$77,'График аннуитет.'!F15))</f>
        <v>3716773.29</v>
      </c>
      <c r="H16" s="331"/>
      <c r="I16" s="331"/>
      <c r="J16" s="331"/>
      <c r="K16" s="331"/>
      <c r="L16" s="331"/>
      <c r="M16" s="331"/>
      <c r="N16" s="331"/>
      <c r="O16" s="331"/>
      <c r="P16" s="331"/>
    </row>
    <row r="17" spans="1:16">
      <c r="A17" s="18">
        <v>9</v>
      </c>
      <c r="B17" s="33">
        <f>'График аннуитет.'!B16</f>
        <v>45992</v>
      </c>
      <c r="C17" s="34">
        <f>IF(malumot!$B$77=malumot!$C$77,'График дифференц'!C16,IF(malumot!$B$77=malumot!$D$77,'График аннуитет.'!C16))</f>
        <v>40444444.480000019</v>
      </c>
      <c r="D17" s="34">
        <f>IF(malumot!$B$77=malumot!$C$77,'График дифференц'!D16,IF(malumot!$B$77=malumot!$D$77,'График аннуитет.'!D16))</f>
        <v>1444444.44</v>
      </c>
      <c r="E17" s="34">
        <f>IF(malumot!$B$77=malumot!$C$77,'График дифференц'!E16,IF(malumot!$B$77=malumot!$D$77,'График аннуитет.'!E16))</f>
        <v>1861552.56</v>
      </c>
      <c r="F17" s="34">
        <f>IF(malumot!$B$77=malumot!$C$77,'График дифференц'!F16,IF(malumot!$B$77=malumot!$D$77,'График аннуитет.'!F16))</f>
        <v>3305997</v>
      </c>
      <c r="H17" s="331"/>
      <c r="I17" s="331"/>
      <c r="J17" s="331"/>
      <c r="K17" s="331"/>
      <c r="L17" s="331"/>
      <c r="M17" s="331"/>
      <c r="N17" s="331"/>
      <c r="O17" s="331"/>
      <c r="P17" s="331"/>
    </row>
    <row r="18" spans="1:16">
      <c r="A18" s="18">
        <v>10</v>
      </c>
      <c r="B18" s="33">
        <f>'График аннуитет.'!B17</f>
        <v>46023</v>
      </c>
      <c r="C18" s="34">
        <f>IF(malumot!$B$77=malumot!$C$77,'График дифференц'!C17,IF(malumot!$B$77=malumot!$D$77,'График аннуитет.'!C17))</f>
        <v>39000000.040000021</v>
      </c>
      <c r="D18" s="34">
        <f>IF(malumot!$B$77=malumot!$C$77,'График дифференц'!D17,IF(malumot!$B$77=malumot!$D$77,'График аннуитет.'!D17))</f>
        <v>1444444.44</v>
      </c>
      <c r="E18" s="34">
        <f>IF(malumot!$B$77=malumot!$C$77,'График дифференц'!E17,IF(malumot!$B$77=malumot!$D$77,'График аннуитет.'!E17))</f>
        <v>1987397.2899999998</v>
      </c>
      <c r="F18" s="34">
        <f>IF(malumot!$B$77=malumot!$C$77,'График дифференц'!F17,IF(malumot!$B$77=malumot!$D$77,'График аннуитет.'!F17))</f>
        <v>3431841.7299999995</v>
      </c>
      <c r="H18" s="331"/>
      <c r="I18" s="331"/>
      <c r="J18" s="331"/>
      <c r="K18" s="331"/>
      <c r="L18" s="331"/>
      <c r="M18" s="331"/>
      <c r="N18" s="331"/>
      <c r="O18" s="331"/>
      <c r="P18" s="331"/>
    </row>
    <row r="19" spans="1:16">
      <c r="A19" s="18">
        <v>11</v>
      </c>
      <c r="B19" s="33">
        <f>'График аннуитет.'!B18</f>
        <v>46055</v>
      </c>
      <c r="C19" s="34">
        <f>IF(malumot!$B$77=malumot!$C$77,'График дифференц'!C18,IF(malumot!$B$77=malumot!$D$77,'График аннуитет.'!C18))</f>
        <v>37555555.600000024</v>
      </c>
      <c r="D19" s="34">
        <f>IF(malumot!$B$77=malumot!$C$77,'График дифференц'!D18,IF(malumot!$B$77=malumot!$D$77,'График аннуитет.'!D18))</f>
        <v>1444444.44</v>
      </c>
      <c r="E19" s="34">
        <f>IF(malumot!$B$77=malumot!$C$77,'График дифференц'!E18,IF(malumot!$B$77=malumot!$D$77,'График аннуитет.'!E18))</f>
        <v>1975525.12</v>
      </c>
      <c r="F19" s="34">
        <f>IF(malumot!$B$77=malumot!$C$77,'График дифференц'!F18,IF(malumot!$B$77=malumot!$D$77,'График аннуитет.'!F18))</f>
        <v>3419969.56</v>
      </c>
      <c r="H19" s="331"/>
      <c r="I19" s="331"/>
      <c r="J19" s="331"/>
      <c r="K19" s="331"/>
      <c r="L19" s="331"/>
      <c r="M19" s="331"/>
      <c r="N19" s="331"/>
      <c r="O19" s="331"/>
      <c r="P19" s="331"/>
    </row>
    <row r="20" spans="1:16">
      <c r="A20" s="18">
        <v>12</v>
      </c>
      <c r="B20" s="33">
        <f>'График аннуитет.'!B19</f>
        <v>46083</v>
      </c>
      <c r="C20" s="34">
        <f>IF(malumot!$B$77=malumot!$C$77,'График дифференц'!C19,IF(malumot!$B$77=malumot!$D$77,'График аннуитет.'!C19))</f>
        <v>36111111.160000026</v>
      </c>
      <c r="D20" s="34">
        <f>IF(malumot!$B$77=malumot!$C$77,'График дифференц'!D19,IF(malumot!$B$77=malumot!$D$77,'График аннуитет.'!D19))</f>
        <v>1444444.44</v>
      </c>
      <c r="E20" s="34">
        <f>IF(malumot!$B$77=malumot!$C$77,'График дифференц'!E19,IF(malumot!$B$77=malumot!$D$77,'График аннуитет.'!E19))</f>
        <v>1662100.4400000002</v>
      </c>
      <c r="F20" s="34">
        <f>IF(malumot!$B$77=malumot!$C$77,'График дифференц'!F19,IF(malumot!$B$77=malumot!$D$77,'График аннуитет.'!F19))</f>
        <v>3106544.88</v>
      </c>
      <c r="H20" s="331"/>
      <c r="I20" s="331"/>
      <c r="J20" s="331"/>
      <c r="K20" s="331"/>
      <c r="L20" s="331"/>
      <c r="M20" s="331"/>
      <c r="N20" s="331"/>
      <c r="O20" s="331"/>
      <c r="P20" s="331"/>
    </row>
    <row r="21" spans="1:16">
      <c r="A21" s="18">
        <v>13</v>
      </c>
      <c r="B21" s="33">
        <f>'График аннуитет.'!B20</f>
        <v>46113</v>
      </c>
      <c r="C21" s="34">
        <f>IF(malumot!$B$77=malumot!$C$77,'График дифференц'!C20,IF(malumot!$B$77=malumot!$D$77,'График аннуитет.'!C20))</f>
        <v>34666666.720000029</v>
      </c>
      <c r="D21" s="34">
        <f>IF(malumot!$B$77=malumot!$C$77,'График дифференц'!D20,IF(malumot!$B$77=malumot!$D$77,'График аннуитет.'!D20))</f>
        <v>1444444.44</v>
      </c>
      <c r="E21" s="34">
        <f>IF(malumot!$B$77=malumot!$C$77,'График дифференц'!E20,IF(malumot!$B$77=malumot!$D$77,'График аннуитет.'!E20))</f>
        <v>1709589</v>
      </c>
      <c r="F21" s="34">
        <f>IF(malumot!$B$77=malumot!$C$77,'График дифференц'!F20,IF(malumot!$B$77=malumot!$D$77,'График аннуитет.'!F20))</f>
        <v>3154033.44</v>
      </c>
      <c r="H21" s="331"/>
      <c r="I21" s="331"/>
      <c r="J21" s="331"/>
      <c r="K21" s="331"/>
      <c r="L21" s="331"/>
      <c r="M21" s="331"/>
      <c r="N21" s="331"/>
      <c r="O21" s="331"/>
      <c r="P21" s="331"/>
    </row>
    <row r="22" spans="1:16">
      <c r="A22" s="18">
        <v>14</v>
      </c>
      <c r="B22" s="33">
        <f>'График аннуитет.'!B21</f>
        <v>46143</v>
      </c>
      <c r="C22" s="34">
        <f>IF(malumot!$B$77=malumot!$C$77,'График дифференц'!C21,IF(malumot!$B$77=malumot!$D$77,'График аннуитет.'!C21))</f>
        <v>33222222.280000027</v>
      </c>
      <c r="D22" s="34">
        <f>IF(malumot!$B$77=malumot!$C$77,'График дифференц'!D21,IF(malumot!$B$77=malumot!$D$77,'График аннуитет.'!D21))</f>
        <v>1444444.44</v>
      </c>
      <c r="E22" s="34">
        <f>IF(malumot!$B$77=malumot!$C$77,'График дифференц'!E21,IF(malumot!$B$77=malumot!$D$77,'График аннуитет.'!E21))</f>
        <v>1638356.1</v>
      </c>
      <c r="F22" s="34">
        <f>IF(malumot!$B$77=malumot!$C$77,'График дифференц'!F21,IF(malumot!$B$77=malumot!$D$77,'График аннуитет.'!F21))</f>
        <v>3082800.54</v>
      </c>
      <c r="H22" s="331"/>
      <c r="I22" s="331"/>
      <c r="J22" s="331"/>
      <c r="K22" s="331"/>
      <c r="L22" s="331"/>
      <c r="M22" s="331"/>
      <c r="N22" s="331"/>
      <c r="O22" s="331"/>
      <c r="P22" s="331"/>
    </row>
    <row r="23" spans="1:16">
      <c r="A23" s="18">
        <v>15</v>
      </c>
      <c r="B23" s="33">
        <f>'График аннуитет.'!B22</f>
        <v>46174</v>
      </c>
      <c r="C23" s="34">
        <f>IF(malumot!$B$77=malumot!$C$77,'График дифференц'!C22,IF(malumot!$B$77=malumot!$D$77,'График аннуитет.'!C22))</f>
        <v>31777777.840000026</v>
      </c>
      <c r="D23" s="34">
        <f>IF(malumot!$B$77=malumot!$C$77,'График дифференц'!D22,IF(malumot!$B$77=malumot!$D$77,'График аннуитет.'!D22))</f>
        <v>1444444.44</v>
      </c>
      <c r="E23" s="34">
        <f>IF(malumot!$B$77=malumot!$C$77,'График дифференц'!E22,IF(malumot!$B$77=malumot!$D$77,'График аннуитет.'!E22))</f>
        <v>1619360.6400000001</v>
      </c>
      <c r="F23" s="34">
        <f>IF(malumot!$B$77=malumot!$C$77,'График дифференц'!F22,IF(malumot!$B$77=malumot!$D$77,'График аннуитет.'!F22))</f>
        <v>3063805.08</v>
      </c>
      <c r="H23" s="331"/>
      <c r="I23" s="331"/>
      <c r="J23" s="331"/>
      <c r="K23" s="331"/>
      <c r="L23" s="331"/>
      <c r="M23" s="331"/>
      <c r="N23" s="331"/>
      <c r="O23" s="331"/>
      <c r="P23" s="331"/>
    </row>
    <row r="24" spans="1:16">
      <c r="A24" s="18">
        <v>16</v>
      </c>
      <c r="B24" s="33">
        <f>'График аннуитет.'!B23</f>
        <v>46204</v>
      </c>
      <c r="C24" s="34">
        <f>IF(malumot!$B$77=malumot!$C$77,'График дифференц'!C23,IF(malumot!$B$77=malumot!$D$77,'График аннуитет.'!C23))</f>
        <v>30333333.400000025</v>
      </c>
      <c r="D24" s="34">
        <f>IF(malumot!$B$77=malumot!$C$77,'График дифференц'!D23,IF(malumot!$B$77=malumot!$D$77,'График аннуитет.'!D23))</f>
        <v>1444444.44</v>
      </c>
      <c r="E24" s="34">
        <f>IF(malumot!$B$77=malumot!$C$77,'График дифференц'!E23,IF(malumot!$B$77=malumot!$D$77,'График аннуитет.'!E23))</f>
        <v>1495890.3</v>
      </c>
      <c r="F24" s="34">
        <f>IF(malumot!$B$77=malumot!$C$77,'График дифференц'!F23,IF(malumot!$B$77=malumot!$D$77,'График аннуитет.'!F23))</f>
        <v>2940334.74</v>
      </c>
      <c r="H24" s="331"/>
      <c r="I24" s="331"/>
      <c r="J24" s="331"/>
      <c r="K24" s="331"/>
      <c r="L24" s="331"/>
      <c r="M24" s="331"/>
      <c r="N24" s="331"/>
      <c r="O24" s="331"/>
      <c r="P24" s="331"/>
    </row>
    <row r="25" spans="1:16" ht="16.5" customHeight="1">
      <c r="A25" s="18">
        <v>17</v>
      </c>
      <c r="B25" s="33">
        <f>'График аннуитет.'!B24</f>
        <v>46237</v>
      </c>
      <c r="C25" s="34">
        <f>IF(malumot!$B$77=malumot!$C$77,'График дифференц'!C24,IF(malumot!$B$77=malumot!$D$77,'График аннуитет.'!C24))</f>
        <v>28888888.960000023</v>
      </c>
      <c r="D25" s="34">
        <f>IF(malumot!$B$77=malumot!$C$77,'График дифференц'!D24,IF(malumot!$B$77=malumot!$D$77,'График аннуитет.'!D24))</f>
        <v>1444444.44</v>
      </c>
      <c r="E25" s="34">
        <f>IF(malumot!$B$77=malumot!$C$77,'График дифференц'!E24,IF(malumot!$B$77=malumot!$D$77,'График аннуитет.'!E24))</f>
        <v>1567123.1400000001</v>
      </c>
      <c r="F25" s="34">
        <f>IF(malumot!$B$77=malumot!$C$77,'График дифференц'!F24,IF(malumot!$B$77=malumot!$D$77,'График аннуитет.'!F24))</f>
        <v>3011567.58</v>
      </c>
    </row>
    <row r="26" spans="1:16">
      <c r="A26" s="18">
        <v>18</v>
      </c>
      <c r="B26" s="33">
        <f>'График аннуитет.'!B25</f>
        <v>46266</v>
      </c>
      <c r="C26" s="34">
        <f>IF(malumot!$B$77=malumot!$C$77,'График дифференц'!C25,IF(malumot!$B$77=malumot!$D$77,'График аннуитет.'!C25))</f>
        <v>27444444.520000022</v>
      </c>
      <c r="D26" s="34">
        <f>IF(malumot!$B$77=malumot!$C$77,'График дифференц'!D25,IF(malumot!$B$77=malumot!$D$77,'График аннуитет.'!D25))</f>
        <v>1444444.44</v>
      </c>
      <c r="E26" s="34">
        <f>IF(malumot!$B$77=malumot!$C$77,'График дифференц'!E25,IF(malumot!$B$77=malumot!$D$77,'График аннуитет.'!E25))</f>
        <v>1308310.6400000001</v>
      </c>
      <c r="F26" s="34">
        <f>IF(malumot!$B$77=malumot!$C$77,'График дифференц'!F25,IF(malumot!$B$77=malumot!$D$77,'График аннуитет.'!F25))</f>
        <v>2752755.08</v>
      </c>
    </row>
    <row r="27" spans="1:16">
      <c r="A27" s="18">
        <f>1+A26</f>
        <v>19</v>
      </c>
      <c r="B27" s="33">
        <f>'График аннуитет.'!B26</f>
        <v>46296</v>
      </c>
      <c r="C27" s="34">
        <f>IF(malumot!$B$77=malumot!$C$77,'График дифференц'!C26,IF(malumot!$B$77=malumot!$D$77,'График аннуитет.'!C26))</f>
        <v>26000000.080000021</v>
      </c>
      <c r="D27" s="34">
        <f>IF(malumot!$B$77=malumot!$C$77,'График дифференц'!D26,IF(malumot!$B$77=malumot!$D$77,'График аннуитет.'!D26))</f>
        <v>1444444.44</v>
      </c>
      <c r="E27" s="34">
        <f>IF(malumot!$B$77=malumot!$C$77,'График дифференц'!E26,IF(malumot!$B$77=malumot!$D$77,'График аннуитет.'!E26))</f>
        <v>1282191.9000000001</v>
      </c>
      <c r="F27" s="34">
        <f>IF(malumot!$B$77=malumot!$C$77,'График дифференц'!F26,IF(malumot!$B$77=malumot!$D$77,'График аннуитет.'!F26))</f>
        <v>2726636.34</v>
      </c>
    </row>
    <row r="28" spans="1:16">
      <c r="A28" s="18">
        <f t="shared" ref="A28:A43" si="0">1+A27</f>
        <v>20</v>
      </c>
      <c r="B28" s="33">
        <f>'График аннуитет.'!B27</f>
        <v>46328</v>
      </c>
      <c r="C28" s="34">
        <f>IF(malumot!$B$77=malumot!$C$77,'График дифференц'!C27,IF(malumot!$B$77=malumot!$D$77,'График аннуитет.'!C27))</f>
        <v>24555555.640000019</v>
      </c>
      <c r="D28" s="34">
        <f>IF(malumot!$B$77=malumot!$C$77,'График дифференц'!D27,IF(malumot!$B$77=malumot!$D$77,'График аннуитет.'!D27))</f>
        <v>1444444.44</v>
      </c>
      <c r="E28" s="34">
        <f>IF(malumot!$B$77=malumot!$C$77,'График дифференц'!E27,IF(malumot!$B$77=malumot!$D$77,'График аннуитет.'!E27))</f>
        <v>1291689.6000000001</v>
      </c>
      <c r="F28" s="34">
        <f>IF(malumot!$B$77=malumot!$C$77,'График дифференц'!F27,IF(malumot!$B$77=malumot!$D$77,'График аннуитет.'!F27))</f>
        <v>2736134.04</v>
      </c>
    </row>
    <row r="29" spans="1:16">
      <c r="A29" s="18">
        <f t="shared" si="0"/>
        <v>21</v>
      </c>
      <c r="B29" s="33">
        <f>'График аннуитет.'!B28</f>
        <v>46357</v>
      </c>
      <c r="C29" s="34">
        <f>IF(malumot!$B$77=malumot!$C$77,'График дифференц'!C28,IF(malumot!$B$77=malumot!$D$77,'График аннуитет.'!C28))</f>
        <v>23111111.200000018</v>
      </c>
      <c r="D29" s="34">
        <f>IF(malumot!$B$77=malumot!$C$77,'График дифференц'!D28,IF(malumot!$B$77=malumot!$D$77,'График аннуитет.'!D28))</f>
        <v>1444444.44</v>
      </c>
      <c r="E29" s="34">
        <f>IF(malumot!$B$77=malumot!$C$77,'График дифференц'!E28,IF(malumot!$B$77=malumot!$D$77,'График аннуитет.'!E28))</f>
        <v>1101735.23</v>
      </c>
      <c r="F29" s="34">
        <f>IF(malumot!$B$77=malumot!$C$77,'График дифференц'!F28,IF(malumot!$B$77=malumot!$D$77,'График аннуитет.'!F28))</f>
        <v>2546179.67</v>
      </c>
    </row>
    <row r="30" spans="1:16">
      <c r="A30" s="18">
        <f t="shared" si="0"/>
        <v>22</v>
      </c>
      <c r="B30" s="33">
        <f>'График аннуитет.'!B29</f>
        <v>46388</v>
      </c>
      <c r="C30" s="34">
        <f>IF(malumot!$B$77=malumot!$C$77,'График дифференц'!C29,IF(malumot!$B$77=malumot!$D$77,'График аннуитет.'!C29))</f>
        <v>21666666.760000017</v>
      </c>
      <c r="D30" s="34">
        <f>IF(malumot!$B$77=malumot!$C$77,'График дифференц'!D29,IF(malumot!$B$77=malumot!$D$77,'График аннуитет.'!D29))</f>
        <v>1444444.44</v>
      </c>
      <c r="E30" s="34">
        <f>IF(malumot!$B$77=malumot!$C$77,'График дифференц'!E29,IF(malumot!$B$77=malumot!$D$77,'График аннуитет.'!E29))</f>
        <v>1104109.6400000001</v>
      </c>
      <c r="F30" s="34">
        <f>IF(malumot!$B$77=malumot!$C$77,'График дифференц'!F29,IF(malumot!$B$77=malumot!$D$77,'График аннуитет.'!F29))</f>
        <v>2548554.08</v>
      </c>
    </row>
    <row r="31" spans="1:16">
      <c r="A31" s="18">
        <f t="shared" si="0"/>
        <v>23</v>
      </c>
      <c r="B31" s="33">
        <f>'График аннуитет.'!B30</f>
        <v>46419</v>
      </c>
      <c r="C31" s="34">
        <f>IF(malumot!$B$77=malumot!$C$77,'График дифференц'!C30,IF(malumot!$B$77=malumot!$D$77,'График аннуитет.'!C30))</f>
        <v>20222222.320000015</v>
      </c>
      <c r="D31" s="34">
        <f>IF(malumot!$B$77=malumot!$C$77,'График дифференц'!D30,IF(malumot!$B$77=malumot!$D$77,'График аннуитет.'!D30))</f>
        <v>1444444.44</v>
      </c>
      <c r="E31" s="34">
        <f>IF(malumot!$B$77=malumot!$C$77,'График дифференц'!E30,IF(malumot!$B$77=malumot!$D$77,'График аннуитет.'!E30))</f>
        <v>1030502.31</v>
      </c>
      <c r="F31" s="34">
        <f>IF(malumot!$B$77=malumot!$C$77,'График дифференц'!F30,IF(malumot!$B$77=malumot!$D$77,'График аннуитет.'!F30))</f>
        <v>2474946.75</v>
      </c>
    </row>
    <row r="32" spans="1:16">
      <c r="A32" s="18">
        <f t="shared" si="0"/>
        <v>24</v>
      </c>
      <c r="B32" s="33">
        <f>'График аннуитет.'!B31</f>
        <v>46447</v>
      </c>
      <c r="C32" s="34">
        <f>IF(malumot!$B$77=malumot!$C$77,'График дифференц'!C31,IF(malumot!$B$77=malumot!$D$77,'График аннуитет.'!C31))</f>
        <v>18777777.880000014</v>
      </c>
      <c r="D32" s="34">
        <f>IF(malumot!$B$77=malumot!$C$77,'График дифференц'!D31,IF(malumot!$B$77=malumot!$D$77,'График аннуитет.'!D31))</f>
        <v>1444444.44</v>
      </c>
      <c r="E32" s="34">
        <f>IF(malumot!$B$77=malumot!$C$77,'График дифференц'!E31,IF(malumot!$B$77=malumot!$D$77,'График аннуитет.'!E31))</f>
        <v>864292.24</v>
      </c>
      <c r="F32" s="34">
        <f>IF(malumot!$B$77=malumot!$C$77,'График дифференц'!F31,IF(malumot!$B$77=malumot!$D$77,'График аннуитет.'!F31))</f>
        <v>2308736.6799999997</v>
      </c>
    </row>
    <row r="33" spans="1:6">
      <c r="A33" s="18">
        <f t="shared" si="0"/>
        <v>25</v>
      </c>
      <c r="B33" s="33">
        <f>IF('График аннуитет.'!B32=FALSE,"",'График аннуитет.'!B32)</f>
        <v>46478</v>
      </c>
      <c r="C33" s="34">
        <f>IF(malumot!$B$77=malumot!$C$77,'График дифференц'!C32,IF(malumot!$B$77=malumot!$D$77,'График аннуитет.'!C32))</f>
        <v>17333333.440000013</v>
      </c>
      <c r="D33" s="34">
        <f>IF(malumot!$B$77=malumot!$C$77,'График дифференц'!D32,IF(malumot!$B$77=malumot!$D$77,'График аннуитет.'!D32))</f>
        <v>1444444.44</v>
      </c>
      <c r="E33" s="34">
        <f>IF(malumot!$B$77=malumot!$C$77,'График дифференц'!E32,IF(malumot!$B$77=malumot!$D$77,'График аннуитет.'!E32))</f>
        <v>883287.65</v>
      </c>
      <c r="F33" s="34">
        <f>IF(malumot!$B$77=malumot!$C$77,'График дифференц'!F32,IF(malumot!$B$77=malumot!$D$77,'График аннуитет.'!F32))</f>
        <v>2327732.09</v>
      </c>
    </row>
    <row r="34" spans="1:6">
      <c r="A34" s="18">
        <f t="shared" si="0"/>
        <v>26</v>
      </c>
      <c r="B34" s="33">
        <f>IF('График аннуитет.'!B33=FALSE,"",'График аннуитет.'!B33)</f>
        <v>46510</v>
      </c>
      <c r="C34" s="34">
        <f>IF(malumot!$B$77=malumot!$C$77,'График дифференц'!C33,IF(malumot!$B$77=malumot!$D$77,'График аннуитет.'!C33))</f>
        <v>15888889.000000013</v>
      </c>
      <c r="D34" s="34">
        <f>IF(malumot!$B$77=malumot!$C$77,'График дифференц'!D33,IF(malumot!$B$77=malumot!$D$77,'График аннуитет.'!D33))</f>
        <v>1444444.44</v>
      </c>
      <c r="E34" s="34">
        <f>IF(malumot!$B$77=malumot!$C$77,'График дифференц'!E33,IF(malumot!$B$77=malumot!$D$77,'График аннуитет.'!E33))</f>
        <v>835799.04000000004</v>
      </c>
      <c r="F34" s="34">
        <f>IF(malumot!$B$77=malumot!$C$77,'График дифференц'!F33,IF(malumot!$B$77=malumot!$D$77,'График аннуитет.'!F33))</f>
        <v>2280243.48</v>
      </c>
    </row>
    <row r="35" spans="1:6">
      <c r="A35" s="18">
        <f t="shared" si="0"/>
        <v>27</v>
      </c>
      <c r="B35" s="33">
        <f>IF('График аннуитет.'!B34=FALSE,"",'График аннуитет.'!B34)</f>
        <v>46539</v>
      </c>
      <c r="C35" s="34">
        <f>IF(malumot!$B$77=malumot!$C$77,'График дифференц'!C34,IF(malumot!$B$77=malumot!$D$77,'График аннуитет.'!C34))</f>
        <v>14444444.560000014</v>
      </c>
      <c r="D35" s="34">
        <f>IF(malumot!$B$77=malumot!$C$77,'График дифференц'!D34,IF(malumot!$B$77=malumot!$D$77,'График аннуитет.'!D34))</f>
        <v>1444444.44</v>
      </c>
      <c r="E35" s="34">
        <f>IF(malumot!$B$77=malumot!$C$77,'График дифференц'!E34,IF(malumot!$B$77=malumot!$D$77,'График аннуитет.'!E34))</f>
        <v>688584.41</v>
      </c>
      <c r="F35" s="34">
        <f>IF(malumot!$B$77=malumot!$C$77,'График дифференц'!F34,IF(malumot!$B$77=malumot!$D$77,'График аннуитет.'!F34))</f>
        <v>2133028.85</v>
      </c>
    </row>
    <row r="36" spans="1:6">
      <c r="A36" s="18">
        <f t="shared" si="0"/>
        <v>28</v>
      </c>
      <c r="B36" s="33">
        <f>IF('График аннуитет.'!B35=FALSE,"",'График аннуитет.'!B35)</f>
        <v>46569</v>
      </c>
      <c r="C36" s="34">
        <f>IF(malumot!$B$77=malumot!$C$77,'График дифференц'!C35,IF(malumot!$B$77=malumot!$D$77,'График аннуитет.'!C35))</f>
        <v>13000000.120000014</v>
      </c>
      <c r="D36" s="34">
        <f>IF(malumot!$B$77=malumot!$C$77,'График дифференц'!D35,IF(malumot!$B$77=malumot!$D$77,'График аннуитет.'!D35))</f>
        <v>1444444.44</v>
      </c>
      <c r="E36" s="34">
        <f>IF(malumot!$B$77=malumot!$C$77,'График дифференц'!E35,IF(malumot!$B$77=malumot!$D$77,'График аннуитет.'!E35))</f>
        <v>641095.80000000005</v>
      </c>
      <c r="F36" s="34">
        <f>IF(malumot!$B$77=malumot!$C$77,'График дифференц'!F35,IF(malumot!$B$77=malumot!$D$77,'График аннуитет.'!F35))</f>
        <v>2085540.24</v>
      </c>
    </row>
    <row r="37" spans="1:6">
      <c r="A37" s="18">
        <f t="shared" si="0"/>
        <v>29</v>
      </c>
      <c r="B37" s="33">
        <f>IF('График аннуитет.'!B36=FALSE,"",'График аннуитет.'!B36)</f>
        <v>46601</v>
      </c>
      <c r="C37" s="34">
        <f>IF(malumot!$B$77=malumot!$C$77,'График дифференц'!C36,IF(malumot!$B$77=malumot!$D$77,'График аннуитет.'!C36))</f>
        <v>11555555.680000015</v>
      </c>
      <c r="D37" s="34">
        <f>IF(malumot!$B$77=malumot!$C$77,'График дифференц'!D36,IF(malumot!$B$77=malumot!$D$77,'График аннуитет.'!D36))</f>
        <v>1444444.44</v>
      </c>
      <c r="E37" s="34">
        <f>IF(malumot!$B$77=malumot!$C$77,'График дифференц'!E36,IF(malumot!$B$77=malumot!$D$77,'График аннуитет.'!E36))</f>
        <v>607853.76</v>
      </c>
      <c r="F37" s="34">
        <f>IF(malumot!$B$77=malumot!$C$77,'График дифференц'!F36,IF(malumot!$B$77=malumot!$D$77,'График аннуитет.'!F36))</f>
        <v>2052298.2</v>
      </c>
    </row>
    <row r="38" spans="1:6">
      <c r="A38" s="18">
        <f t="shared" si="0"/>
        <v>30</v>
      </c>
      <c r="B38" s="33">
        <f>IF('График аннуитет.'!B37=FALSE,"",'График аннуитет.'!B37)</f>
        <v>46631</v>
      </c>
      <c r="C38" s="34">
        <f>IF(malumot!$B$77=malumot!$C$77,'График дифференц'!C37,IF(malumot!$B$77=malumot!$D$77,'График аннуитет.'!C37))</f>
        <v>10111111.240000015</v>
      </c>
      <c r="D38" s="34">
        <f>IF(malumot!$B$77=malumot!$C$77,'График дифференц'!D37,IF(malumot!$B$77=malumot!$D$77,'График аннуитет.'!D37))</f>
        <v>1444444.44</v>
      </c>
      <c r="E38" s="34">
        <f>IF(malumot!$B$77=malumot!$C$77,'График дифференц'!E37,IF(malumot!$B$77=malumot!$D$77,'График аннуитет.'!E37))</f>
        <v>498630</v>
      </c>
      <c r="F38" s="34">
        <f>IF(malumot!$B$77=malumot!$C$77,'График дифференц'!F37,IF(malumot!$B$77=malumot!$D$77,'График аннуитет.'!F37))</f>
        <v>1943074.44</v>
      </c>
    </row>
    <row r="39" spans="1:6">
      <c r="A39" s="18">
        <f t="shared" si="0"/>
        <v>31</v>
      </c>
      <c r="B39" s="33">
        <f>IF('График аннуитет.'!B38=FALSE,"",'График аннуитет.'!B38)</f>
        <v>46661</v>
      </c>
      <c r="C39" s="34">
        <f>IF(malumot!$B$77=malumot!$C$77,'График дифференц'!C38,IF(malumot!$B$77=malumot!$D$77,'График аннуитет.'!C38))</f>
        <v>8666666.8000000156</v>
      </c>
      <c r="D39" s="34">
        <f>IF(malumot!$B$77=malumot!$C$77,'График дифференц'!D38,IF(malumot!$B$77=malumot!$D$77,'График аннуитет.'!D38))</f>
        <v>1444444.44</v>
      </c>
      <c r="E39" s="34">
        <f>IF(malumot!$B$77=malumot!$C$77,'График дифференц'!E38,IF(malumot!$B$77=malumot!$D$77,'График аннуитет.'!E38))</f>
        <v>427397.4</v>
      </c>
      <c r="F39" s="34">
        <f>IF(malumot!$B$77=malumot!$C$77,'График дифференц'!F38,IF(malumot!$B$77=malumot!$D$77,'График аннуитет.'!F38))</f>
        <v>1871841.8399999999</v>
      </c>
    </row>
    <row r="40" spans="1:6">
      <c r="A40" s="18">
        <f t="shared" si="0"/>
        <v>32</v>
      </c>
      <c r="B40" s="33">
        <f>IF('График аннуитет.'!B39=FALSE,"",'График аннуитет.'!B39)</f>
        <v>46692</v>
      </c>
      <c r="C40" s="34">
        <f>IF(malumot!$B$77=malumot!$C$77,'График дифференц'!C39,IF(malumot!$B$77=malumot!$D$77,'График аннуитет.'!C39))</f>
        <v>7222222.3600000162</v>
      </c>
      <c r="D40" s="34">
        <f>IF(malumot!$B$77=malumot!$C$77,'График дифференц'!D39,IF(malumot!$B$77=malumot!$D$77,'График аннуитет.'!D39))</f>
        <v>1444444.44</v>
      </c>
      <c r="E40" s="34">
        <f>IF(malumot!$B$77=malumot!$C$77,'График дифференц'!E39,IF(malumot!$B$77=malumot!$D$77,'График аннуитет.'!E39))</f>
        <v>368036.64999999997</v>
      </c>
      <c r="F40" s="34">
        <f>IF(malumot!$B$77=malumot!$C$77,'График дифференц'!F39,IF(malumot!$B$77=malumot!$D$77,'График аннуитет.'!F39))</f>
        <v>1812481.0899999999</v>
      </c>
    </row>
    <row r="41" spans="1:6">
      <c r="A41" s="18">
        <f t="shared" si="0"/>
        <v>33</v>
      </c>
      <c r="B41" s="33">
        <f>IF('График аннуитет.'!B40=FALSE,"",'График аннуитет.'!B40)</f>
        <v>46722</v>
      </c>
      <c r="C41" s="34">
        <f>IF(malumot!$B$77=malumot!$C$77,'График дифференц'!C40,IF(malumot!$B$77=malumot!$D$77,'График аннуитет.'!C40))</f>
        <v>5777777.9200000167</v>
      </c>
      <c r="D41" s="34">
        <f>IF(malumot!$B$77=malumot!$C$77,'График дифференц'!D40,IF(malumot!$B$77=malumot!$D$77,'График аннуитет.'!D40))</f>
        <v>1444444.44</v>
      </c>
      <c r="E41" s="34">
        <f>IF(malumot!$B$77=malumot!$C$77,'График дифференц'!E40,IF(malumot!$B$77=malumot!$D$77,'График аннуитет.'!E40))</f>
        <v>284931.59999999998</v>
      </c>
      <c r="F41" s="34">
        <f>IF(malumot!$B$77=malumot!$C$77,'График дифференц'!F40,IF(malumot!$B$77=malumot!$D$77,'График аннуитет.'!F40))</f>
        <v>1729376.04</v>
      </c>
    </row>
    <row r="42" spans="1:6">
      <c r="A42" s="18">
        <f t="shared" si="0"/>
        <v>34</v>
      </c>
      <c r="B42" s="33">
        <f>IF('График аннуитет.'!B41=FALSE,"",'График аннуитет.'!B41)</f>
        <v>46755</v>
      </c>
      <c r="C42" s="34">
        <f>IF(malumot!$B$77=malumot!$C$77,'График дифференц'!C41,IF(malumot!$B$77=malumot!$D$77,'График аннуитет.'!C41))</f>
        <v>4333333.4800000172</v>
      </c>
      <c r="D42" s="34">
        <f>IF(malumot!$B$77=malumot!$C$77,'График дифференц'!D41,IF(malumot!$B$77=malumot!$D$77,'График аннуитет.'!D41))</f>
        <v>1444444.44</v>
      </c>
      <c r="E42" s="34">
        <f>IF(malumot!$B$77=malumot!$C$77,'График дифференц'!E41,IF(malumot!$B$77=malumot!$D$77,'График аннуитет.'!E41))</f>
        <v>234426.38999999998</v>
      </c>
      <c r="F42" s="34">
        <f>IF(malumot!$B$77=malumot!$C$77,'График дифференц'!F41,IF(malumot!$B$77=malumot!$D$77,'График аннуитет.'!F41))</f>
        <v>1678870.8299999998</v>
      </c>
    </row>
    <row r="43" spans="1:6" ht="13.5" customHeight="1">
      <c r="A43" s="18">
        <f t="shared" si="0"/>
        <v>35</v>
      </c>
      <c r="B43" s="33">
        <f>IF('График аннуитет.'!B42=FALSE,"",'График аннуитет.'!B42)</f>
        <v>46784</v>
      </c>
      <c r="C43" s="34">
        <f>IF(malumot!$B$77=malumot!$C$77,'График дифференц'!C42,IF(malumot!$B$77=malumot!$D$77,'График аннуитет.'!C42))</f>
        <v>2888889.0400000173</v>
      </c>
      <c r="D43" s="34">
        <f>IF(malumot!$B$77=malumot!$C$77,'График дифференц'!D42,IF(malumot!$B$77=malumot!$D$77,'График аннуитет.'!D42))</f>
        <v>1444444.44</v>
      </c>
      <c r="E43" s="34">
        <f>IF(malumot!$B$77=malumot!$C$77,'График дифференц'!E42,IF(malumot!$B$77=malumot!$D$77,'График аннуитет.'!E42))</f>
        <v>137340.51999999999</v>
      </c>
      <c r="F43" s="34">
        <f>IF(malumot!$B$77=malumot!$C$77,'График дифференц'!F42,IF(malumot!$B$77=malumot!$D$77,'График аннуитет.'!F42))</f>
        <v>1581784.96</v>
      </c>
    </row>
    <row r="44" spans="1:6" ht="15.75" customHeight="1">
      <c r="A44" s="18">
        <f>1+A43</f>
        <v>36</v>
      </c>
      <c r="B44" s="33">
        <f>IF('График аннуитет.'!B43=FALSE,"",'График аннуитет.'!B43)</f>
        <v>46836</v>
      </c>
      <c r="C44" s="34">
        <f>IF(malumot!$B$77=malumot!$C$77,'График дифференц'!C43,IF(malumot!$B$77=malumot!$D$77,'График аннуитет.'!C43))</f>
        <v>1444444.6000000173</v>
      </c>
      <c r="D44" s="34">
        <f>IF(malumot!$B$77=malumot!$C$77,'График дифференц'!D43,IF(malumot!$B$77=malumot!$D$77,'График аннуитет.'!D43))</f>
        <v>1444444.6000000164</v>
      </c>
      <c r="E44" s="34">
        <f>IF(malumot!$B$77=malumot!$C$77,'График дифференц'!E43,IF(malumot!$B$77=malumot!$D$77,'График аннуитет.'!E43))</f>
        <v>123132.88</v>
      </c>
      <c r="F44" s="34">
        <f>IF(malumot!$B$77=malumot!$C$77,'График дифференц'!F43,IF(malumot!$B$77=malumot!$D$77,'График аннуитет.'!F43))</f>
        <v>1567577.4800000163</v>
      </c>
    </row>
    <row r="45" spans="1:6" ht="15" customHeight="1">
      <c r="A45" s="46"/>
      <c r="B45" s="47" t="s">
        <v>209</v>
      </c>
      <c r="C45" s="48"/>
      <c r="D45" s="48">
        <f>SUM(D9:D44)</f>
        <v>52000000</v>
      </c>
      <c r="E45" s="48">
        <f t="shared" ref="E45:F45" si="1">SUM(E9:E44)</f>
        <v>46309511.769999996</v>
      </c>
      <c r="F45" s="48">
        <f t="shared" si="1"/>
        <v>98309511.770000011</v>
      </c>
    </row>
    <row r="46" spans="1:6" ht="14.25" customHeight="1">
      <c r="B46" s="35"/>
      <c r="C46" s="36"/>
      <c r="D46" s="36"/>
      <c r="E46" s="36"/>
      <c r="F46" s="36"/>
    </row>
    <row r="47" spans="1:6" ht="47.25" customHeight="1">
      <c r="A47" s="287" t="str">
        <f>"*"&amp;malumot!C64&amp;" bo‘yicha to‘lovlar to‘lov jadvalida ko‘rsatilmagan sanalarda to‘langan taqdirda, to‘lov summasi mikroqarz shartnomasining 2.2.-bandiga muvofiq "&amp;malumot!B65&amp;" qoldig‘iga hisoblangan foizlar summasiga o‘zgartiriladi."</f>
        <v>*Mikroqarz bo‘yicha to‘lovlar to‘lov jadvalida ko‘rsatilmagan sanalarda to‘langan taqdirda, to‘lov summasi mikroqarz shartnomasining 2.2.-bandiga muvofiq mikroqarz qoldig‘iga hisoblangan foizlar summasiga o‘zgartiriladi.</v>
      </c>
      <c r="B47" s="287"/>
      <c r="C47" s="287"/>
      <c r="D47" s="287"/>
      <c r="E47" s="287"/>
      <c r="F47" s="287"/>
    </row>
    <row r="48" spans="1:6" ht="7.5" customHeight="1"/>
    <row r="49" spans="1:6" ht="15" customHeight="1">
      <c r="A49" s="315" t="s">
        <v>271</v>
      </c>
      <c r="B49" s="315"/>
      <c r="C49" s="315"/>
      <c r="D49" s="315" t="s">
        <v>278</v>
      </c>
      <c r="E49" s="315"/>
      <c r="F49" s="315"/>
    </row>
    <row r="50" spans="1:6" ht="11.25" customHeight="1">
      <c r="A50" s="316"/>
      <c r="B50" s="316"/>
      <c r="C50" s="316"/>
      <c r="D50" s="316"/>
      <c r="E50" s="316"/>
      <c r="F50" s="316"/>
    </row>
    <row r="51" spans="1:6" ht="30" customHeight="1">
      <c r="A51" s="286" t="str">
        <f>shartnoma!A117</f>
        <v>«CLEVER MIKROMOLIYA TASHKILOTI» MChJ</v>
      </c>
      <c r="B51" s="286"/>
      <c r="C51" s="286"/>
      <c r="D51" s="286" t="str">
        <f>shartnoma!B117</f>
        <v>SHAYMARDANOVA SABOXAT YULDASHEVNA</v>
      </c>
      <c r="E51" s="286"/>
      <c r="F51" s="286"/>
    </row>
    <row r="52" spans="1:6" ht="39" customHeight="1">
      <c r="A52" s="311" t="str">
        <f>shartnoma!A119</f>
        <v>Manzil: Toshkent shahri, Olmazor tumani, Sagbon ko'chasi, 30 boshi berk, 6-uy</v>
      </c>
      <c r="B52" s="311"/>
      <c r="C52" s="311"/>
      <c r="D52" s="311" t="str">
        <f>shartnoma!B119</f>
        <v>Manzil: SURXONDAEYO VILOYATU JARQO'RG'ON TUMANI QORAYONTOQ MFY IBN SINO KO'CHASI 114-UY</v>
      </c>
      <c r="E52" s="311"/>
      <c r="F52" s="311"/>
    </row>
    <row r="53" spans="1:6" ht="15" customHeight="1">
      <c r="A53" s="311" t="str">
        <f>shartnoma!A120</f>
        <v>h/r: №20216000705068380001</v>
      </c>
      <c r="B53" s="311"/>
      <c r="C53" s="311"/>
      <c r="D53" s="311" t="str">
        <f>shartnoma!B121</f>
        <v>Pasport: AC 1659096, SURXONDARYO VILOYATI JARQO'RG'ON TUMANI IIB tomonidan 21.02.2019 yilda berilgan</v>
      </c>
      <c r="E53" s="311"/>
      <c r="F53" s="311"/>
    </row>
    <row r="54" spans="1:6" ht="32.25" customHeight="1">
      <c r="A54" s="311" t="str">
        <f>shartnoma!A121</f>
        <v>MFO: №01042 в ATB “Kapitalbank” Sergeli filiali</v>
      </c>
      <c r="B54" s="311"/>
      <c r="C54" s="311"/>
      <c r="D54" s="311"/>
      <c r="E54" s="311"/>
      <c r="F54" s="311"/>
    </row>
    <row r="55" spans="1:6" ht="15" customHeight="1">
      <c r="A55" s="311" t="str">
        <f>shartnoma!A122</f>
        <v>STIR: 306365847</v>
      </c>
      <c r="B55" s="311"/>
      <c r="C55" s="311"/>
      <c r="D55" s="311" t="str">
        <f>shartnoma!B122</f>
        <v>Tel: 94-706-67-09 UY RAQAMI</v>
      </c>
      <c r="E55" s="311"/>
      <c r="F55" s="311"/>
    </row>
    <row r="56" spans="1:6" ht="15" customHeight="1">
      <c r="A56" s="311" t="str">
        <f>shartnoma!A123</f>
        <v>Tel: (78) 113 31 33</v>
      </c>
      <c r="B56" s="311"/>
      <c r="C56" s="311"/>
      <c r="D56" s="311" t="str">
        <f>shartnoma!B123</f>
        <v>93-763-00-67 MIJOZ</v>
      </c>
      <c r="E56" s="311"/>
      <c r="F56" s="311"/>
    </row>
    <row r="57" spans="1:6" ht="15" customHeight="1">
      <c r="A57" s="311" t="str">
        <f>shartnoma!A124</f>
        <v>(78) 113 31 34</v>
      </c>
      <c r="B57" s="311"/>
      <c r="C57" s="311"/>
      <c r="D57" s="311" t="str">
        <f>shartnoma!B124</f>
        <v>93-761-09-76 TURMUSH O'RTOG'I</v>
      </c>
      <c r="E57" s="311"/>
      <c r="F57" s="311"/>
    </row>
    <row r="58" spans="1:6" ht="23.25" customHeight="1">
      <c r="A58" s="311"/>
      <c r="B58" s="311"/>
      <c r="C58" s="311"/>
      <c r="D58" s="311" t="str">
        <f>IF(shartnoma!B125=0,"",shartnoma!B125)</f>
        <v/>
      </c>
      <c r="E58" s="311"/>
      <c r="F58" s="311"/>
    </row>
    <row r="59" spans="1:6" ht="29.25" customHeight="1">
      <c r="A59" s="266"/>
      <c r="B59" s="330" t="str">
        <f>malumot!A156</f>
        <v>Surxondaryo filiali boshlig'i</v>
      </c>
      <c r="C59" s="330"/>
      <c r="D59" s="286" t="str">
        <f>shartnoma!B127</f>
        <v>SHAYMARDANOVA S.Y.     __________________</v>
      </c>
      <c r="E59" s="286"/>
      <c r="F59" s="286"/>
    </row>
    <row r="60" spans="1:6" ht="15" customHeight="1">
      <c r="A60" s="266"/>
      <c r="B60" s="330" t="str">
        <f>malumot!B156</f>
        <v>A.PARDAYEV</v>
      </c>
      <c r="C60" s="330"/>
      <c r="D60" s="286"/>
      <c r="E60" s="286"/>
      <c r="F60" s="286"/>
    </row>
    <row r="61" spans="1:6" ht="15.75">
      <c r="A61" s="265"/>
      <c r="B61" s="265"/>
      <c r="C61" s="265"/>
      <c r="D61" s="286"/>
      <c r="E61" s="286"/>
      <c r="F61" s="286"/>
    </row>
    <row r="62" spans="1:6">
      <c r="A62" s="311"/>
      <c r="B62" s="311"/>
      <c r="C62" s="311"/>
      <c r="D62" s="311"/>
      <c r="E62" s="311"/>
      <c r="F62" s="311"/>
    </row>
    <row r="63" spans="1:6">
      <c r="A63" s="312"/>
      <c r="B63" s="312"/>
      <c r="C63" s="312"/>
      <c r="D63" s="313"/>
      <c r="E63" s="313"/>
      <c r="F63" s="313"/>
    </row>
    <row r="64" spans="1:6">
      <c r="A64" s="314"/>
      <c r="B64" s="314"/>
      <c r="C64" s="314"/>
      <c r="D64" s="314"/>
      <c r="E64" s="314"/>
      <c r="F64" s="314"/>
    </row>
    <row r="65" spans="1:6">
      <c r="A65" s="310"/>
      <c r="B65" s="310"/>
      <c r="C65" s="310"/>
      <c r="D65" s="310"/>
      <c r="E65" s="310"/>
      <c r="F65" s="310"/>
    </row>
  </sheetData>
  <mergeCells count="41">
    <mergeCell ref="E2:F2"/>
    <mergeCell ref="A5:F5"/>
    <mergeCell ref="A7:A8"/>
    <mergeCell ref="B7:B8"/>
    <mergeCell ref="C7:C8"/>
    <mergeCell ref="D7:F7"/>
    <mergeCell ref="E3:F3"/>
    <mergeCell ref="A51:C51"/>
    <mergeCell ref="D51:F51"/>
    <mergeCell ref="A52:C52"/>
    <mergeCell ref="D52:F52"/>
    <mergeCell ref="A53:C53"/>
    <mergeCell ref="D53:F54"/>
    <mergeCell ref="A54:C54"/>
    <mergeCell ref="A47:F47"/>
    <mergeCell ref="A49:C49"/>
    <mergeCell ref="D49:F49"/>
    <mergeCell ref="A50:C50"/>
    <mergeCell ref="D50:F50"/>
    <mergeCell ref="A57:C57"/>
    <mergeCell ref="D57:F57"/>
    <mergeCell ref="A58:C58"/>
    <mergeCell ref="D58:F58"/>
    <mergeCell ref="A55:C55"/>
    <mergeCell ref="D55:F55"/>
    <mergeCell ref="B59:C59"/>
    <mergeCell ref="B60:C60"/>
    <mergeCell ref="H12:P24"/>
    <mergeCell ref="A65:C65"/>
    <mergeCell ref="D65:F65"/>
    <mergeCell ref="A62:C62"/>
    <mergeCell ref="D62:F62"/>
    <mergeCell ref="A63:C63"/>
    <mergeCell ref="D63:F63"/>
    <mergeCell ref="A64:C64"/>
    <mergeCell ref="D64:F64"/>
    <mergeCell ref="D59:F59"/>
    <mergeCell ref="D60:F60"/>
    <mergeCell ref="D61:F61"/>
    <mergeCell ref="A56:C56"/>
    <mergeCell ref="D56:F56"/>
  </mergeCells>
  <conditionalFormatting sqref="B9:B44">
    <cfRule type="cellIs" dxfId="1" priority="2" operator="lessThan">
      <formula>22105</formula>
    </cfRule>
  </conditionalFormatting>
  <conditionalFormatting sqref="C9:F44">
    <cfRule type="cellIs" dxfId="0"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71"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A1:D54"/>
  <sheetViews>
    <sheetView view="pageBreakPreview" zoomScaleSheetLayoutView="100" workbookViewId="0">
      <selection activeCell="H10" sqref="H10"/>
    </sheetView>
  </sheetViews>
  <sheetFormatPr defaultColWidth="9.140625" defaultRowHeight="15.75"/>
  <cols>
    <col min="1" max="1" width="20.140625" style="6" customWidth="1"/>
    <col min="2" max="2" width="18.7109375" style="6" customWidth="1"/>
    <col min="3" max="3" width="18.42578125" style="6" customWidth="1"/>
    <col min="4" max="4" width="28.7109375" style="6" customWidth="1"/>
    <col min="5" max="16384" width="9.140625" style="6"/>
  </cols>
  <sheetData>
    <row r="1" spans="1:4" ht="36.75" customHeight="1">
      <c r="C1" s="334" t="str">
        <f>malumot!B153&amp;" Ijrochi direktori"</f>
        <v>«CLEVER MIKROMOLIYA TASHKILOTI» MChJ Ijrochi direktori</v>
      </c>
      <c r="D1" s="334"/>
    </row>
    <row r="2" spans="1:4">
      <c r="C2" s="336" t="s">
        <v>402</v>
      </c>
      <c r="D2" s="336"/>
    </row>
    <row r="3" spans="1:4">
      <c r="C3" s="13"/>
      <c r="D3" s="14"/>
    </row>
    <row r="4" spans="1:4" ht="43.5" customHeight="1">
      <c r="C4" s="335" t="str">
        <f>malumot!B22&amp;" manzilida istiqomat qiluvchi"</f>
        <v>SURXONDAEYO VILOYATU JARQO'RG'ON TUMANI QORAYONTOQ MFY IBN SINO KO'CHASI 114-UY manzilida istiqomat qiluvchi</v>
      </c>
      <c r="D4" s="335"/>
    </row>
    <row r="5" spans="1:4" ht="36" customHeight="1">
      <c r="C5" s="335" t="str">
        <f>malumot!B5&amp;" tomonidan"</f>
        <v>SHAYMARDANOVA SABOXAT YULDASHEVNA tomonidan</v>
      </c>
      <c r="D5" s="335"/>
    </row>
    <row r="6" spans="1:4" ht="51" customHeight="1">
      <c r="C6" s="272" t="str">
        <f>"Pasport: "&amp;malumot!B16&amp;", "&amp;malumot!B20</f>
        <v>Pasport: AC 1659096, SURXONDARYO VILOYATI JARQO'RG'ON TUMANI IIB tomonidan 21.02.2019 yilda berilgan</v>
      </c>
      <c r="D6" s="272"/>
    </row>
    <row r="7" spans="1:4">
      <c r="C7" s="13"/>
      <c r="D7" s="14"/>
    </row>
    <row r="8" spans="1:4">
      <c r="A8" s="282" t="s">
        <v>403</v>
      </c>
      <c r="B8" s="282"/>
      <c r="C8" s="282"/>
      <c r="D8" s="282"/>
    </row>
    <row r="9" spans="1:4" ht="67.5" customHeight="1">
      <c r="A9" s="338" t="str">
        <f>"       Men, " &amp; malumot!B5 &amp; " sizdan " &amp; malumot!B2 &amp; " yildagi " &amp; malumot!B1 &amp; "-sonli kredit shartnomasiga asosan " &amp; malumot!B75  &amp; "(" &amp; malumot!B76 &amp; ")"  &amp; "so'm pul mablag'larini quyidagi rekvizitlar asosida o'tkazib berishingizni so'rayman: "</f>
        <v xml:space="preserve">       Men, SHAYMARDANOVA SABOXAT YULDASHEVNA sizdan 24.03.2025 yildagi №659-SR-sonli kredit shartnomasiga asosan 52000000(ellik ikki million so'm)so'm pul mablag'larini quyidagi rekvizitlar asosida o'tkazib berishingizni so'rayman: </v>
      </c>
      <c r="B9" s="338"/>
      <c r="C9" s="338"/>
      <c r="D9" s="338"/>
    </row>
    <row r="10" spans="1:4">
      <c r="A10" s="249" t="str">
        <f>malumot!A92</f>
        <v>Bank nomi:</v>
      </c>
      <c r="B10" s="337" t="str">
        <f>malumot!B92</f>
        <v xml:space="preserve">«Davr bank» </v>
      </c>
      <c r="C10" s="337"/>
      <c r="D10" s="250"/>
    </row>
    <row r="11" spans="1:4">
      <c r="A11" s="249" t="str">
        <f>malumot!A93</f>
        <v>H/r:</v>
      </c>
      <c r="B11" s="337" t="str">
        <f>malumot!B93</f>
        <v>2312 0000 1000 0112 1001</v>
      </c>
      <c r="C11" s="337"/>
      <c r="D11" s="250"/>
    </row>
    <row r="12" spans="1:4">
      <c r="A12" s="249" t="str">
        <f>malumot!A94</f>
        <v>MFO:</v>
      </c>
      <c r="B12" s="337" t="str">
        <f>malumot!B94</f>
        <v>01121</v>
      </c>
      <c r="C12" s="337"/>
      <c r="D12" s="163"/>
    </row>
    <row r="13" spans="1:4">
      <c r="A13" s="249" t="str">
        <f>malumot!A95</f>
        <v>STIR:</v>
      </c>
      <c r="B13" s="337" t="str">
        <f>malumot!B95</f>
        <v>207212359</v>
      </c>
      <c r="C13" s="337"/>
      <c r="D13" s="163"/>
    </row>
    <row r="14" spans="1:4">
      <c r="A14" s="249" t="str">
        <f>malumot!A96</f>
        <v>Karta raqami:</v>
      </c>
      <c r="B14" s="337" t="str">
        <f>malumot!B96</f>
        <v>6262 7300 8771 9516</v>
      </c>
      <c r="C14" s="337"/>
      <c r="D14" s="163"/>
    </row>
    <row r="15" spans="1:4">
      <c r="A15" s="333"/>
      <c r="B15" s="333"/>
      <c r="C15" s="333"/>
      <c r="D15" s="333"/>
    </row>
    <row r="16" spans="1:4" ht="15.75" customHeight="1">
      <c r="A16" s="335" t="str">
        <f>malumot!B5</f>
        <v>SHAYMARDANOVA SABOXAT YULDASHEVNA</v>
      </c>
      <c r="B16" s="335"/>
      <c r="C16" s="335"/>
      <c r="D16" s="251" t="s">
        <v>411</v>
      </c>
    </row>
    <row r="17" spans="1:4">
      <c r="A17" s="252"/>
      <c r="B17" s="252"/>
      <c r="D17" s="253" t="s">
        <v>330</v>
      </c>
    </row>
    <row r="18" spans="1:4">
      <c r="A18" s="333"/>
      <c r="B18" s="333"/>
      <c r="C18" s="333"/>
      <c r="D18" s="333"/>
    </row>
    <row r="19" spans="1:4">
      <c r="A19" s="333"/>
      <c r="B19" s="333"/>
      <c r="C19" s="333"/>
      <c r="D19" s="333"/>
    </row>
    <row r="20" spans="1:4">
      <c r="A20" s="333"/>
      <c r="B20" s="333"/>
      <c r="C20" s="333"/>
      <c r="D20" s="333"/>
    </row>
    <row r="21" spans="1:4">
      <c r="A21" s="333"/>
      <c r="B21" s="333"/>
      <c r="C21" s="333"/>
      <c r="D21" s="333"/>
    </row>
    <row r="22" spans="1:4">
      <c r="A22" s="333"/>
      <c r="B22" s="333"/>
      <c r="C22" s="333"/>
      <c r="D22" s="333"/>
    </row>
    <row r="23" spans="1:4">
      <c r="A23" s="333"/>
      <c r="B23" s="333"/>
      <c r="C23" s="333"/>
      <c r="D23" s="333"/>
    </row>
    <row r="24" spans="1:4">
      <c r="A24" s="333"/>
      <c r="B24" s="333"/>
      <c r="C24" s="333"/>
      <c r="D24" s="333"/>
    </row>
    <row r="25" spans="1:4">
      <c r="A25" s="333"/>
      <c r="B25" s="333"/>
      <c r="C25" s="333"/>
      <c r="D25" s="333"/>
    </row>
    <row r="26" spans="1:4">
      <c r="A26" s="333"/>
      <c r="B26" s="333"/>
      <c r="C26" s="333"/>
      <c r="D26" s="333"/>
    </row>
    <row r="27" spans="1:4">
      <c r="A27" s="333"/>
      <c r="B27" s="333"/>
      <c r="C27" s="333"/>
      <c r="D27" s="333"/>
    </row>
    <row r="28" spans="1:4">
      <c r="A28" s="333"/>
      <c r="B28" s="333"/>
      <c r="C28" s="333"/>
      <c r="D28" s="333"/>
    </row>
    <row r="29" spans="1:4">
      <c r="A29" s="333"/>
      <c r="B29" s="333"/>
      <c r="C29" s="333"/>
      <c r="D29" s="333"/>
    </row>
    <row r="30" spans="1:4">
      <c r="A30" s="333"/>
      <c r="B30" s="333"/>
      <c r="C30" s="333"/>
      <c r="D30" s="333"/>
    </row>
    <row r="31" spans="1:4">
      <c r="A31" s="333"/>
      <c r="B31" s="333"/>
      <c r="C31" s="333"/>
      <c r="D31" s="333"/>
    </row>
    <row r="32" spans="1:4">
      <c r="A32" s="333"/>
      <c r="B32" s="333"/>
      <c r="C32" s="333"/>
      <c r="D32" s="333"/>
    </row>
    <row r="33" spans="1:4">
      <c r="A33" s="333"/>
      <c r="B33" s="333"/>
      <c r="C33" s="333"/>
      <c r="D33" s="333"/>
    </row>
    <row r="34" spans="1:4">
      <c r="A34" s="333"/>
      <c r="B34" s="333"/>
      <c r="C34" s="333"/>
      <c r="D34" s="333"/>
    </row>
    <row r="35" spans="1:4">
      <c r="A35" s="333"/>
      <c r="B35" s="333"/>
      <c r="C35" s="333"/>
      <c r="D35" s="333"/>
    </row>
    <row r="36" spans="1:4">
      <c r="A36" s="333"/>
      <c r="B36" s="333"/>
      <c r="C36" s="333"/>
      <c r="D36" s="333"/>
    </row>
    <row r="37" spans="1:4">
      <c r="A37" s="333"/>
      <c r="B37" s="333"/>
      <c r="C37" s="333"/>
      <c r="D37" s="333"/>
    </row>
    <row r="38" spans="1:4">
      <c r="A38" s="333"/>
      <c r="B38" s="333"/>
      <c r="C38" s="333"/>
      <c r="D38" s="333"/>
    </row>
    <row r="39" spans="1:4">
      <c r="A39" s="333"/>
      <c r="B39" s="333"/>
      <c r="C39" s="333"/>
      <c r="D39" s="333"/>
    </row>
    <row r="40" spans="1:4">
      <c r="A40" s="333"/>
      <c r="B40" s="333"/>
      <c r="C40" s="333"/>
      <c r="D40" s="333"/>
    </row>
    <row r="41" spans="1:4">
      <c r="A41" s="333"/>
      <c r="B41" s="333"/>
      <c r="C41" s="333"/>
      <c r="D41" s="333"/>
    </row>
    <row r="42" spans="1:4">
      <c r="A42" s="333"/>
      <c r="B42" s="333"/>
      <c r="C42" s="333"/>
      <c r="D42" s="333"/>
    </row>
    <row r="43" spans="1:4">
      <c r="A43" s="333"/>
      <c r="B43" s="333"/>
      <c r="C43" s="333"/>
      <c r="D43" s="333"/>
    </row>
    <row r="44" spans="1:4">
      <c r="A44" s="333"/>
      <c r="B44" s="333"/>
      <c r="C44" s="333"/>
      <c r="D44" s="333"/>
    </row>
    <row r="45" spans="1:4">
      <c r="A45" s="333"/>
      <c r="B45" s="333"/>
      <c r="C45" s="333"/>
      <c r="D45" s="333"/>
    </row>
    <row r="46" spans="1:4">
      <c r="A46" s="333"/>
      <c r="B46" s="333"/>
      <c r="C46" s="333"/>
      <c r="D46" s="333"/>
    </row>
    <row r="47" spans="1:4">
      <c r="A47" s="333"/>
      <c r="B47" s="333"/>
      <c r="C47" s="333"/>
      <c r="D47" s="333"/>
    </row>
    <row r="48" spans="1:4">
      <c r="A48" s="333"/>
      <c r="B48" s="333"/>
      <c r="C48" s="333"/>
      <c r="D48" s="333"/>
    </row>
    <row r="49" spans="1:4">
      <c r="A49" s="333"/>
      <c r="B49" s="333"/>
      <c r="C49" s="333"/>
      <c r="D49" s="333"/>
    </row>
    <row r="50" spans="1:4">
      <c r="A50" s="333"/>
      <c r="B50" s="333"/>
      <c r="C50" s="333"/>
      <c r="D50" s="333"/>
    </row>
    <row r="51" spans="1:4">
      <c r="A51" s="333"/>
      <c r="B51" s="333"/>
      <c r="C51" s="333"/>
      <c r="D51" s="333"/>
    </row>
    <row r="52" spans="1:4">
      <c r="A52" s="333"/>
      <c r="B52" s="333"/>
      <c r="C52" s="333"/>
      <c r="D52" s="333"/>
    </row>
    <row r="53" spans="1:4">
      <c r="A53" s="333"/>
      <c r="B53" s="333"/>
      <c r="C53" s="333"/>
      <c r="D53" s="333"/>
    </row>
    <row r="54" spans="1:4">
      <c r="A54" s="333"/>
      <c r="B54" s="333"/>
      <c r="C54" s="333"/>
      <c r="D54" s="333"/>
    </row>
  </sheetData>
  <mergeCells count="51">
    <mergeCell ref="A53:D53"/>
    <mergeCell ref="A54:D54"/>
    <mergeCell ref="C4:D4"/>
    <mergeCell ref="C6:D6"/>
    <mergeCell ref="C5:D5"/>
    <mergeCell ref="A8:D8"/>
    <mergeCell ref="A47:D47"/>
    <mergeCell ref="A48:D48"/>
    <mergeCell ref="A49:D49"/>
    <mergeCell ref="A50:D50"/>
    <mergeCell ref="A51:D51"/>
    <mergeCell ref="A52:D52"/>
    <mergeCell ref="A41:D41"/>
    <mergeCell ref="A42:D42"/>
    <mergeCell ref="A43:D43"/>
    <mergeCell ref="A44:D44"/>
    <mergeCell ref="A45:D45"/>
    <mergeCell ref="A46:D46"/>
    <mergeCell ref="A35:D35"/>
    <mergeCell ref="A36:D36"/>
    <mergeCell ref="A37:D37"/>
    <mergeCell ref="A38:D38"/>
    <mergeCell ref="A39:D39"/>
    <mergeCell ref="A40:D40"/>
    <mergeCell ref="A34:D34"/>
    <mergeCell ref="A23:D23"/>
    <mergeCell ref="A24:D24"/>
    <mergeCell ref="A25:D25"/>
    <mergeCell ref="A26:D26"/>
    <mergeCell ref="A27:D27"/>
    <mergeCell ref="A28:D28"/>
    <mergeCell ref="A29:D29"/>
    <mergeCell ref="A30:D30"/>
    <mergeCell ref="A31:D31"/>
    <mergeCell ref="A32:D32"/>
    <mergeCell ref="A33:D33"/>
    <mergeCell ref="A22:D22"/>
    <mergeCell ref="A15:D15"/>
    <mergeCell ref="C1:D1"/>
    <mergeCell ref="A16:C16"/>
    <mergeCell ref="A18:D18"/>
    <mergeCell ref="A19:D19"/>
    <mergeCell ref="A20:D20"/>
    <mergeCell ref="A21:D21"/>
    <mergeCell ref="C2:D2"/>
    <mergeCell ref="B10:C10"/>
    <mergeCell ref="B11:C11"/>
    <mergeCell ref="B12:C12"/>
    <mergeCell ref="B13:C13"/>
    <mergeCell ref="B14:C14"/>
    <mergeCell ref="A9:D9"/>
  </mergeCells>
  <pageMargins left="0.7" right="0.7" top="0.75" bottom="0.75" header="0.3" footer="0.3"/>
  <pageSetup paperSize="9" scale="8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7">
    <tabColor rgb="FF00B050"/>
  </sheetPr>
  <dimension ref="B1:G42"/>
  <sheetViews>
    <sheetView view="pageBreakPreview" topLeftCell="A25" zoomScaleSheetLayoutView="100" workbookViewId="0">
      <selection activeCell="E8" sqref="E8"/>
    </sheetView>
  </sheetViews>
  <sheetFormatPr defaultColWidth="9.140625" defaultRowHeight="15"/>
  <cols>
    <col min="1" max="1" width="3.42578125" style="15" customWidth="1"/>
    <col min="2" max="3" width="17.85546875" style="20" customWidth="1"/>
    <col min="4" max="4" width="15" style="20" customWidth="1"/>
    <col min="5" max="5" width="17.85546875" style="20" customWidth="1"/>
    <col min="6" max="6" width="9" style="20" customWidth="1"/>
    <col min="7" max="7" width="4.7109375" style="20" customWidth="1"/>
    <col min="8" max="16384" width="9.140625" style="15"/>
  </cols>
  <sheetData>
    <row r="1" spans="2:7" ht="15.75" thickBot="1"/>
    <row r="2" spans="2:7" ht="62.25" customHeight="1">
      <c r="B2" s="350" t="str">
        <f>malumot!B154</f>
        <v>«CLEVER MIKROMOLIYA TASHKILOTI» MChJ</v>
      </c>
      <c r="C2" s="351"/>
      <c r="D2" s="351"/>
      <c r="E2" s="351"/>
      <c r="F2" s="352"/>
      <c r="G2" s="41"/>
    </row>
    <row r="3" spans="2:7">
      <c r="B3" s="342"/>
      <c r="C3" s="314"/>
      <c r="D3" s="314"/>
      <c r="E3" s="314"/>
      <c r="F3" s="343"/>
      <c r="G3" s="42"/>
    </row>
    <row r="4" spans="2:7" ht="8.25" customHeight="1">
      <c r="B4" s="54"/>
      <c r="F4" s="55"/>
      <c r="G4" s="42"/>
    </row>
    <row r="5" spans="2:7" ht="12" customHeight="1">
      <c r="B5" s="44"/>
      <c r="C5" s="42"/>
      <c r="D5" s="42"/>
      <c r="E5" s="42"/>
      <c r="F5" s="45"/>
      <c r="G5" s="42"/>
    </row>
    <row r="6" spans="2:7" ht="6.75" customHeight="1">
      <c r="B6" s="44"/>
      <c r="C6" s="42"/>
      <c r="D6" s="42"/>
      <c r="E6" s="42"/>
      <c r="F6" s="45"/>
      <c r="G6" s="42"/>
    </row>
    <row r="7" spans="2:7" ht="6.75" customHeight="1">
      <c r="B7" s="44"/>
      <c r="C7" s="42"/>
      <c r="D7" s="42"/>
      <c r="E7" s="42"/>
      <c r="F7" s="45"/>
      <c r="G7" s="42"/>
    </row>
    <row r="8" spans="2:7">
      <c r="B8" s="44"/>
      <c r="C8" s="42"/>
      <c r="D8" s="42"/>
      <c r="E8" s="42"/>
      <c r="F8" s="45"/>
      <c r="G8" s="42"/>
    </row>
    <row r="9" spans="2:7">
      <c r="B9" s="44"/>
      <c r="C9" s="42"/>
      <c r="D9" s="42"/>
      <c r="E9" s="42"/>
      <c r="F9" s="45"/>
      <c r="G9" s="42"/>
    </row>
    <row r="10" spans="2:7">
      <c r="B10" s="342" t="s">
        <v>27</v>
      </c>
      <c r="C10" s="314"/>
      <c r="D10" s="314"/>
      <c r="E10" s="314"/>
      <c r="F10" s="343"/>
      <c r="G10" s="42"/>
    </row>
    <row r="11" spans="2:7">
      <c r="B11" s="342" t="s">
        <v>27</v>
      </c>
      <c r="C11" s="314"/>
      <c r="D11" s="314"/>
      <c r="E11" s="314"/>
      <c r="F11" s="343"/>
      <c r="G11" s="42"/>
    </row>
    <row r="12" spans="2:7" ht="135" customHeight="1">
      <c r="B12" s="353" t="str">
        <f>malumot!B5</f>
        <v>SHAYMARDANOVA SABOXAT YULDASHEVNA</v>
      </c>
      <c r="C12" s="354"/>
      <c r="D12" s="354"/>
      <c r="E12" s="354"/>
      <c r="F12" s="355"/>
      <c r="G12" s="43"/>
    </row>
    <row r="13" spans="2:7">
      <c r="B13" s="342"/>
      <c r="C13" s="314"/>
      <c r="D13" s="314"/>
      <c r="E13" s="314"/>
      <c r="F13" s="343"/>
      <c r="G13" s="42"/>
    </row>
    <row r="14" spans="2:7">
      <c r="B14" s="44"/>
      <c r="C14" s="42"/>
      <c r="D14" s="42"/>
      <c r="E14" s="42"/>
      <c r="F14" s="45"/>
      <c r="G14" s="42"/>
    </row>
    <row r="15" spans="2:7">
      <c r="B15" s="44"/>
      <c r="C15" s="42"/>
      <c r="D15" s="42"/>
      <c r="E15" s="42"/>
      <c r="F15" s="45"/>
      <c r="G15" s="42"/>
    </row>
    <row r="16" spans="2:7">
      <c r="B16" s="44"/>
      <c r="C16" s="42"/>
      <c r="D16" s="42"/>
      <c r="E16" s="42"/>
      <c r="F16" s="45"/>
      <c r="G16" s="42"/>
    </row>
    <row r="17" spans="2:7">
      <c r="B17" s="44"/>
      <c r="C17" s="42"/>
      <c r="D17" s="42"/>
      <c r="E17" s="42"/>
      <c r="F17" s="45"/>
      <c r="G17" s="42"/>
    </row>
    <row r="18" spans="2:7">
      <c r="B18" s="342"/>
      <c r="C18" s="314"/>
      <c r="D18" s="314"/>
      <c r="E18" s="314"/>
      <c r="F18" s="343"/>
      <c r="G18" s="42"/>
    </row>
    <row r="19" spans="2:7" ht="20.25">
      <c r="B19" s="347" t="str">
        <f>""&amp;malumot!C64&amp;" shartnoma "&amp;malumot!B74&amp;""</f>
        <v>Mikroqarz shartnoma 24 mart 2025 y.dan №659-SR</v>
      </c>
      <c r="C19" s="348"/>
      <c r="D19" s="348"/>
      <c r="E19" s="348"/>
      <c r="F19" s="349"/>
      <c r="G19" s="42"/>
    </row>
    <row r="20" spans="2:7">
      <c r="B20" s="342"/>
      <c r="C20" s="314"/>
      <c r="D20" s="314"/>
      <c r="E20" s="314"/>
      <c r="F20" s="343"/>
      <c r="G20" s="42"/>
    </row>
    <row r="21" spans="2:7">
      <c r="B21" s="342"/>
      <c r="C21" s="314"/>
      <c r="D21" s="314"/>
      <c r="E21" s="314"/>
      <c r="F21" s="343"/>
      <c r="G21" s="42"/>
    </row>
    <row r="22" spans="2:7">
      <c r="B22" s="342"/>
      <c r="C22" s="314"/>
      <c r="D22" s="314"/>
      <c r="E22" s="314"/>
      <c r="F22" s="343"/>
      <c r="G22" s="42"/>
    </row>
    <row r="23" spans="2:7">
      <c r="B23" s="342"/>
      <c r="C23" s="314"/>
      <c r="D23" s="314"/>
      <c r="E23" s="314"/>
      <c r="F23" s="343"/>
      <c r="G23" s="42"/>
    </row>
    <row r="24" spans="2:7">
      <c r="B24" s="344" t="str">
        <f>" Foiz stavkasi: "&amp;malumot!B85&amp;"%"</f>
        <v xml:space="preserve"> Foiz stavkasi: 60%</v>
      </c>
      <c r="C24" s="345"/>
      <c r="D24" s="345"/>
      <c r="E24" s="345"/>
      <c r="F24" s="346"/>
      <c r="G24" s="42"/>
    </row>
    <row r="25" spans="2:7" ht="15" customHeight="1">
      <c r="B25" s="344" t="str">
        <f>" "&amp;malumot!C64&amp;" muddati: "&amp;malumot!B81&amp;" oy"</f>
        <v xml:space="preserve"> Mikroqarz muddati: 36 oy</v>
      </c>
      <c r="C25" s="345"/>
      <c r="D25" s="345"/>
      <c r="E25" s="345"/>
      <c r="F25" s="346"/>
      <c r="G25" s="42"/>
    </row>
    <row r="26" spans="2:7">
      <c r="B26" s="344" t="str">
        <f>" "&amp;malumot!C64&amp;" miqdori: "&amp;FIXED(malumot!B75,2)&amp;" so'm"</f>
        <v xml:space="preserve"> Mikroqarz miqdori: 52 000 000,00 so'm</v>
      </c>
      <c r="C26" s="345"/>
      <c r="D26" s="345"/>
      <c r="E26" s="345"/>
      <c r="F26" s="346"/>
      <c r="G26" s="42"/>
    </row>
    <row r="27" spans="2:7">
      <c r="B27" s="342"/>
      <c r="C27" s="314"/>
      <c r="D27" s="314"/>
      <c r="E27" s="314"/>
      <c r="F27" s="343"/>
      <c r="G27" s="42"/>
    </row>
    <row r="28" spans="2:7" hidden="1">
      <c r="G28" s="42"/>
    </row>
    <row r="29" spans="2:7">
      <c r="B29" s="342"/>
      <c r="C29" s="314"/>
      <c r="D29" s="314"/>
      <c r="E29" s="314"/>
      <c r="F29" s="343"/>
      <c r="G29" s="42"/>
    </row>
    <row r="30" spans="2:7" ht="12.75" customHeight="1">
      <c r="B30" s="44"/>
      <c r="C30" s="42"/>
      <c r="D30" s="42"/>
      <c r="E30" s="42"/>
      <c r="F30" s="45"/>
      <c r="G30" s="42"/>
    </row>
    <row r="31" spans="2:7">
      <c r="B31" s="44"/>
      <c r="C31" s="42"/>
      <c r="D31" s="42"/>
      <c r="E31" s="42"/>
      <c r="F31" s="45"/>
      <c r="G31" s="42"/>
    </row>
    <row r="32" spans="2:7" ht="2.25" customHeight="1">
      <c r="B32" s="44"/>
      <c r="C32" s="42"/>
      <c r="D32" s="42"/>
      <c r="E32" s="42"/>
      <c r="F32" s="45"/>
      <c r="G32" s="42"/>
    </row>
    <row r="33" spans="2:7">
      <c r="B33" s="44"/>
      <c r="C33" s="42"/>
      <c r="D33" s="42"/>
      <c r="E33" s="42"/>
      <c r="F33" s="45"/>
      <c r="G33" s="42"/>
    </row>
    <row r="34" spans="2:7">
      <c r="B34" s="44"/>
      <c r="C34" s="42"/>
      <c r="D34" s="42"/>
      <c r="E34" s="42"/>
      <c r="F34" s="45"/>
      <c r="G34" s="42"/>
    </row>
    <row r="35" spans="2:7">
      <c r="B35" s="44"/>
      <c r="C35" s="42"/>
      <c r="D35" s="42"/>
      <c r="E35" s="42"/>
      <c r="F35" s="45"/>
      <c r="G35" s="42"/>
    </row>
    <row r="36" spans="2:7">
      <c r="B36" s="44"/>
      <c r="C36" s="42"/>
      <c r="D36" s="42"/>
      <c r="E36" s="42"/>
      <c r="F36" s="45"/>
      <c r="G36" s="42"/>
    </row>
    <row r="37" spans="2:7">
      <c r="B37" s="44"/>
      <c r="C37" s="42"/>
      <c r="D37" s="42"/>
      <c r="E37" s="42"/>
      <c r="F37" s="45"/>
      <c r="G37" s="42"/>
    </row>
    <row r="38" spans="2:7">
      <c r="B38" s="44"/>
      <c r="C38" s="42"/>
      <c r="D38" s="42"/>
      <c r="E38" s="42"/>
      <c r="F38" s="45"/>
      <c r="G38" s="42"/>
    </row>
    <row r="39" spans="2:7">
      <c r="B39" s="44"/>
      <c r="C39" s="42"/>
      <c r="D39" s="42"/>
      <c r="E39" s="42"/>
      <c r="F39" s="45"/>
      <c r="G39" s="42"/>
    </row>
    <row r="40" spans="2:7" ht="15.75" thickBot="1">
      <c r="B40" s="339" t="str">
        <f>"Toshkent sh., "&amp;malumot!B70&amp;""</f>
        <v>Toshkent sh., 24 mart 2025 y.</v>
      </c>
      <c r="C40" s="340"/>
      <c r="D40" s="340"/>
      <c r="E40" s="340"/>
      <c r="F40" s="341"/>
      <c r="G40" s="42"/>
    </row>
    <row r="41" spans="2:7">
      <c r="B41" s="314"/>
      <c r="C41" s="314"/>
      <c r="D41" s="314"/>
      <c r="E41" s="314"/>
      <c r="F41" s="314"/>
      <c r="G41" s="42"/>
    </row>
    <row r="42" spans="2:7">
      <c r="B42" s="314"/>
      <c r="C42" s="314"/>
      <c r="D42" s="314"/>
      <c r="E42" s="314"/>
      <c r="F42" s="314"/>
      <c r="G42" s="42"/>
    </row>
  </sheetData>
  <mergeCells count="20">
    <mergeCell ref="B18:F18"/>
    <mergeCell ref="B19:F19"/>
    <mergeCell ref="B20:F20"/>
    <mergeCell ref="B2:F2"/>
    <mergeCell ref="B3:F3"/>
    <mergeCell ref="B10:F10"/>
    <mergeCell ref="B11:F11"/>
    <mergeCell ref="B12:F12"/>
    <mergeCell ref="B13:F13"/>
    <mergeCell ref="B40:F40"/>
    <mergeCell ref="B41:F41"/>
    <mergeCell ref="B42:F42"/>
    <mergeCell ref="B21:F21"/>
    <mergeCell ref="B22:F22"/>
    <mergeCell ref="B23:F23"/>
    <mergeCell ref="B27:F27"/>
    <mergeCell ref="B29:F29"/>
    <mergeCell ref="B24:F24"/>
    <mergeCell ref="B25:F25"/>
    <mergeCell ref="B26:F26"/>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5">
    <tabColor rgb="FF00B050"/>
  </sheetPr>
  <dimension ref="A1:F43"/>
  <sheetViews>
    <sheetView view="pageBreakPreview" topLeftCell="A21" zoomScaleSheetLayoutView="100" workbookViewId="0">
      <selection activeCell="F26" sqref="F26"/>
    </sheetView>
  </sheetViews>
  <sheetFormatPr defaultColWidth="9.140625" defaultRowHeight="12.75"/>
  <cols>
    <col min="1" max="6" width="14.28515625" style="24" customWidth="1"/>
    <col min="7" max="16384" width="9.140625" style="24"/>
  </cols>
  <sheetData>
    <row r="1" spans="1:6">
      <c r="A1" s="357" t="s">
        <v>217</v>
      </c>
      <c r="B1" s="357"/>
      <c r="C1" s="357"/>
      <c r="D1" s="357"/>
      <c r="E1" s="357"/>
      <c r="F1" s="357"/>
    </row>
    <row r="2" spans="1:6" ht="35.25" customHeight="1">
      <c r="A2" s="358" t="s">
        <v>325</v>
      </c>
      <c r="B2" s="358"/>
      <c r="C2" s="358"/>
      <c r="D2" s="358"/>
      <c r="E2" s="358"/>
      <c r="F2" s="358"/>
    </row>
    <row r="3" spans="1:6">
      <c r="A3" s="357" t="s">
        <v>218</v>
      </c>
      <c r="B3" s="357"/>
      <c r="C3" s="357"/>
      <c r="D3" s="357"/>
      <c r="E3" s="357"/>
      <c r="F3" s="357"/>
    </row>
    <row r="4" spans="1:6">
      <c r="A4" s="356" t="str">
        <f>xulosa!A4:E4</f>
        <v>Mijozning to'liq ismi sharifi: SHAYMARDANOVA SABOXAT YULDASHEVNA</v>
      </c>
      <c r="B4" s="356"/>
      <c r="C4" s="356"/>
      <c r="D4" s="356"/>
      <c r="E4" s="356"/>
      <c r="F4" s="356"/>
    </row>
    <row r="5" spans="1:6">
      <c r="A5" s="356" t="str">
        <f>xulosa!A5:E5</f>
        <v>Tug'ilgan sanasi: 09.11.1976 yil</v>
      </c>
      <c r="B5" s="356"/>
      <c r="C5" s="356"/>
      <c r="D5" s="356"/>
      <c r="E5" s="356"/>
      <c r="F5" s="356"/>
    </row>
    <row r="6" spans="1:6" ht="32.25" customHeight="1">
      <c r="A6" s="356" t="str">
        <f>xulosa!A6:E6</f>
        <v>Pasport seriyasi AC 1659096 SURXONDARYO VILOYATI JARQO'RG'ON TUMANI IIB tomonidan 21.02.2019 yilda berilgan, amal qilish muddati - 20.02.2029 y.</v>
      </c>
      <c r="B6" s="356"/>
      <c r="C6" s="356"/>
      <c r="D6" s="356"/>
      <c r="E6" s="356"/>
      <c r="F6" s="356"/>
    </row>
    <row r="7" spans="1:6">
      <c r="A7" s="356" t="str">
        <f>"Fuqaroligi: "&amp;malumot!B32&amp;""</f>
        <v>Fuqaroligi: O’zbekiston Respublikasi</v>
      </c>
      <c r="B7" s="356"/>
      <c r="C7" s="356"/>
      <c r="D7" s="356"/>
      <c r="E7" s="356"/>
      <c r="F7" s="356"/>
    </row>
    <row r="8" spans="1:6" ht="26.25" customHeight="1">
      <c r="A8" s="356" t="str">
        <f>xulosa!A7:E7</f>
        <v>Ro‘yxatdan o‘tgan manzili: SURXONDARYO VILOYATI JARQO'RG'ON TUMANI QORAYONTOQ MFY IBN SINO KO'CHASI 114-UY, mo'ljal: QORAYONTOQ BEKAT</v>
      </c>
      <c r="B8" s="356"/>
      <c r="C8" s="356"/>
      <c r="D8" s="356"/>
      <c r="E8" s="356"/>
      <c r="F8" s="356"/>
    </row>
    <row r="9" spans="1:6">
      <c r="A9" s="356" t="str">
        <f>IF(malumot!B23="mos keladi"," ",mijoz_anketasi!A10:F10)</f>
        <v xml:space="preserve"> </v>
      </c>
      <c r="B9" s="356"/>
      <c r="C9" s="356"/>
      <c r="D9" s="356"/>
      <c r="E9" s="356"/>
      <c r="F9" s="356"/>
    </row>
    <row r="10" spans="1:6" ht="31.5" hidden="1" customHeight="1">
      <c r="A10" s="356" t="str">
        <f>"Haqiqatdan yashash joy manzili: "&amp;malumot!B28&amp;""</f>
        <v>Haqiqatdan yashash joy manzili: SURXONDARYO VILOYATI JARQO'RG'ON TUMANI QORAYONTOQ MFY IBN SINO KO'CHASI 114-UY</v>
      </c>
      <c r="B10" s="356"/>
      <c r="C10" s="356"/>
      <c r="D10" s="356"/>
      <c r="E10" s="356"/>
      <c r="F10" s="356"/>
    </row>
    <row r="11" spans="1:6" ht="16.5" hidden="1" customHeight="1">
      <c r="A11" s="356" t="str">
        <f>xulosa!A8:E8</f>
        <v>Ish joyi:  lavozimi Yakka tartibdagi tadbirkorda Yakka tartibdagi tadbirkor</v>
      </c>
      <c r="B11" s="356"/>
      <c r="C11" s="356"/>
      <c r="D11" s="356"/>
      <c r="E11" s="356"/>
      <c r="F11" s="356"/>
    </row>
    <row r="12" spans="1:6">
      <c r="A12" s="357" t="s">
        <v>219</v>
      </c>
      <c r="B12" s="357"/>
      <c r="C12" s="357"/>
      <c r="D12" s="357"/>
      <c r="E12" s="357"/>
      <c r="F12" s="357"/>
    </row>
    <row r="13" spans="1:6">
      <c r="A13" s="356" t="str">
        <f>"Uy telefoni raqami: "&amp;malumot!B40&amp;""</f>
        <v>Uy telefoni raqami: 94-706-67-09 UY RAQAMI</v>
      </c>
      <c r="B13" s="356"/>
      <c r="C13" s="356"/>
      <c r="D13" s="356"/>
      <c r="E13" s="356"/>
      <c r="F13" s="356"/>
    </row>
    <row r="14" spans="1:6">
      <c r="A14" s="356" t="str">
        <f>"Uyali telefon raqami: "&amp;malumot!B41&amp;""</f>
        <v>Uyali telefon raqami: 93-763-00-67 MIJOZ</v>
      </c>
      <c r="B14" s="356"/>
      <c r="C14" s="356"/>
      <c r="D14" s="356"/>
      <c r="E14" s="356"/>
      <c r="F14" s="356"/>
    </row>
    <row r="15" spans="1:6">
      <c r="A15" s="356" t="str">
        <f>"Uyali telefon raqami: "&amp;malumot!B42&amp;""</f>
        <v>Uyali telefon raqami: 93-761-09-76 TURMUSH O'RTOG'I</v>
      </c>
      <c r="B15" s="356"/>
      <c r="C15" s="356"/>
      <c r="D15" s="356"/>
      <c r="E15" s="356"/>
      <c r="F15" s="356"/>
    </row>
    <row r="16" spans="1:6" hidden="1">
      <c r="A16" s="356" t="str">
        <f>"Uyali telefon raqami: "&amp;malumot!B42&amp;""</f>
        <v>Uyali telefon raqami: 93-761-09-76 TURMUSH O'RTOG'I</v>
      </c>
      <c r="B16" s="356"/>
      <c r="C16" s="356"/>
      <c r="D16" s="356"/>
      <c r="E16" s="356"/>
      <c r="F16" s="356"/>
    </row>
    <row r="17" spans="1:6">
      <c r="A17" s="356" t="str">
        <f>"Ish telefoni raqami: "&amp;malumot!B43&amp;""</f>
        <v xml:space="preserve">Ish telefoni raqami: </v>
      </c>
      <c r="B17" s="356"/>
      <c r="C17" s="356"/>
      <c r="D17" s="356"/>
      <c r="E17" s="356"/>
      <c r="F17" s="356"/>
    </row>
    <row r="18" spans="1:6">
      <c r="A18" s="357" t="s">
        <v>220</v>
      </c>
      <c r="B18" s="357"/>
      <c r="C18" s="357"/>
      <c r="D18" s="357"/>
      <c r="E18" s="357"/>
      <c r="F18" s="357"/>
    </row>
    <row r="19" spans="1:6">
      <c r="A19" s="356" t="str">
        <f>"Muassasa nomlanishi:"&amp;malumot!B58&amp;""</f>
        <v>Muassasa nomlanishi:Yakka tartibdagi tadbirkor</v>
      </c>
      <c r="B19" s="356"/>
      <c r="C19" s="356"/>
      <c r="D19" s="356"/>
      <c r="E19" s="356"/>
      <c r="F19" s="356"/>
    </row>
    <row r="20" spans="1:6">
      <c r="A20" s="356" t="str">
        <f>"Ro‘yxatdan o‘tish manzili:"&amp;malumot!B50&amp;""</f>
        <v>Ro‘yxatdan o‘tish manzili:</v>
      </c>
      <c r="B20" s="356"/>
      <c r="C20" s="356"/>
      <c r="D20" s="356"/>
      <c r="E20" s="356"/>
      <c r="F20" s="356"/>
    </row>
    <row r="21" spans="1:6">
      <c r="A21" s="356" t="str">
        <f>"Lavozimi: "&amp;malumot!B59&amp;""</f>
        <v>Lavozimi: Yakka tartibdagi tadbirkor</v>
      </c>
      <c r="B21" s="356"/>
      <c r="C21" s="356"/>
      <c r="D21" s="356"/>
      <c r="E21" s="356"/>
      <c r="F21" s="356"/>
    </row>
    <row r="22" spans="1:6">
      <c r="A22" s="357" t="s">
        <v>221</v>
      </c>
      <c r="B22" s="359"/>
      <c r="C22" s="359"/>
      <c r="D22" s="359"/>
      <c r="E22" s="359"/>
      <c r="F22" s="359"/>
    </row>
    <row r="23" spans="1:6" s="26" customFormat="1" ht="25.5">
      <c r="A23" s="25" t="s">
        <v>222</v>
      </c>
      <c r="B23" s="25" t="s">
        <v>223</v>
      </c>
      <c r="C23" s="25" t="s">
        <v>224</v>
      </c>
      <c r="D23" s="25" t="s">
        <v>225</v>
      </c>
      <c r="E23" s="25" t="s">
        <v>226</v>
      </c>
      <c r="F23" s="25" t="s">
        <v>227</v>
      </c>
    </row>
    <row r="24" spans="1:6" ht="51">
      <c r="A24" s="27" t="s">
        <v>228</v>
      </c>
      <c r="B24" s="28">
        <f>malumot!B60</f>
        <v>14000000</v>
      </c>
      <c r="C24" s="28">
        <v>0</v>
      </c>
      <c r="D24" s="28">
        <v>0</v>
      </c>
      <c r="E24" s="27" t="s">
        <v>231</v>
      </c>
      <c r="F24" s="28">
        <v>700000</v>
      </c>
    </row>
    <row r="25" spans="1:6" ht="25.5">
      <c r="A25" s="27" t="s">
        <v>229</v>
      </c>
      <c r="B25" s="28">
        <v>0</v>
      </c>
      <c r="C25" s="28">
        <v>0</v>
      </c>
      <c r="D25" s="28">
        <v>0</v>
      </c>
      <c r="E25" s="27" t="s">
        <v>232</v>
      </c>
      <c r="F25" s="28">
        <v>450000</v>
      </c>
    </row>
    <row r="26" spans="1:6" ht="28.5" customHeight="1">
      <c r="A26" s="27" t="s">
        <v>230</v>
      </c>
      <c r="B26" s="28">
        <f>malumot!B61</f>
        <v>0</v>
      </c>
      <c r="C26" s="28">
        <v>0</v>
      </c>
      <c r="D26" s="28">
        <v>0</v>
      </c>
      <c r="E26" s="27" t="s">
        <v>233</v>
      </c>
      <c r="F26" s="28">
        <v>500000</v>
      </c>
    </row>
    <row r="27" spans="1:6" s="31" customFormat="1">
      <c r="A27" s="29" t="s">
        <v>209</v>
      </c>
      <c r="B27" s="30">
        <f>B24+B25+B26</f>
        <v>14000000</v>
      </c>
      <c r="C27" s="30">
        <f t="shared" ref="C27:D27" si="0">SUM(C24:C26)</f>
        <v>0</v>
      </c>
      <c r="D27" s="30">
        <f t="shared" si="0"/>
        <v>0</v>
      </c>
      <c r="E27" s="29"/>
      <c r="F27" s="30">
        <f>F24+F25+F26</f>
        <v>1650000</v>
      </c>
    </row>
    <row r="28" spans="1:6" ht="31.5" customHeight="1">
      <c r="A28" s="356" t="str">
        <f>"Men, "&amp;malumot!B5&amp;", ushbu anketada ko‘rsatilgan barcha ma'lumotlar anketa to'ldirilgan sanada  to'g'ri va aniq ekanligini tasdiqlayman."</f>
        <v>Men, SHAYMARDANOVA SABOXAT YULDASHEVNA, ushbu anketada ko‘rsatilgan barcha ma'lumotlar anketa to'ldirilgan sanada  to'g'ri va aniq ekanligini tasdiqlayman.</v>
      </c>
      <c r="B28" s="356"/>
      <c r="C28" s="356"/>
      <c r="D28" s="356"/>
      <c r="E28" s="356"/>
      <c r="F28" s="356"/>
    </row>
    <row r="29" spans="1:6">
      <c r="A29" s="356" t="str">
        <f>"Men,  "&amp;malumot!B5&amp;", quyidagilarni tan olaman va roziman::"</f>
        <v>Men,  SHAYMARDANOVA SABOXAT YULDASHEVNA, quyidagilarni tan olaman va roziman::</v>
      </c>
      <c r="B29" s="356"/>
      <c r="C29" s="356"/>
      <c r="D29" s="356"/>
      <c r="E29" s="356"/>
      <c r="F29" s="356"/>
    </row>
    <row r="30" spans="1:6" ht="45.75" customHeight="1">
      <c r="A30" s="356" t="str">
        <f>"1.  Ushbu anketada ko‘rsatilgan har qanday ma’lumot  "&amp;malumot!B153&amp;",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356"/>
      <c r="C30" s="356"/>
      <c r="D30" s="356"/>
      <c r="E30" s="356"/>
      <c r="F30" s="356"/>
    </row>
    <row r="31" spans="1:6" ht="42.75" customHeight="1">
      <c r="A31" s="356" t="str">
        <f>"2. Mazkur anketaning "&amp;malumot!B153&amp;" tomonidan qabul qilinishi “Clever Mikromoliya Tashkiloti” MChJ tomonidan menga "&amp;malumot!B65&amp;" berish majburiyatini yuklamaydi."</f>
        <v>2. Mazkur anketaning «CLEVER MIKROMOLIYA TASHKILOTI» MChJ tomonidan qabul qilinishi “Clever Mikromoliya Tashkiloti” MChJ tomonidan menga mikroqarz berish majburiyatini yuklamaydi.</v>
      </c>
      <c r="B31" s="356"/>
      <c r="C31" s="356"/>
      <c r="D31" s="356"/>
      <c r="E31" s="356"/>
      <c r="F31" s="356"/>
    </row>
    <row r="32" spans="1:6" ht="71.25" customHeight="1">
      <c r="A32" s="356" t="s">
        <v>234</v>
      </c>
      <c r="B32" s="356"/>
      <c r="C32" s="356"/>
      <c r="D32" s="356"/>
      <c r="E32" s="356"/>
      <c r="F32" s="356"/>
    </row>
    <row r="33" spans="1:6">
      <c r="A33" s="356"/>
      <c r="B33" s="356"/>
      <c r="C33" s="356"/>
      <c r="D33" s="356"/>
      <c r="E33" s="356"/>
      <c r="F33" s="356"/>
    </row>
    <row r="34" spans="1:6" ht="12.75" customHeight="1">
      <c r="A34" s="359" t="s">
        <v>235</v>
      </c>
      <c r="B34" s="359"/>
      <c r="C34" s="359"/>
      <c r="D34" s="143" t="s">
        <v>157</v>
      </c>
      <c r="E34" s="359" t="s">
        <v>236</v>
      </c>
      <c r="F34" s="359"/>
    </row>
    <row r="35" spans="1:6" ht="25.5" customHeight="1">
      <c r="A35" s="360"/>
      <c r="B35" s="360"/>
      <c r="C35" s="360"/>
      <c r="D35" s="361" t="str">
        <f>malumot!B2</f>
        <v>24.03.2025</v>
      </c>
      <c r="E35" s="360"/>
      <c r="F35" s="360"/>
    </row>
    <row r="36" spans="1:6" ht="25.5" customHeight="1">
      <c r="A36" s="360"/>
      <c r="B36" s="360"/>
      <c r="C36" s="360"/>
      <c r="D36" s="361"/>
      <c r="E36" s="360"/>
      <c r="F36" s="360"/>
    </row>
    <row r="37" spans="1:6">
      <c r="A37" s="356"/>
      <c r="B37" s="356"/>
      <c r="C37" s="356"/>
      <c r="D37" s="356"/>
      <c r="E37" s="356"/>
      <c r="F37" s="356"/>
    </row>
    <row r="38" spans="1:6">
      <c r="A38" s="356"/>
      <c r="B38" s="356"/>
      <c r="C38" s="356"/>
      <c r="D38" s="356"/>
      <c r="E38" s="356"/>
      <c r="F38" s="356"/>
    </row>
    <row r="39" spans="1:6">
      <c r="A39" s="356"/>
      <c r="B39" s="356"/>
      <c r="C39" s="356"/>
      <c r="D39" s="356"/>
      <c r="E39" s="356"/>
      <c r="F39" s="356"/>
    </row>
    <row r="40" spans="1:6">
      <c r="A40" s="356"/>
      <c r="B40" s="356"/>
      <c r="C40" s="356"/>
      <c r="D40" s="356"/>
      <c r="E40" s="356"/>
      <c r="F40" s="356"/>
    </row>
    <row r="41" spans="1:6">
      <c r="A41" s="356"/>
      <c r="B41" s="356"/>
      <c r="C41" s="356"/>
      <c r="D41" s="356"/>
      <c r="E41" s="356"/>
      <c r="F41" s="356"/>
    </row>
    <row r="42" spans="1:6">
      <c r="A42" s="356"/>
      <c r="B42" s="356"/>
      <c r="C42" s="356"/>
      <c r="D42" s="356"/>
      <c r="E42" s="356"/>
      <c r="F42" s="356"/>
    </row>
    <row r="43" spans="1:6">
      <c r="A43" s="356"/>
      <c r="B43" s="356"/>
      <c r="C43" s="356"/>
      <c r="D43" s="356"/>
      <c r="E43" s="356"/>
      <c r="F43" s="356"/>
    </row>
  </sheetData>
  <mergeCells count="41">
    <mergeCell ref="A41:F41"/>
    <mergeCell ref="A42:F42"/>
    <mergeCell ref="A43:F43"/>
    <mergeCell ref="A34:C34"/>
    <mergeCell ref="E34:F34"/>
    <mergeCell ref="A35:C35"/>
    <mergeCell ref="D35:D36"/>
    <mergeCell ref="E35:F36"/>
    <mergeCell ref="A36:C36"/>
    <mergeCell ref="A37:F37"/>
    <mergeCell ref="A38:F38"/>
    <mergeCell ref="A39:F39"/>
    <mergeCell ref="A40:F40"/>
    <mergeCell ref="A29:F29"/>
    <mergeCell ref="A30:F30"/>
    <mergeCell ref="A31:F31"/>
    <mergeCell ref="A32:F32"/>
    <mergeCell ref="A33:F33"/>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15:F15"/>
    <mergeCell ref="A1:F1"/>
    <mergeCell ref="A2:F2"/>
    <mergeCell ref="A3:F3"/>
    <mergeCell ref="A4:F4"/>
    <mergeCell ref="A5:F5"/>
    <mergeCell ref="A6:F6"/>
  </mergeCells>
  <pageMargins left="0.7" right="0.7" top="0.75" bottom="0.75" header="0.3" footer="0.3"/>
  <pageSetup paperSize="9" scale="95"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22">
    <tabColor rgb="FF00B050"/>
  </sheetPr>
  <dimension ref="A3:B11"/>
  <sheetViews>
    <sheetView view="pageBreakPreview" zoomScale="85" zoomScaleNormal="100" zoomScaleSheetLayoutView="85" workbookViewId="0">
      <selection activeCell="A5" sqref="A5:B5"/>
    </sheetView>
  </sheetViews>
  <sheetFormatPr defaultRowHeight="15"/>
  <cols>
    <col min="1" max="1" width="54.42578125" style="15" customWidth="1"/>
    <col min="2" max="2" width="32.28515625" style="15" customWidth="1"/>
  </cols>
  <sheetData>
    <row r="3" spans="1:2" ht="35.25" customHeight="1">
      <c r="A3" s="362" t="s">
        <v>214</v>
      </c>
      <c r="B3" s="362"/>
    </row>
    <row r="4" spans="1:2" ht="92.25" customHeight="1">
      <c r="A4" s="287" t="str">
        <f>"     Men, fuqaro "&amp;malumot!B5&amp;" "&amp;malumot!B155&amp;" bilan "&amp;malumot!B69&amp;" sanasidagi "&amp;malumot!B66&amp;"-sonli shartnomaning garov ta'minoti sifatida taqdim etilayotgan mulk "&amp;malumot!B131&amp;" rusumli avtotransport vositasini qonunga xilof ravishda o‘zlashtirmaslikka, yashirmaslikka, nobud qilmaslikka yoki unga shikast yetkazmaslik majburiyatini olaman."</f>
        <v xml:space="preserve">     Men, fuqaro SHAYMARDANOVA SABOXAT YULDASHEVNA «CLEVER MIKROMOLIYA TASHKILOTI» MChJ bilan 24 mart 2025 y. sanasidagi №659-SR-sonli shartnomaning garov ta'minoti sifatida taqdim etilayotgan mulk LADA VESTA rusumli avtotransport vositasini qonunga xilof ravishda o‘zlashtirmaslikka, yashirmaslikka, nobud qilmaslikka yoki unga shikast yetkazmaslik majburiyatini olaman.</v>
      </c>
      <c r="B4" s="287"/>
    </row>
    <row r="5" spans="1:2" ht="56.25" customHeight="1">
      <c r="A5" s="363" t="s">
        <v>215</v>
      </c>
      <c r="B5" s="363"/>
    </row>
    <row r="6" spans="1:2" ht="42.75" customHeight="1"/>
    <row r="7" spans="1:2">
      <c r="A7" s="15" t="str">
        <f>malumot!B5</f>
        <v>SHAYMARDANOVA SABOXAT YULDASHEVNA</v>
      </c>
      <c r="B7" s="131" t="s">
        <v>216</v>
      </c>
    </row>
    <row r="8" spans="1:2" ht="26.25" customHeight="1"/>
    <row r="9" spans="1:2" ht="26.25" customHeight="1"/>
    <row r="10" spans="1:2" ht="26.25" customHeight="1"/>
    <row r="11" spans="1:2">
      <c r="A11" s="15" t="str">
        <f>"sana:   "&amp;TEXT(malumot!B2,"ДД.ММ.ГГГГ")&amp;" y."</f>
        <v>sana:   24.03.2025 y.</v>
      </c>
    </row>
  </sheetData>
  <mergeCells count="3">
    <mergeCell ref="A3:B3"/>
    <mergeCell ref="A4:B4"/>
    <mergeCell ref="A5:B5"/>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21">
    <tabColor rgb="FF00B050"/>
  </sheetPr>
  <dimension ref="A2:H33"/>
  <sheetViews>
    <sheetView view="pageBreakPreview" zoomScaleNormal="100" zoomScaleSheetLayoutView="100" workbookViewId="0">
      <selection activeCell="C5" sqref="C5:E5"/>
    </sheetView>
  </sheetViews>
  <sheetFormatPr defaultColWidth="9.140625" defaultRowHeight="15.75"/>
  <cols>
    <col min="1" max="2" width="17.42578125" style="118" customWidth="1"/>
    <col min="3" max="3" width="29.85546875" style="118" customWidth="1"/>
    <col min="4" max="4" width="18.140625" style="118" customWidth="1"/>
    <col min="5" max="5" width="6.5703125" style="118" customWidth="1"/>
    <col min="6" max="16384" width="9.140625" style="118"/>
  </cols>
  <sheetData>
    <row r="2" spans="1:5">
      <c r="A2" s="368" t="s">
        <v>237</v>
      </c>
      <c r="B2" s="368"/>
      <c r="C2" s="368"/>
      <c r="D2" s="368"/>
      <c r="E2" s="368"/>
    </row>
    <row r="3" spans="1:5">
      <c r="E3" s="117" t="str">
        <f>malumot!B68</f>
        <v>24 mart 2025 y.</v>
      </c>
    </row>
    <row r="5" spans="1:5" s="119" customFormat="1" ht="27" customHeight="1">
      <c r="A5" s="372" t="s">
        <v>238</v>
      </c>
      <c r="B5" s="373"/>
      <c r="C5" s="369" t="str">
        <f>malumot!B8</f>
        <v>SHAYMARDANOVA SABOXAT YULDASHEVNA</v>
      </c>
      <c r="D5" s="370"/>
      <c r="E5" s="371"/>
    </row>
    <row r="7" spans="1:5" ht="15.75" customHeight="1">
      <c r="A7" s="374" t="s">
        <v>355</v>
      </c>
      <c r="B7" s="375"/>
      <c r="C7" s="376"/>
      <c r="D7" s="120" t="s">
        <v>133</v>
      </c>
      <c r="E7" s="120"/>
    </row>
    <row r="8" spans="1:5">
      <c r="A8" s="377"/>
      <c r="B8" s="378"/>
      <c r="C8" s="379"/>
      <c r="D8" s="120" t="s">
        <v>242</v>
      </c>
      <c r="E8" s="120"/>
    </row>
    <row r="9" spans="1:5" ht="15.75" customHeight="1">
      <c r="A9" s="365" t="s">
        <v>239</v>
      </c>
      <c r="B9" s="365"/>
      <c r="C9" s="365"/>
      <c r="D9" s="120" t="s">
        <v>133</v>
      </c>
      <c r="E9" s="120"/>
    </row>
    <row r="10" spans="1:5">
      <c r="A10" s="365"/>
      <c r="B10" s="365"/>
      <c r="C10" s="365"/>
      <c r="D10" s="120" t="s">
        <v>242</v>
      </c>
      <c r="E10" s="120"/>
    </row>
    <row r="11" spans="1:5" ht="15.75" customHeight="1">
      <c r="A11" s="365" t="s">
        <v>240</v>
      </c>
      <c r="B11" s="365"/>
      <c r="C11" s="365"/>
      <c r="D11" s="120" t="s">
        <v>133</v>
      </c>
      <c r="E11" s="120"/>
    </row>
    <row r="12" spans="1:5">
      <c r="A12" s="365"/>
      <c r="B12" s="365"/>
      <c r="C12" s="365"/>
      <c r="D12" s="120" t="s">
        <v>242</v>
      </c>
      <c r="E12" s="120"/>
    </row>
    <row r="13" spans="1:5" ht="34.5" customHeight="1">
      <c r="A13" s="366" t="s">
        <v>241</v>
      </c>
      <c r="B13" s="366"/>
      <c r="C13" s="366"/>
      <c r="D13" s="366"/>
      <c r="E13" s="366"/>
    </row>
    <row r="14" spans="1:5" ht="16.5" thickBot="1">
      <c r="A14" s="367"/>
      <c r="B14" s="367"/>
      <c r="C14" s="367"/>
      <c r="D14" s="367"/>
      <c r="E14" s="367"/>
    </row>
    <row r="15" spans="1:5" ht="16.5" thickBot="1">
      <c r="A15" s="367"/>
      <c r="B15" s="367"/>
      <c r="C15" s="367"/>
      <c r="D15" s="367"/>
      <c r="E15" s="367"/>
    </row>
    <row r="16" spans="1:5" ht="16.5" thickBot="1">
      <c r="A16" s="367"/>
      <c r="B16" s="367"/>
      <c r="C16" s="367"/>
      <c r="D16" s="367"/>
      <c r="E16" s="367"/>
    </row>
    <row r="18" spans="1:8" ht="18.75" customHeight="1">
      <c r="A18" s="365" t="s">
        <v>243</v>
      </c>
      <c r="B18" s="365"/>
      <c r="C18" s="365"/>
      <c r="D18" s="120" t="s">
        <v>133</v>
      </c>
      <c r="E18" s="120"/>
    </row>
    <row r="19" spans="1:8" ht="18.75" customHeight="1">
      <c r="A19" s="365"/>
      <c r="B19" s="365"/>
      <c r="C19" s="365"/>
      <c r="D19" s="120" t="s">
        <v>242</v>
      </c>
      <c r="E19" s="120"/>
    </row>
    <row r="20" spans="1:8" ht="29.25" customHeight="1">
      <c r="A20" s="365" t="s">
        <v>244</v>
      </c>
      <c r="B20" s="365"/>
      <c r="C20" s="365"/>
      <c r="D20" s="120" t="s">
        <v>133</v>
      </c>
      <c r="E20" s="120"/>
    </row>
    <row r="21" spans="1:8" ht="29.25" customHeight="1">
      <c r="A21" s="365"/>
      <c r="B21" s="365"/>
      <c r="C21" s="365"/>
      <c r="D21" s="120" t="s">
        <v>242</v>
      </c>
      <c r="E21" s="120"/>
    </row>
    <row r="23" spans="1:8" ht="15.75" customHeight="1">
      <c r="A23" s="366" t="s">
        <v>245</v>
      </c>
      <c r="B23" s="366"/>
      <c r="C23" s="366"/>
      <c r="D23" s="366"/>
      <c r="E23" s="366"/>
    </row>
    <row r="24" spans="1:8" ht="16.5" thickBot="1">
      <c r="A24" s="367"/>
      <c r="B24" s="367"/>
      <c r="C24" s="367"/>
      <c r="D24" s="367"/>
      <c r="E24" s="367"/>
    </row>
    <row r="25" spans="1:8" ht="16.5" thickBot="1">
      <c r="A25" s="367"/>
      <c r="B25" s="367"/>
      <c r="C25" s="367"/>
      <c r="D25" s="367"/>
      <c r="E25" s="367"/>
    </row>
    <row r="26" spans="1:8" ht="16.5" thickBot="1">
      <c r="A26" s="367"/>
      <c r="B26" s="367"/>
      <c r="C26" s="367"/>
      <c r="D26" s="367"/>
      <c r="E26" s="367"/>
    </row>
    <row r="28" spans="1:8" ht="78.75" customHeight="1">
      <c r="A28" s="364" t="s">
        <v>246</v>
      </c>
      <c r="B28" s="364"/>
      <c r="C28" s="364"/>
      <c r="D28" s="364"/>
      <c r="E28" s="364"/>
    </row>
    <row r="30" spans="1:8" ht="33" customHeight="1">
      <c r="A30" s="364" t="s">
        <v>247</v>
      </c>
      <c r="B30" s="364"/>
      <c r="C30" s="364"/>
      <c r="D30" s="364"/>
      <c r="E30" s="364"/>
      <c r="F30" s="121"/>
      <c r="G30" s="121"/>
      <c r="H30" s="121"/>
    </row>
    <row r="33" spans="1:5" ht="16.5" thickBot="1">
      <c r="A33" s="122" t="str">
        <f>C5</f>
        <v>SHAYMARDANOVA SABOXAT YULDASHEVNA</v>
      </c>
      <c r="D33" s="123"/>
      <c r="E33" s="124"/>
    </row>
  </sheetData>
  <mergeCells count="18">
    <mergeCell ref="A2:E2"/>
    <mergeCell ref="C5:E5"/>
    <mergeCell ref="A5:B5"/>
    <mergeCell ref="A7:C8"/>
    <mergeCell ref="A9:C10"/>
    <mergeCell ref="A11:C12"/>
    <mergeCell ref="A13:E13"/>
    <mergeCell ref="A16:E16"/>
    <mergeCell ref="A15:E15"/>
    <mergeCell ref="A14:E14"/>
    <mergeCell ref="A28:E28"/>
    <mergeCell ref="A30:E30"/>
    <mergeCell ref="A18:C19"/>
    <mergeCell ref="A20:C21"/>
    <mergeCell ref="A23:E23"/>
    <mergeCell ref="A24:E24"/>
    <mergeCell ref="A25:E25"/>
    <mergeCell ref="A26:E26"/>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6">
    <tabColor rgb="FF00B050"/>
  </sheetPr>
  <dimension ref="A1:E77"/>
  <sheetViews>
    <sheetView view="pageBreakPreview" topLeftCell="A7" zoomScaleSheetLayoutView="100" workbookViewId="0">
      <selection activeCell="H22" sqref="H22"/>
    </sheetView>
  </sheetViews>
  <sheetFormatPr defaultColWidth="9.140625" defaultRowHeight="15.75"/>
  <cols>
    <col min="1" max="1" width="20.140625" style="6" customWidth="1"/>
    <col min="2" max="2" width="18.7109375" style="6" customWidth="1"/>
    <col min="3" max="3" width="19.7109375" style="6" customWidth="1"/>
    <col min="4" max="4" width="28.7109375" style="6" customWidth="1"/>
    <col min="5" max="16384" width="9.140625" style="6"/>
  </cols>
  <sheetData>
    <row r="1" spans="1:4" ht="66.75" customHeight="1">
      <c r="C1" s="380" t="str">
        <f>""&amp;malumot!B153&amp;"ning
"&amp;malumot!A156&amp;""</f>
        <v>«CLEVER MIKROMOLIYA TASHKILOTI» MChJning
Surxondaryo filiali boshlig'i</v>
      </c>
      <c r="D1" s="380"/>
    </row>
    <row r="2" spans="1:4">
      <c r="C2" s="13"/>
      <c r="D2" s="14" t="str">
        <f>""&amp;malumot!B156&amp;"ga"</f>
        <v>A.PARDAYEVga</v>
      </c>
    </row>
    <row r="4" spans="1:4">
      <c r="A4" s="282" t="str">
        <f>""&amp;malumot!C64&amp;" olish uchun Ariza"</f>
        <v>Mikroqarz olish uchun Ariza</v>
      </c>
      <c r="B4" s="282"/>
      <c r="C4" s="282"/>
      <c r="D4" s="282"/>
    </row>
    <row r="5" spans="1:4">
      <c r="A5" s="282"/>
      <c r="B5" s="282"/>
      <c r="C5" s="282"/>
      <c r="D5" s="282"/>
    </row>
    <row r="6" spans="1:4" ht="60" customHeight="1">
      <c r="A6" s="333" t="str">
        <f>""&amp;malumot!B28&amp;".-da yashovchi O‘zbekiston Respublikasi fuqarosi "&amp;malumot!B8&amp;"dan. "</f>
        <v xml:space="preserve">SURXONDARYO VILOYATI JARQO'RG'ON TUMANI QORAYONTOQ MFY IBN SINO KO'CHASI 114-UY.-da yashovchi O‘zbekiston Respublikasi fuqarosi SHAYMARDANOVA SABOXAT YULDASHEVNAdan. </v>
      </c>
      <c r="B6" s="333"/>
      <c r="C6" s="333"/>
      <c r="D6" s="333"/>
    </row>
    <row r="7" spans="1:4" ht="15.75" customHeight="1">
      <c r="A7" s="333" t="str">
        <f>"Tug'ilgan kuni: "&amp;malumot!B15&amp;""</f>
        <v>Tug'ilgan kuni: 09.11.1976 yil</v>
      </c>
      <c r="B7" s="333"/>
      <c r="C7" s="333"/>
      <c r="D7" s="333"/>
    </row>
    <row r="8" spans="1:4" ht="33" customHeight="1">
      <c r="A8" s="333" t="str">
        <f>"Pasport seriyasi: "&amp;malumot!B16&amp;" "&amp;malumot!B20&amp;""</f>
        <v>Pasport seriyasi: AC 1659096 SURXONDARYO VILOYATI JARQO'RG'ON TUMANI IIB tomonidan 21.02.2019 yilda berilgan</v>
      </c>
      <c r="B8" s="333"/>
      <c r="C8" s="333"/>
      <c r="D8" s="333"/>
    </row>
    <row r="9" spans="1:4" ht="16.5" customHeight="1">
      <c r="A9" s="333" t="str">
        <f>"Asosiy ish joyi : "&amp;malumot!B58&amp;""</f>
        <v>Asosiy ish joyi : Yakka tartibdagi tadbirkor</v>
      </c>
      <c r="B9" s="333"/>
      <c r="C9" s="333"/>
      <c r="D9" s="333"/>
    </row>
    <row r="10" spans="1:4" ht="15.75" customHeight="1">
      <c r="A10" s="333" t="str">
        <f>"Lavozimi: "&amp;malumot!B59&amp;""</f>
        <v>Lavozimi: Yakka tartibdagi tadbirkor</v>
      </c>
      <c r="B10" s="333"/>
      <c r="C10" s="333"/>
      <c r="D10" s="333"/>
    </row>
    <row r="11" spans="1:4">
      <c r="A11" s="333" t="str">
        <f>"O’rtacha oylik daromadi: "&amp;FIXED(malumot!B60,2)&amp;" so'm."</f>
        <v>O’rtacha oylik daromadi: 14 000 000,00 so'm.</v>
      </c>
      <c r="B11" s="333"/>
      <c r="C11" s="333"/>
      <c r="D11" s="333"/>
    </row>
    <row r="12" spans="1:4">
      <c r="A12" s="333" t="str">
        <f>"Menga quyidagi shartlarda "&amp;malumot!B65&amp;" berishingizni so’rayman:"</f>
        <v>Menga quyidagi shartlarda mikroqarz berishingizni so’rayman:</v>
      </c>
      <c r="B12" s="333"/>
      <c r="C12" s="333"/>
      <c r="D12" s="333"/>
    </row>
    <row r="13" spans="1:4">
      <c r="A13" s="333" t="str">
        <f>""&amp;malumot!C64&amp;" summasi: "&amp;FIXED(malumot!B75,2)&amp;" ("&amp;malumot!B76&amp;") so'm."</f>
        <v>Mikroqarz summasi: 52 000 000,00 (ellik ikki million so'm) so'm.</v>
      </c>
      <c r="B13" s="333"/>
      <c r="C13" s="333"/>
      <c r="D13" s="333"/>
    </row>
    <row r="14" spans="1:4">
      <c r="A14" s="333" t="str">
        <f>""&amp;malumot!C64&amp;" muddati: "&amp;malumot!B81&amp;" ("&amp;malumot!B82&amp;") oy."</f>
        <v>Mikroqarz muddati: 36 (o'ttiz olti) oy.</v>
      </c>
      <c r="B14" s="333"/>
      <c r="C14" s="333"/>
      <c r="D14" s="333"/>
    </row>
    <row r="15" spans="1:4" ht="17.25" customHeight="1">
      <c r="A15" s="333" t="str">
        <f>""&amp;malumot!C64&amp;"dan foydalanganlik uchun foiz stavkasi: yillik  "&amp;malumot!B85&amp;"% ("&amp;malumot!B86&amp;") foiz"</f>
        <v>Mikroqarzdan foydalanganlik uchun foiz stavkasi: yillik  60% (Oltmish) foiz</v>
      </c>
      <c r="B15" s="333"/>
      <c r="C15" s="333"/>
      <c r="D15" s="333"/>
    </row>
    <row r="16" spans="1:4">
      <c r="A16" s="333" t="str">
        <f>""&amp;malumot!C64&amp;" bo'yicha asosiy qarz va foizlarni to'lash:"</f>
        <v>Mikroqarz bo'yicha asosiy qarz va foizlarni to'lash:</v>
      </c>
      <c r="B16" s="333"/>
      <c r="C16" s="333"/>
      <c r="D16" s="333"/>
    </row>
    <row r="17" spans="1:5" ht="20.25" hidden="1" customHeight="1">
      <c r="A17" s="381" t="str">
        <f>" - "&amp;malumot!B65&amp;" shartnomasi bo'yicha har oy differensial to'lovlari amalga oshiriladi"</f>
        <v xml:space="preserve"> - mikroqarz shartnomasi bo'yicha har oy differensial to'lovlari amalga oshiriladi</v>
      </c>
      <c r="B17" s="381"/>
      <c r="C17" s="381"/>
      <c r="D17" s="381"/>
    </row>
    <row r="18" spans="1:5" ht="33.75" hidden="1" customHeight="1">
      <c r="A18" s="381" t="str">
        <f>" - "&amp;malumot!B65&amp;" shartnomasi bo'yicha har oy annuitet to'lovlari amalga oshiriladi"</f>
        <v xml:space="preserve"> - mikroqarz shartnomasi bo'yicha har oy annuitet to'lovlari amalga oshiriladi</v>
      </c>
      <c r="B18" s="381"/>
      <c r="C18" s="381"/>
      <c r="D18" s="381"/>
    </row>
    <row r="19" spans="1:5" ht="33.75" customHeight="1">
      <c r="A19" s="381" t="str">
        <f>IF(malumot!B77=malumot!C77,'Кредитная заявка'!A17:D17,IF(malumot!B77=malumot!D77,'Кредитная заявка'!A18:D18))</f>
        <v xml:space="preserve"> - mikroqarz shartnomasi bo'yicha har oy differensial to'lovlari amalga oshiriladi</v>
      </c>
      <c r="B19" s="381"/>
      <c r="C19" s="381"/>
      <c r="D19" s="381"/>
    </row>
    <row r="20" spans="1:5" ht="33.75" hidden="1" customHeight="1">
      <c r="A20" s="333" t="str">
        <f>IF(DAY(malumot!E67)&lt;15,"   ","  Oxirgi yakuniy to'lov "&amp;malumot!B65&amp;" shartnomasi tuzilgan kundan boshlab oxirgi oyning oxirgi kunida amalga oshiriladi")</f>
        <v xml:space="preserve">  Oxirgi yakuniy to'lov mikroqarz shartnomasi tuzilgan kundan boshlab oxirgi oyning oxirgi kunida amalga oshiriladi</v>
      </c>
      <c r="B20" s="333"/>
      <c r="C20" s="333"/>
      <c r="D20" s="333"/>
    </row>
    <row r="21" spans="1:5">
      <c r="A21" s="333" t="str">
        <f>""&amp;malumot!C64&amp;" ta’minoti::"</f>
        <v>Mikroqarz ta’minoti::</v>
      </c>
      <c r="B21" s="333"/>
      <c r="C21" s="333"/>
      <c r="D21" s="333"/>
    </row>
    <row r="22" spans="1:5" ht="72.75" customHeight="1">
      <c r="A22" s="381" t="str">
        <f>IF(malumot!B109="Avtotransport",A26,A23)</f>
        <v xml:space="preserve">  Egalik huquqi XUDOYKULOV ALMURAT KURBONAZAROVICHga tegishli bo'lgan garovga olingan avtomobil markasi   LADA VESTA, rangi -  SARIQ JELTO- ORANJEVIY, ishlab chiqarilgan yili - 2019, davlat raqam belgisi 75M497WA, kuzov turi - YENGIL SEDAN, kuzov raqami XTAGFL110KY258232, dvigatel raqami 3977458, shassi raqami - RAKAMSIZ</v>
      </c>
      <c r="B22" s="381"/>
      <c r="C22" s="381"/>
      <c r="D22" s="381"/>
    </row>
    <row r="23" spans="1:5" ht="79.5" hidden="1" customHeight="1">
      <c r="A23" s="381" t="str">
        <f>IF(malumot!B98=malumot!C98,A25,IF(malumot!B98=malumot!D98,A24,0))</f>
        <v xml:space="preserve"> Egalik huquqi 0ga tegishli bo'lgan umumiy maydoni - 72,13  va yashash maydoni - 37,39 3 - xonali yakka tartibdagi uy-joy, SAMARQAND VILOYATI TAYLOQ TUMANI CHAROG'BON MFY YANGI TAYLOQ QISHLOG'I 6 TURAR JOY 12 QAVAT 58 XONADON </v>
      </c>
      <c r="B23" s="381"/>
      <c r="C23" s="381"/>
      <c r="D23" s="381"/>
    </row>
    <row r="24" spans="1:5" ht="96.75" hidden="1" customHeight="1">
      <c r="A24" s="381" t="str">
        <f>" - Navbatdagi garov (ipoteka) Egalik huquqi asosida  "&amp;malumot!C123&amp;"ga "&amp;malumot!C132&amp;", umumiy maydoni - "&amp;malumot!C136&amp;" va yashash maydoni - "&amp;malumot!C139&amp;", manzili: "&amp;malumot!C129&amp;"."</f>
        <v xml:space="preserve"> - Navbatdagi garov (ipoteka) Egalik huquqi asosida  0ga 3 - xonali yakka tartibdagi uy-joy, umumiy maydoni - 72,13 va yashash maydoni - 37,39, manzili: SAMARQAND VILOYATI TAYLOQ TUMANI CHAROG'BON MFY YANGI TAYLOQ QISHLOG'I 6 TURAR JOY 12 QAVAT 58 XONADON.</v>
      </c>
      <c r="B24" s="381"/>
      <c r="C24" s="381"/>
      <c r="D24" s="381"/>
      <c r="E24" s="149"/>
    </row>
    <row r="25" spans="1:5" ht="92.25" hidden="1" customHeight="1">
      <c r="A25" s="381" t="str">
        <f>" Egalik huquqi "&amp;malumot!C123&amp;"ga tegishli bo'lgan umumiy maydoni - "&amp;malumot!C136&amp;"  va yashash maydoni - "&amp;malumot!C139&amp;" "&amp;malumot!C132&amp;", "&amp;malumot!C129&amp;" "</f>
        <v xml:space="preserve"> Egalik huquqi 0ga tegishli bo'lgan umumiy maydoni - 72,13  va yashash maydoni - 37,39 3 - xonali yakka tartibdagi uy-joy, SAMARQAND VILOYATI TAYLOQ TUMANI CHAROG'BON MFY YANGI TAYLOQ QISHLOG'I 6 TURAR JOY 12 QAVAT 58 XONADON </v>
      </c>
      <c r="B25" s="381"/>
      <c r="C25" s="381"/>
      <c r="D25" s="381"/>
    </row>
    <row r="26" spans="1:5" ht="78" hidden="1" customHeight="1">
      <c r="A26" s="381" t="str">
        <f>IF(malumot!B98=malumot!C98,'Кредитная заявка'!A28:D28,IF(malumot!B98=malumot!D98,'Кредитная заявка'!A27:D27,0))</f>
        <v xml:space="preserve">  Egalik huquqi XUDOYKULOV ALMURAT KURBONAZAROVICHga tegishli bo'lgan garovga olingan avtomobil markasi   LADA VESTA, rangi -  SARIQ JELTO- ORANJEVIY, ishlab chiqarilgan yili - 2019, davlat raqam belgisi 75M497WA, kuzov turi - YENGIL SEDAN, kuzov raqami XTAGFL110KY258232, dvigatel raqami 3977458, shassi raqami - RAKAMSIZ</v>
      </c>
      <c r="B26" s="381"/>
      <c r="C26" s="381"/>
      <c r="D26" s="381"/>
    </row>
    <row r="27" spans="1:5" ht="93" hidden="1" customHeight="1">
      <c r="A27" s="381" t="str">
        <f>" Egalik huquqi "&amp;malumot!B123&amp;"ga tegishli bo'lgan "&amp;malumot!B131&amp;", "&amp;malumot!B139&amp;", davlat raqam belgisi "&amp;malumot!B132&amp;", "&amp;malumot!B133&amp;", "&amp;malumot!B136&amp;" avtotransport vositasi "</f>
        <v xml:space="preserve"> Egalik huquqi XUDOYKULOV ALMURAT KURBONAZAROVICHga tegishli bo'lgan LADA VESTA, rangi -  SARIQ JELTO- ORANJEVIY, ishlab chiqarilgan yili - 2019, davlat raqam belgisi 75M497WA, kuzov turi - YENGIL SEDAN, kuzov raqami XTAGFL110KY258232, dvigatel raqami 3977458, shassi raqami - RAKAMSIZ avtotransport vositasi </v>
      </c>
      <c r="B27" s="381"/>
      <c r="C27" s="381"/>
      <c r="D27" s="381"/>
    </row>
    <row r="28" spans="1:5" ht="93.75" hidden="1" customHeight="1">
      <c r="A28" s="381" t="str">
        <f>"  Egalik huquqi "&amp;malumot!B123&amp;"ga tegishli bo'lgan garovga olingan avtomobil markasi   "&amp;malumot!B131&amp;", "&amp;malumot!B139&amp;", davlat raqam belgisi "&amp;malumot!B132&amp;", "&amp;malumot!B133&amp;", "&amp;malumot!B136&amp;""</f>
        <v xml:space="preserve">  Egalik huquqi XUDOYKULOV ALMURAT KURBONAZAROVICHga tegishli bo'lgan garovga olingan avtomobil markasi   LADA VESTA, rangi -  SARIQ JELTO- ORANJEVIY, ishlab chiqarilgan yili - 2019, davlat raqam belgisi 75M497WA, kuzov turi - YENGIL SEDAN, kuzov raqami XTAGFL110KY258232, dvigatel raqami 3977458, shassi raqami - RAKAMSIZ</v>
      </c>
      <c r="B28" s="381"/>
      <c r="C28" s="381"/>
      <c r="D28" s="381"/>
    </row>
    <row r="29" spans="1:5" ht="10.5" customHeight="1">
      <c r="A29" s="333"/>
      <c r="B29" s="333"/>
      <c r="C29" s="333"/>
      <c r="D29" s="333"/>
    </row>
    <row r="30" spans="1:5" ht="53.25" customHeight="1">
      <c r="A30" s="381" t="str">
        <f>"Mazkur ariza bilan "&amp;malumot!B153&amp;"ga men va soʻralayotgan "&amp;malumot!B65&amp;"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0" s="381"/>
      <c r="C30" s="381"/>
      <c r="D30" s="381"/>
    </row>
    <row r="31" spans="1:5" ht="15.75" customHeight="1">
      <c r="A31" s="381" t="s">
        <v>248</v>
      </c>
      <c r="B31" s="381"/>
      <c r="C31" s="381"/>
      <c r="D31" s="381"/>
    </row>
    <row r="32" spans="1:5">
      <c r="A32" s="381" t="s">
        <v>249</v>
      </c>
      <c r="B32" s="381"/>
      <c r="C32" s="381"/>
      <c r="D32" s="381"/>
    </row>
    <row r="33" spans="1:4">
      <c r="A33" s="381" t="s">
        <v>250</v>
      </c>
      <c r="B33" s="381"/>
      <c r="C33" s="381"/>
      <c r="D33" s="381"/>
    </row>
    <row r="34" spans="1:4">
      <c r="A34" s="333" t="str">
        <f>"Ariza berilgan sana: "&amp;TEXT(malumot!B2,"ДД.ММ.ГГГГ")&amp;"y."</f>
        <v>Ariza berilgan sana: 24.03.2025y.</v>
      </c>
      <c r="B34" s="333"/>
      <c r="C34" s="333"/>
      <c r="D34" s="333"/>
    </row>
    <row r="35" spans="1:4">
      <c r="A35" s="333"/>
      <c r="B35" s="333"/>
      <c r="C35" s="333"/>
      <c r="D35" s="333"/>
    </row>
    <row r="36" spans="1:4">
      <c r="A36" s="333" t="s">
        <v>251</v>
      </c>
      <c r="B36" s="333"/>
      <c r="C36" s="333"/>
      <c r="D36" s="333"/>
    </row>
    <row r="37" spans="1:4">
      <c r="A37" s="333"/>
      <c r="B37" s="333"/>
      <c r="C37" s="333"/>
      <c r="D37" s="333"/>
    </row>
    <row r="38" spans="1:4">
      <c r="A38" s="333"/>
      <c r="B38" s="333"/>
      <c r="C38" s="333"/>
      <c r="D38" s="333"/>
    </row>
    <row r="39" spans="1:4" ht="15.75" customHeight="1">
      <c r="A39" s="335" t="str">
        <f>malumot!B5</f>
        <v>SHAYMARDANOVA SABOXAT YULDASHEVNA</v>
      </c>
      <c r="B39" s="335"/>
      <c r="C39" s="335"/>
      <c r="D39" s="11" t="s">
        <v>4</v>
      </c>
    </row>
    <row r="40" spans="1:4">
      <c r="A40" s="10"/>
      <c r="B40" s="10"/>
      <c r="D40" s="12" t="s">
        <v>330</v>
      </c>
    </row>
    <row r="41" spans="1:4">
      <c r="A41" s="333"/>
      <c r="B41" s="333"/>
      <c r="C41" s="333"/>
      <c r="D41" s="333"/>
    </row>
    <row r="42" spans="1:4">
      <c r="A42" s="333"/>
      <c r="B42" s="333"/>
      <c r="C42" s="333"/>
      <c r="D42" s="333"/>
    </row>
    <row r="43" spans="1:4">
      <c r="A43" s="333"/>
      <c r="B43" s="333"/>
      <c r="C43" s="333"/>
      <c r="D43" s="333"/>
    </row>
    <row r="44" spans="1:4">
      <c r="A44" s="333"/>
      <c r="B44" s="333"/>
      <c r="C44" s="333"/>
      <c r="D44" s="333"/>
    </row>
    <row r="45" spans="1:4">
      <c r="A45" s="333"/>
      <c r="B45" s="333"/>
      <c r="C45" s="333"/>
      <c r="D45" s="333"/>
    </row>
    <row r="46" spans="1:4">
      <c r="A46" s="333"/>
      <c r="B46" s="333"/>
      <c r="C46" s="333"/>
      <c r="D46" s="333"/>
    </row>
    <row r="47" spans="1:4">
      <c r="A47" s="333"/>
      <c r="B47" s="333"/>
      <c r="C47" s="333"/>
      <c r="D47" s="333"/>
    </row>
    <row r="48" spans="1:4">
      <c r="A48" s="333"/>
      <c r="B48" s="333"/>
      <c r="C48" s="333"/>
      <c r="D48" s="333"/>
    </row>
    <row r="49" spans="1:4">
      <c r="A49" s="333"/>
      <c r="B49" s="333"/>
      <c r="C49" s="333"/>
      <c r="D49" s="333"/>
    </row>
    <row r="50" spans="1:4">
      <c r="A50" s="333"/>
      <c r="B50" s="333"/>
      <c r="C50" s="333"/>
      <c r="D50" s="333"/>
    </row>
    <row r="51" spans="1:4">
      <c r="A51" s="333"/>
      <c r="B51" s="333"/>
      <c r="C51" s="333"/>
      <c r="D51" s="333"/>
    </row>
    <row r="52" spans="1:4">
      <c r="A52" s="333"/>
      <c r="B52" s="333"/>
      <c r="C52" s="333"/>
      <c r="D52" s="333"/>
    </row>
    <row r="53" spans="1:4">
      <c r="A53" s="333"/>
      <c r="B53" s="333"/>
      <c r="C53" s="333"/>
      <c r="D53" s="333"/>
    </row>
    <row r="54" spans="1:4">
      <c r="A54" s="333"/>
      <c r="B54" s="333"/>
      <c r="C54" s="333"/>
      <c r="D54" s="333"/>
    </row>
    <row r="55" spans="1:4">
      <c r="A55" s="333"/>
      <c r="B55" s="333"/>
      <c r="C55" s="333"/>
      <c r="D55" s="333"/>
    </row>
    <row r="56" spans="1:4">
      <c r="A56" s="333"/>
      <c r="B56" s="333"/>
      <c r="C56" s="333"/>
      <c r="D56" s="333"/>
    </row>
    <row r="57" spans="1:4">
      <c r="A57" s="333"/>
      <c r="B57" s="333"/>
      <c r="C57" s="333"/>
      <c r="D57" s="333"/>
    </row>
    <row r="58" spans="1:4">
      <c r="A58" s="333"/>
      <c r="B58" s="333"/>
      <c r="C58" s="333"/>
      <c r="D58" s="333"/>
    </row>
    <row r="59" spans="1:4">
      <c r="A59" s="333"/>
      <c r="B59" s="333"/>
      <c r="C59" s="333"/>
      <c r="D59" s="333"/>
    </row>
    <row r="60" spans="1:4">
      <c r="A60" s="333"/>
      <c r="B60" s="333"/>
      <c r="C60" s="333"/>
      <c r="D60" s="333"/>
    </row>
    <row r="61" spans="1:4">
      <c r="A61" s="333"/>
      <c r="B61" s="333"/>
      <c r="C61" s="333"/>
      <c r="D61" s="333"/>
    </row>
    <row r="62" spans="1:4">
      <c r="A62" s="333"/>
      <c r="B62" s="333"/>
      <c r="C62" s="333"/>
      <c r="D62" s="333"/>
    </row>
    <row r="63" spans="1:4">
      <c r="A63" s="333"/>
      <c r="B63" s="333"/>
      <c r="C63" s="333"/>
      <c r="D63" s="333"/>
    </row>
    <row r="64" spans="1:4">
      <c r="A64" s="333"/>
      <c r="B64" s="333"/>
      <c r="C64" s="333"/>
      <c r="D64" s="333"/>
    </row>
    <row r="65" spans="1:4">
      <c r="A65" s="333"/>
      <c r="B65" s="333"/>
      <c r="C65" s="333"/>
      <c r="D65" s="333"/>
    </row>
    <row r="66" spans="1:4">
      <c r="A66" s="333"/>
      <c r="B66" s="333"/>
      <c r="C66" s="333"/>
      <c r="D66" s="333"/>
    </row>
    <row r="67" spans="1:4">
      <c r="A67" s="333"/>
      <c r="B67" s="333"/>
      <c r="C67" s="333"/>
      <c r="D67" s="333"/>
    </row>
    <row r="68" spans="1:4">
      <c r="A68" s="333"/>
      <c r="B68" s="333"/>
      <c r="C68" s="333"/>
      <c r="D68" s="333"/>
    </row>
    <row r="69" spans="1:4">
      <c r="A69" s="333"/>
      <c r="B69" s="333"/>
      <c r="C69" s="333"/>
      <c r="D69" s="333"/>
    </row>
    <row r="70" spans="1:4">
      <c r="A70" s="333"/>
      <c r="B70" s="333"/>
      <c r="C70" s="333"/>
      <c r="D70" s="333"/>
    </row>
    <row r="71" spans="1:4">
      <c r="A71" s="333"/>
      <c r="B71" s="333"/>
      <c r="C71" s="333"/>
      <c r="D71" s="333"/>
    </row>
    <row r="72" spans="1:4">
      <c r="A72" s="333"/>
      <c r="B72" s="333"/>
      <c r="C72" s="333"/>
      <c r="D72" s="333"/>
    </row>
    <row r="73" spans="1:4">
      <c r="A73" s="333"/>
      <c r="B73" s="333"/>
      <c r="C73" s="333"/>
      <c r="D73" s="333"/>
    </row>
    <row r="74" spans="1:4">
      <c r="A74" s="333"/>
      <c r="B74" s="333"/>
      <c r="C74" s="333"/>
      <c r="D74" s="333"/>
    </row>
    <row r="75" spans="1:4">
      <c r="A75" s="333"/>
      <c r="B75" s="333"/>
      <c r="C75" s="333"/>
      <c r="D75" s="333"/>
    </row>
    <row r="76" spans="1:4">
      <c r="A76" s="333"/>
      <c r="B76" s="333"/>
      <c r="C76" s="333"/>
      <c r="D76" s="333"/>
    </row>
    <row r="77" spans="1:4">
      <c r="A77" s="333"/>
      <c r="B77" s="333"/>
      <c r="C77" s="333"/>
      <c r="D77" s="333"/>
    </row>
  </sheetData>
  <mergeCells count="74">
    <mergeCell ref="A75:D75"/>
    <mergeCell ref="A76:D76"/>
    <mergeCell ref="A77:D77"/>
    <mergeCell ref="A39:C39"/>
    <mergeCell ref="A70:D70"/>
    <mergeCell ref="A71:D71"/>
    <mergeCell ref="A72:D72"/>
    <mergeCell ref="A73:D73"/>
    <mergeCell ref="A74:D74"/>
    <mergeCell ref="A65:D65"/>
    <mergeCell ref="A66:D66"/>
    <mergeCell ref="A67:D67"/>
    <mergeCell ref="A68:D68"/>
    <mergeCell ref="A69:D69"/>
    <mergeCell ref="A60:D60"/>
    <mergeCell ref="A61:D61"/>
    <mergeCell ref="A62:D62"/>
    <mergeCell ref="A63:D63"/>
    <mergeCell ref="A64:D64"/>
    <mergeCell ref="A55:D55"/>
    <mergeCell ref="A56:D56"/>
    <mergeCell ref="A57:D57"/>
    <mergeCell ref="A58:D58"/>
    <mergeCell ref="A59:D59"/>
    <mergeCell ref="A50:D50"/>
    <mergeCell ref="A51:D51"/>
    <mergeCell ref="A52:D52"/>
    <mergeCell ref="A53:D53"/>
    <mergeCell ref="A54:D54"/>
    <mergeCell ref="A45:D45"/>
    <mergeCell ref="A46:D46"/>
    <mergeCell ref="A47:D47"/>
    <mergeCell ref="A48:D48"/>
    <mergeCell ref="A49:D49"/>
    <mergeCell ref="A34:D34"/>
    <mergeCell ref="A41:D41"/>
    <mergeCell ref="A42:D42"/>
    <mergeCell ref="A43:D43"/>
    <mergeCell ref="A44:D44"/>
    <mergeCell ref="A35:D35"/>
    <mergeCell ref="A36:D36"/>
    <mergeCell ref="A37:D37"/>
    <mergeCell ref="A38:D38"/>
    <mergeCell ref="A30:D30"/>
    <mergeCell ref="A31:D31"/>
    <mergeCell ref="A32:D32"/>
    <mergeCell ref="A33:D33"/>
    <mergeCell ref="A28:D28"/>
    <mergeCell ref="A29:D29"/>
    <mergeCell ref="A13:D13"/>
    <mergeCell ref="A14:D14"/>
    <mergeCell ref="A15:D15"/>
    <mergeCell ref="A16:D16"/>
    <mergeCell ref="A17:D17"/>
    <mergeCell ref="A18:D18"/>
    <mergeCell ref="A19:D19"/>
    <mergeCell ref="A26:D26"/>
    <mergeCell ref="A27:D27"/>
    <mergeCell ref="A24:D24"/>
    <mergeCell ref="A23:D23"/>
    <mergeCell ref="A20:D20"/>
    <mergeCell ref="A21:D21"/>
    <mergeCell ref="A22:D22"/>
    <mergeCell ref="A25:D25"/>
    <mergeCell ref="A8:D8"/>
    <mergeCell ref="A9:D9"/>
    <mergeCell ref="A10:D10"/>
    <mergeCell ref="A11:D11"/>
    <mergeCell ref="A12:D12"/>
    <mergeCell ref="A4:D4"/>
    <mergeCell ref="A5:D5"/>
    <mergeCell ref="C1:D1"/>
    <mergeCell ref="A6:D6"/>
    <mergeCell ref="A7:D7"/>
  </mergeCells>
  <pageMargins left="0.7" right="0.7" top="0.75" bottom="0.75" header="0.3" footer="0.3"/>
  <pageSetup paperSize="9" scale="8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8">
    <tabColor rgb="FF00B050"/>
  </sheetPr>
  <dimension ref="A5:B28"/>
  <sheetViews>
    <sheetView view="pageBreakPreview" topLeftCell="A5" zoomScaleNormal="100" zoomScaleSheetLayoutView="100" workbookViewId="0">
      <selection activeCell="B7" sqref="B7"/>
    </sheetView>
  </sheetViews>
  <sheetFormatPr defaultColWidth="0" defaultRowHeight="15.75" zeroHeight="1"/>
  <cols>
    <col min="1" max="1" width="33" style="6" customWidth="1"/>
    <col min="2" max="2" width="53.42578125" style="6" customWidth="1"/>
    <col min="3" max="16384" width="9.140625" style="6" hidden="1"/>
  </cols>
  <sheetData>
    <row r="5" spans="1:2"/>
    <row r="6" spans="1:2" ht="17.25" customHeight="1">
      <c r="B6" s="14" t="str">
        <f>malumot!B154</f>
        <v>«CLEVER MIKROMOLIYA TASHKILOTI» MChJ</v>
      </c>
    </row>
    <row r="7" spans="1:2" ht="33" customHeight="1">
      <c r="A7" s="168"/>
      <c r="B7" s="159" t="str">
        <f>""&amp;malumot!A156&amp;" "&amp;malumot!B156&amp;"ga"</f>
        <v>Surxondaryo filiali boshlig'i A.PARDAYEVga</v>
      </c>
    </row>
    <row r="8" spans="1:2" ht="31.5">
      <c r="A8" s="150"/>
      <c r="B8" s="159" t="str">
        <f>""&amp;malumot!B117&amp;"dan"</f>
        <v>XUDOYKULOV ALMURAT KURBONAZAROVICHdan</v>
      </c>
    </row>
    <row r="9" spans="1:2" ht="15.75" hidden="1" customHeight="1">
      <c r="B9" s="7" t="str">
        <f>malumot!B117</f>
        <v>XUDOYKULOV ALMURAT KURBONAZAROVICH</v>
      </c>
    </row>
    <row r="10" spans="1:2" ht="15.75" hidden="1" customHeight="1">
      <c r="B10" s="7">
        <f>malumot!C117</f>
        <v>0</v>
      </c>
    </row>
    <row r="11" spans="1:2" ht="15.75" hidden="1" customHeight="1">
      <c r="B11" s="150" t="s">
        <v>273</v>
      </c>
    </row>
    <row r="12" spans="1:2"/>
    <row r="13" spans="1:2" ht="115.5" customHeight="1">
      <c r="A13" s="381" t="str">
        <f>IF(malumot!B109="Avtotransport",A14,A15)</f>
        <v>SHAYMARDANOVA SABOXAT YULDASHEVNA tomonidan so’ralayotgan 36 (o'ttiz olti) oy muddatga, 52 000 000 (ellik ikki million so'm) miqdoridagi mikroqarzning ta’minoti sifatida menga mulk huquqi asosida tegishli bo’lgan  LADA VESTA, kuzov turi - YENGIL SEDAN, kuzov raqami XTAGFL110KY258232, dvigatel raqami 3977458, shassi raqami - RAKAMSIZ, rangi -  SARIQ JELTO- ORANJEVIY, ishlab chiqarilgan yili - 2019, avtotransport vositasini qabul qilishingizni so’rayman:</v>
      </c>
      <c r="B13" s="381"/>
    </row>
    <row r="14" spans="1:2" ht="124.5" hidden="1" customHeight="1">
      <c r="A14" s="381" t="str">
        <f>""&amp;malumot!B12&amp;" tomonidan so’ralayotgan "&amp;malumot!B81&amp;" ("&amp;malumot!B82&amp;") oy muddatga, "&amp;FIXED(malumot!B75,0)&amp;" ("&amp;malumot!B76&amp;") miqdoridagi "&amp;malumot!B65&amp;"ning ta’minoti sifatida menga mulk huquqi asosida tegishli bo’lgan  "&amp;malumot!B131&amp;", "&amp;malumot!B133&amp;", "&amp;malumot!B136&amp;", "&amp;malumot!B139&amp;", avtotransport vositasini qabul qilishingizni so’rayman:"</f>
        <v>SHAYMARDANOVA SABOXAT YULDASHEVNA tomonidan so’ralayotgan 36 (o'ttiz olti) oy muddatga, 52 000 000 (ellik ikki million so'm) miqdoridagi mikroqarzning ta’minoti sifatida menga mulk huquqi asosida tegishli bo’lgan  LADA VESTA, kuzov turi - YENGIL SEDAN, kuzov raqami XTAGFL110KY258232, dvigatel raqami 3977458, shassi raqami - RAKAMSIZ, rangi -  SARIQ JELTO- ORANJEVIY, ishlab chiqarilgan yili - 2019, avtotransport vositasini qabul qilishingizni so’rayman:</v>
      </c>
      <c r="B14" s="381"/>
    </row>
    <row r="15" spans="1:2" ht="116.25" hidden="1" customHeight="1">
      <c r="A15" s="381" t="str">
        <f>""&amp;malumot!B12&amp;" tomonidan so’ralayotgan "&amp;malumot!B81&amp;" ("&amp;malumot!B82&amp;") oy muddatga, "&amp;FIXED(malumot!B75,0)&amp;" ("&amp;malumot!B76&amp;") miqdoridagi "&amp;malumot!B65&amp;"ning ta’minoti sifatida menga mulk huquqi asosida tegishli bo’lgan  "&amp;malumot!C132&amp;", umumiy maydoni "&amp;malumot!C136&amp;" va yashash maydoni "&amp;malumot!C139&amp;"  "&amp;malumot!C129&amp;" manzilda joylashgan ko'chmas mulkni qabul qilishingizni so’rayman:"</f>
        <v>SHAYMARDANOVA SABOXAT YULDASHEVNA tomonidan so’ralayotgan 36 (o'ttiz olti) oy muddatga, 52 000 000 (ellik ikki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381"/>
    </row>
    <row r="16" spans="1:2"/>
    <row r="17" spans="1:2"/>
    <row r="18" spans="1:2">
      <c r="B18" s="7" t="s">
        <v>272</v>
      </c>
    </row>
    <row r="19" spans="1:2" ht="18.75" customHeight="1">
      <c r="A19" s="6" t="str">
        <f>IF(malumot!B100=malumot!C100,malumot!B118,malumot!B7)</f>
        <v>XUDOYKULOV A.K.</v>
      </c>
      <c r="B19" s="56" t="str">
        <f>malumot!B2</f>
        <v>24.03.2025</v>
      </c>
    </row>
    <row r="20" spans="1:2" ht="71.25" customHeight="1">
      <c r="A20" s="338" t="str">
        <f>IF(malumot!B100=malumot!D100,CONCATENATE(A24," ",A28,A22),"")</f>
        <v/>
      </c>
      <c r="B20" s="338"/>
    </row>
    <row r="21" spans="1:2">
      <c r="A21" s="6" t="s">
        <v>27</v>
      </c>
    </row>
    <row r="22" spans="1:2" hidden="1">
      <c r="A22" s="6" t="str">
        <f>" xususiy faoliyat ko'rsatuvchi notarius tomonidan "&amp;malumot!B104&amp;" "&amp;malumot!B105&amp;" berilgan ishonchnomaga asosan "</f>
        <v xml:space="preserve"> xususiy faoliyat ko'rsatuvchi notarius tomonidan   berilgan ishonchnomaga asosan </v>
      </c>
    </row>
    <row r="24" spans="1:2" hidden="1">
      <c r="A24" s="6" t="str">
        <f>"№"&amp;malumot!B106&amp; ""</f>
        <v>№</v>
      </c>
    </row>
    <row r="25" spans="1:2" hidden="1">
      <c r="A25" s="6" t="str">
        <f>malumot!B108</f>
        <v>00.01.1900</v>
      </c>
    </row>
    <row r="26" spans="1:2" hidden="1">
      <c r="A26" s="6" t="str">
        <f>TEXT(A25,"ДД.ММ.ГГГГ")</f>
        <v>00.01.1900</v>
      </c>
    </row>
    <row r="27" spans="1:2" hidden="1">
      <c r="A27" s="6" t="s">
        <v>384</v>
      </c>
    </row>
    <row r="28" spans="1:2" hidden="1">
      <c r="A28" s="6" t="str">
        <f>CONCATENATE(A26,A27)</f>
        <v>00.01.1900 sanasidan</v>
      </c>
    </row>
  </sheetData>
  <mergeCells count="4">
    <mergeCell ref="A13:B13"/>
    <mergeCell ref="A14:B14"/>
    <mergeCell ref="A15:B15"/>
    <mergeCell ref="A20:B20"/>
  </mergeCells>
  <pageMargins left="0.7" right="0.7" top="0.75" bottom="0.75" header="0.3" footer="0.3"/>
  <pageSetup paperSize="9" orientation="portrait"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4"/>
  <dimension ref="A2:E44"/>
  <sheetViews>
    <sheetView view="pageBreakPreview" zoomScaleNormal="100" zoomScaleSheetLayoutView="100" workbookViewId="0">
      <selection activeCell="E8" sqref="E8"/>
    </sheetView>
  </sheetViews>
  <sheetFormatPr defaultColWidth="9.140625" defaultRowHeight="15"/>
  <cols>
    <col min="1" max="1" width="33.85546875" style="15" customWidth="1"/>
    <col min="2" max="2" width="21.28515625" style="15" customWidth="1"/>
    <col min="3" max="3" width="19.140625" style="15" customWidth="1"/>
    <col min="4" max="5" width="21.28515625" style="15" customWidth="1"/>
    <col min="6" max="16384" width="9.140625" style="15"/>
  </cols>
  <sheetData>
    <row r="2" spans="1:5">
      <c r="A2" s="104" t="s">
        <v>49</v>
      </c>
    </row>
    <row r="3" spans="1:5">
      <c r="A3" s="104" t="s">
        <v>50</v>
      </c>
    </row>
    <row r="6" spans="1:5" ht="20.25" customHeight="1">
      <c r="E6" s="105" t="s">
        <v>36</v>
      </c>
    </row>
    <row r="7" spans="1:5">
      <c r="E7" s="105" t="s">
        <v>51</v>
      </c>
    </row>
    <row r="9" spans="1:5" ht="107.25" customHeight="1">
      <c r="A9" s="383" t="str">
        <f>"          Между ООО «Clever Mikrokredit Tashkiloti» и "&amp;malumot!B5&amp;"  (паспорт: "&amp;malumot!B16&amp;" "&amp;malumot!B20&amp;") заключен договор микрозайма "&amp;malumot!B74&amp;", на сумму "&amp;FIXED(malumot!B75)&amp;" ("&amp;malumot!B76&amp;") сум, сроком на "&amp;malumot!B81&amp;" ("&amp;malumot!B82&amp;") месяцев. В качестве своевременного исполнения обязательств по договору Микрозайма "&amp;malumot!B74&amp;" планирует предоставить нижеследующее "&amp;IF(malumot!B109=malumot!C109,"автотранспортного средство марки "&amp;malumot!B131&amp;" принадлежащее на правах собственности "&amp;malumot!B123&amp;"","недвижимого имущества в виде "&amp;malumot!C132&amp;", общей площадью - "&amp;malumot!C136&amp;" и жилой площадью - "&amp;malumot!C139&amp;", расположенного по адресу: "&amp;malumot!C129&amp;", принадлежащее на правах собственности "&amp;malumot!C123&amp;".")</f>
        <v xml:space="preserve">          Между ООО «Clever Mikrokredit Tashkiloti» и SHAYMARDANOVA SABOXAT YULDASHEVNA  (паспорт: AC 1659096 SURXONDARYO VILOYATI JARQO'RG'ON TUMANI IIB tomonidan 21.02.2019 yilda berilgan) заключен договор микрозайма 24 mart 2025 y.dan №659-SR, на сумму 52 000 000,00 (ellik ikki million so'm) сум, сроком на 36 (o'ttiz olti) месяцев. В качестве своевременного исполнения обязательств по договору Микрозайма 24 mart 2025 y.dan №659-SR планирует предоставить нижеследующее автотранспортного средство марки LADA VESTA принадлежащее на правах собственности XUDOYKULOV ALMURAT KURBONAZAROVICH</v>
      </c>
      <c r="B9" s="383"/>
      <c r="C9" s="383"/>
      <c r="D9" s="383"/>
      <c r="E9" s="383"/>
    </row>
    <row r="11" spans="1:5" ht="28.5">
      <c r="A11" s="39" t="str">
        <f>buyruq!A19</f>
        <v>Nomi</v>
      </c>
      <c r="B11" s="39" t="str">
        <f>buyruq!B19</f>
        <v>Kuzov turi  va kuzov raqami*</v>
      </c>
      <c r="C11" s="39" t="str">
        <f>buyruq!C19</f>
        <v>Dvigatel va shassi raqami*</v>
      </c>
      <c r="D11" s="39" t="str">
        <f>buyruq!D19</f>
        <v>Ishlab chiqarilgan yili va rangi*</v>
      </c>
      <c r="E11" s="39" t="str">
        <f>buyruq!E19</f>
        <v>Kelishilgan garov qiymati, so'm</v>
      </c>
    </row>
    <row r="12" spans="1:5" ht="73.5" customHeight="1">
      <c r="A12" s="39" t="str">
        <f>buyruq!A20</f>
        <v>LADA VESTA</v>
      </c>
      <c r="B12" s="39" t="str">
        <f>buyruq!B20</f>
        <v>kuzov turi - YENGIL SEDAN, kuzov raqami XTAGFL110KY258232</v>
      </c>
      <c r="C12" s="39" t="str">
        <f>buyruq!C20</f>
        <v>dvigatel raqami 3977458, shassi raqami - RAKAMSIZ</v>
      </c>
      <c r="D12" s="39" t="str">
        <f>buyruq!D20</f>
        <v>rangi -  SARIQ JELTO- ORANJEVIY, ishlab chiqarilgan yili - 2019</v>
      </c>
      <c r="E12" s="39" t="str">
        <f>buyruq!E20</f>
        <v>78 000 000,00 
(yetmish sakkiz million so'm)</v>
      </c>
    </row>
    <row r="13" spans="1:5">
      <c r="A13" s="387" t="str">
        <f>buyruq!A21:E21</f>
        <v>-* avtotransport egasi: XUDOYKULOV ALMURAT KURBONAZAROVICH</v>
      </c>
      <c r="B13" s="387"/>
      <c r="C13" s="387"/>
      <c r="D13" s="387"/>
      <c r="E13" s="387"/>
    </row>
    <row r="14" spans="1:5">
      <c r="A14" s="387" t="str">
        <f>buyruq!A22:E22</f>
        <v>-* texnik pasport: AAG 3367573 24.01.2024 y.</v>
      </c>
      <c r="B14" s="387"/>
      <c r="C14" s="387"/>
      <c r="D14" s="387"/>
      <c r="E14" s="387"/>
    </row>
    <row r="15" spans="1:5">
      <c r="A15" s="387" t="str">
        <f>buyruq!A23:E23</f>
        <v>-* roʻyxatdan oʻtgan manzili/garaj manzili: SURXONDARYO VILOYATI JARQO'RG'ON TUMANI OQQURG'ON QFY QORAYONTOQ MFY IBN SINO KO'CHASI 114-UY</v>
      </c>
      <c r="B15" s="387"/>
      <c r="C15" s="387"/>
      <c r="D15" s="387"/>
      <c r="E15" s="387"/>
    </row>
    <row r="16" spans="1:5">
      <c r="A16" s="387" t="str">
        <f>buyruq!A24:E24</f>
        <v>-* davlat raqami: 75M497WA</v>
      </c>
      <c r="B16" s="387"/>
      <c r="C16" s="387"/>
      <c r="D16" s="387"/>
      <c r="E16" s="387"/>
    </row>
    <row r="17" spans="1:5" ht="3" customHeight="1"/>
    <row r="19" spans="1:5" ht="59.25" hidden="1" customHeight="1">
      <c r="A19" s="39" t="str">
        <f>dalolatnoma!A32</f>
        <v>Наименование</v>
      </c>
      <c r="B19" s="39" t="str">
        <f>dalolatnoma!B32</f>
        <v>Полезная площадь</v>
      </c>
      <c r="C19" s="39" t="str">
        <f>dalolatnoma!C32</f>
        <v>Жилая площадь</v>
      </c>
      <c r="D19" s="39" t="str">
        <f>dalolatnoma!D32</f>
        <v>Общая площадь</v>
      </c>
      <c r="E19" s="39" t="str">
        <f>dalolatnoma!E32</f>
        <v>Согласованная залоговая стоимость, сум</v>
      </c>
    </row>
    <row r="20" spans="1:5" ht="17.25" hidden="1" customHeight="1">
      <c r="A20" s="17" t="e">
        <f>dalolatnoma!A33</f>
        <v>#REF!</v>
      </c>
      <c r="B20" s="17" t="e">
        <f>dalolatnoma!B33</f>
        <v>#REF!</v>
      </c>
      <c r="C20" s="17" t="e">
        <f>dalolatnoma!C33</f>
        <v>#REF!</v>
      </c>
      <c r="D20" s="17" t="e">
        <f>dalolatnoma!D33</f>
        <v>#REF!</v>
      </c>
      <c r="E20" s="327" t="str">
        <f>""&amp;FIXED(malumot!C142,2)&amp;" ("&amp;malumot!C143&amp;")"</f>
        <v>78 000 000,00 (yetmish sakkiz million so'm)</v>
      </c>
    </row>
    <row r="21" spans="1:5" ht="17.25" hidden="1" customHeight="1">
      <c r="A21" s="17">
        <f>dalolatnoma!A34</f>
        <v>0</v>
      </c>
      <c r="B21" s="17">
        <f>dalolatnoma!B34</f>
        <v>0</v>
      </c>
      <c r="C21" s="17">
        <f>dalolatnoma!C34</f>
        <v>0</v>
      </c>
      <c r="D21" s="17">
        <f>dalolatnoma!D34</f>
        <v>0</v>
      </c>
      <c r="E21" s="328"/>
    </row>
    <row r="22" spans="1:5" ht="17.25" hidden="1" customHeight="1">
      <c r="A22" s="17" t="e">
        <f>dalolatnoma!A35</f>
        <v>#REF!</v>
      </c>
      <c r="B22" s="17" t="e">
        <f>dalolatnoma!B35</f>
        <v>#REF!</v>
      </c>
      <c r="C22" s="17" t="e">
        <f>dalolatnoma!C35</f>
        <v>#REF!</v>
      </c>
      <c r="D22" s="17" t="e">
        <f>dalolatnoma!D35</f>
        <v>#REF!</v>
      </c>
      <c r="E22" s="328"/>
    </row>
    <row r="23" spans="1:5" ht="17.25" hidden="1" customHeight="1">
      <c r="A23" s="17" t="e">
        <f>dalolatnoma!A36</f>
        <v>#REF!</v>
      </c>
      <c r="B23" s="17" t="e">
        <f>dalolatnoma!B36</f>
        <v>#REF!</v>
      </c>
      <c r="C23" s="17" t="e">
        <f>dalolatnoma!C36</f>
        <v>#REF!</v>
      </c>
      <c r="D23" s="17" t="e">
        <f>dalolatnoma!D36</f>
        <v>#REF!</v>
      </c>
      <c r="E23" s="328"/>
    </row>
    <row r="24" spans="1:5" ht="17.25" hidden="1" customHeight="1">
      <c r="A24" s="17" t="e">
        <f>dalolatnoma!A37</f>
        <v>#REF!</v>
      </c>
      <c r="B24" s="17" t="e">
        <f>dalolatnoma!B37</f>
        <v>#REF!</v>
      </c>
      <c r="C24" s="17" t="e">
        <f>dalolatnoma!C37</f>
        <v>#REF!</v>
      </c>
      <c r="D24" s="17" t="e">
        <f>dalolatnoma!D37</f>
        <v>#REF!</v>
      </c>
      <c r="E24" s="328"/>
    </row>
    <row r="25" spans="1:5" ht="15.75" hidden="1" customHeight="1">
      <c r="A25" s="17" t="e">
        <f>dalolatnoma!A38</f>
        <v>#REF!</v>
      </c>
      <c r="B25" s="17" t="e">
        <f>dalolatnoma!B38</f>
        <v>#REF!</v>
      </c>
      <c r="C25" s="17" t="e">
        <f>dalolatnoma!C38</f>
        <v>#REF!</v>
      </c>
      <c r="D25" s="17" t="e">
        <f>dalolatnoma!D38</f>
        <v>#REF!</v>
      </c>
      <c r="E25" s="328"/>
    </row>
    <row r="26" spans="1:5" ht="17.25" hidden="1" customHeight="1">
      <c r="A26" s="17" t="e">
        <f>dalolatnoma!A39</f>
        <v>#REF!</v>
      </c>
      <c r="B26" s="17" t="e">
        <f>dalolatnoma!B39</f>
        <v>#REF!</v>
      </c>
      <c r="C26" s="17" t="e">
        <f>dalolatnoma!C39</f>
        <v>#REF!</v>
      </c>
      <c r="D26" s="17" t="e">
        <f>dalolatnoma!D39</f>
        <v>#REF!</v>
      </c>
      <c r="E26" s="328"/>
    </row>
    <row r="27" spans="1:5" ht="17.25" hidden="1" customHeight="1">
      <c r="A27" s="17" t="e">
        <f>dalolatnoma!A40</f>
        <v>#REF!</v>
      </c>
      <c r="B27" s="17" t="e">
        <f>dalolatnoma!B40</f>
        <v>#REF!</v>
      </c>
      <c r="C27" s="17" t="e">
        <f>dalolatnoma!C40</f>
        <v>#REF!</v>
      </c>
      <c r="D27" s="17" t="e">
        <f>dalolatnoma!D40</f>
        <v>#REF!</v>
      </c>
      <c r="E27" s="328"/>
    </row>
    <row r="28" spans="1:5" ht="17.25" hidden="1" customHeight="1">
      <c r="A28" s="17" t="e">
        <f>dalolatnoma!A41</f>
        <v>#REF!</v>
      </c>
      <c r="B28" s="17" t="e">
        <f>dalolatnoma!B41</f>
        <v>#REF!</v>
      </c>
      <c r="C28" s="17" t="e">
        <f>dalolatnoma!C41</f>
        <v>#REF!</v>
      </c>
      <c r="D28" s="17" t="e">
        <f>dalolatnoma!D41</f>
        <v>#REF!</v>
      </c>
      <c r="E28" s="328"/>
    </row>
    <row r="29" spans="1:5" ht="17.25" hidden="1" customHeight="1">
      <c r="A29" s="17" t="e">
        <f>dalolatnoma!A42</f>
        <v>#REF!</v>
      </c>
      <c r="B29" s="17" t="e">
        <f>dalolatnoma!B42</f>
        <v>#REF!</v>
      </c>
      <c r="C29" s="17" t="e">
        <f>dalolatnoma!C42</f>
        <v>#REF!</v>
      </c>
      <c r="D29" s="17" t="e">
        <f>dalolatnoma!D42</f>
        <v>#REF!</v>
      </c>
      <c r="E29" s="328"/>
    </row>
    <row r="30" spans="1:5" ht="17.25" hidden="1" customHeight="1">
      <c r="A30" s="17" t="e">
        <f>dalolatnoma!A43</f>
        <v>#REF!</v>
      </c>
      <c r="B30" s="17" t="e">
        <f>dalolatnoma!B43</f>
        <v>#REF!</v>
      </c>
      <c r="C30" s="17" t="e">
        <f>dalolatnoma!C43</f>
        <v>#REF!</v>
      </c>
      <c r="D30" s="17" t="e">
        <f>dalolatnoma!D43</f>
        <v>#REF!</v>
      </c>
      <c r="E30" s="329"/>
    </row>
    <row r="31" spans="1:5" ht="17.25" hidden="1" customHeight="1">
      <c r="A31" s="17" t="e">
        <f>dalolatnoma!A44</f>
        <v>#REF!</v>
      </c>
      <c r="B31" s="17" t="e">
        <f>dalolatnoma!B44</f>
        <v>#REF!</v>
      </c>
      <c r="C31" s="17" t="e">
        <f>dalolatnoma!C44</f>
        <v>#REF!</v>
      </c>
      <c r="D31" s="17" t="e">
        <f>dalolatnoma!D44</f>
        <v>#REF!</v>
      </c>
      <c r="E31" s="17" t="str">
        <f>dalolatnoma!E44</f>
        <v>78 000 000,00</v>
      </c>
    </row>
    <row r="32" spans="1:5" ht="18.75" hidden="1" customHeight="1">
      <c r="A32" s="383" t="e">
        <f>_xlfn.SINGLE(dalolatnoma!#REF!)</f>
        <v>#REF!</v>
      </c>
      <c r="B32" s="383"/>
      <c r="C32" s="383"/>
      <c r="D32" s="383"/>
      <c r="E32" s="383"/>
    </row>
    <row r="33" spans="1:5" ht="24.75" hidden="1" customHeight="1">
      <c r="A33" s="383" t="e">
        <f>_xlfn.SINGLE(dalolatnoma!#REF!)</f>
        <v>#REF!</v>
      </c>
      <c r="B33" s="383"/>
      <c r="C33" s="383"/>
      <c r="D33" s="383"/>
      <c r="E33" s="383"/>
    </row>
    <row r="34" spans="1:5" ht="30.75" hidden="1" customHeight="1">
      <c r="A34" s="383" t="e">
        <f>_xlfn.SINGLE(dalolatnoma!#REF!)</f>
        <v>#REF!</v>
      </c>
      <c r="B34" s="383"/>
      <c r="C34" s="383"/>
      <c r="D34" s="383"/>
      <c r="E34" s="383"/>
    </row>
    <row r="35" spans="1:5" ht="15" hidden="1" customHeight="1">
      <c r="A35" s="383" t="e">
        <f>_xlfn.SINGLE(dalolatnoma!#REF!)</f>
        <v>#REF!</v>
      </c>
      <c r="B35" s="383"/>
      <c r="C35" s="383"/>
      <c r="D35" s="383"/>
      <c r="E35" s="383"/>
    </row>
    <row r="36" spans="1:5">
      <c r="A36" s="22"/>
      <c r="B36" s="22"/>
      <c r="C36" s="22"/>
      <c r="D36" s="22"/>
      <c r="E36" s="22"/>
    </row>
    <row r="37" spans="1:5" s="126" customFormat="1" ht="51" customHeight="1">
      <c r="A37" s="386" t="str">
        <f>dalolatnoma!A46:E46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86"/>
      <c r="C37" s="386"/>
      <c r="D37" s="386"/>
      <c r="E37" s="386"/>
    </row>
    <row r="38" spans="1:5" ht="40.5" customHeight="1">
      <c r="A38" s="383" t="str">
        <f>dalolatnoma!A47:E47</f>
        <v>Shu bilan birga, garov predmetining kelishilgan garov qiymati deganda ushbu mulk garov sifatida taqdim etilgan/qabul qilingan qiymati tushuniladi.</v>
      </c>
      <c r="B38" s="383"/>
      <c r="C38" s="383"/>
      <c r="D38" s="383"/>
      <c r="E38" s="383"/>
    </row>
    <row r="39" spans="1:5" ht="39" customHeight="1">
      <c r="A39" s="383"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"&amp;malumot!B74&amp;",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24 mart 2025 y.dan №659-SR, при сохранении запрета.</v>
      </c>
      <c r="B39" s="383"/>
      <c r="C39" s="383"/>
      <c r="D39" s="383"/>
      <c r="E39" s="383"/>
    </row>
    <row r="40" spans="1:5">
      <c r="A40" s="384"/>
      <c r="B40" s="384"/>
      <c r="C40" s="384"/>
      <c r="D40" s="384"/>
      <c r="E40" s="384"/>
    </row>
    <row r="41" spans="1:5">
      <c r="A41" s="385" t="s">
        <v>37</v>
      </c>
      <c r="B41" s="385"/>
      <c r="C41" s="385"/>
      <c r="D41" s="385"/>
      <c r="E41" s="385"/>
    </row>
    <row r="42" spans="1:5">
      <c r="A42" s="384"/>
      <c r="B42" s="384"/>
      <c r="C42" s="384"/>
      <c r="D42" s="384"/>
      <c r="E42" s="384"/>
    </row>
    <row r="43" spans="1:5">
      <c r="A43" s="385" t="s">
        <v>38</v>
      </c>
      <c r="B43" s="385"/>
      <c r="C43" s="385"/>
      <c r="D43" s="385"/>
      <c r="E43" s="385"/>
    </row>
    <row r="44" spans="1:5" ht="28.5" customHeight="1">
      <c r="A44" s="382" t="s">
        <v>39</v>
      </c>
      <c r="B44" s="382"/>
      <c r="C44" s="382"/>
      <c r="D44" s="382"/>
      <c r="E44" s="106" t="s">
        <v>2</v>
      </c>
    </row>
  </sheetData>
  <mergeCells count="18">
    <mergeCell ref="A37:E37"/>
    <mergeCell ref="E20:E30"/>
    <mergeCell ref="A9:E9"/>
    <mergeCell ref="A32:E32"/>
    <mergeCell ref="A33:E33"/>
    <mergeCell ref="A34:E34"/>
    <mergeCell ref="A35:E35"/>
    <mergeCell ref="A16:E16"/>
    <mergeCell ref="A15:E15"/>
    <mergeCell ref="A14:E14"/>
    <mergeCell ref="A13:E13"/>
    <mergeCell ref="A44:D44"/>
    <mergeCell ref="A38:E38"/>
    <mergeCell ref="A39:E39"/>
    <mergeCell ref="A40:E40"/>
    <mergeCell ref="A41:E41"/>
    <mergeCell ref="A42:E42"/>
    <mergeCell ref="A43:E4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5">
    <tabColor rgb="FF00B050"/>
  </sheetPr>
  <dimension ref="A1:I30"/>
  <sheetViews>
    <sheetView tabSelected="1" view="pageBreakPreview" topLeftCell="A13" zoomScaleNormal="100" zoomScaleSheetLayoutView="100" workbookViewId="0">
      <selection activeCell="H5" sqref="H5"/>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9" width="9.140625" style="24" hidden="1" customWidth="1"/>
    <col min="10" max="10" width="9.140625" style="24" customWidth="1"/>
    <col min="11" max="11" width="0.5703125" style="24" customWidth="1"/>
    <col min="12" max="16384" width="9.140625" style="24"/>
  </cols>
  <sheetData>
    <row r="1" spans="1:9">
      <c r="A1" s="31"/>
      <c r="B1" s="31"/>
      <c r="C1" s="31"/>
      <c r="D1" s="31"/>
      <c r="E1" s="31"/>
      <c r="F1" s="31"/>
      <c r="G1" s="31"/>
      <c r="H1" s="31"/>
      <c r="I1" s="31"/>
    </row>
    <row r="2" spans="1:9">
      <c r="A2" s="395" t="str">
        <f>""&amp;" "&amp;malumot!B74&amp;"-sonli "&amp;" "&amp;malumot!C64&amp;" shartnomasi bo‘yicha
 garovga qo‘yilgan mol-mulkni tekshirish bo’yicha "&amp;malumot!B5&amp;" bilan tuzilgan dalolatnomasi"</f>
        <v xml:space="preserve"> 24 mart 2025 y.dan №659-SR-sonli  Mikroqarz shartnomasi bo‘yicha
 garovga qo‘yilgan mol-mulkni tekshirish bo’yicha SHAYMARDANOVA SABOXAT YULDASHEVNA bilan tuzilgan dalolatnomasi</v>
      </c>
      <c r="B2" s="395"/>
      <c r="C2" s="395"/>
      <c r="D2" s="395"/>
      <c r="E2" s="395"/>
      <c r="F2" s="395"/>
      <c r="G2" s="395"/>
      <c r="H2" s="395"/>
      <c r="I2" s="31"/>
    </row>
    <row r="3" spans="1:9">
      <c r="A3" s="395"/>
      <c r="B3" s="395"/>
      <c r="C3" s="395"/>
      <c r="D3" s="395"/>
      <c r="E3" s="395"/>
      <c r="F3" s="395"/>
      <c r="G3" s="395"/>
      <c r="H3" s="395"/>
      <c r="I3" s="31"/>
    </row>
    <row r="5" spans="1:9">
      <c r="A5" s="24" t="s">
        <v>203</v>
      </c>
      <c r="F5" s="151"/>
      <c r="H5" s="136" t="str">
        <f>TEXT(malumot!D2,"ДД.ММ.ГГГГ")</f>
        <v>20.09.2025</v>
      </c>
    </row>
    <row r="7" spans="1:9" ht="45" customHeight="1">
      <c r="A7" s="394" t="str">
        <f>"      Men, “СLEVER MIKROMOLYA TASHKILOTI” "&amp;malumot!A156&amp;"i "&amp;malumot!B156&amp;", jismoniy shaxs "&amp;" "&amp;malumot!B5&amp;" "&amp;" "&amp;malumot!B74&amp;"-sonli "&amp;malumot!B65&amp;" shartnomasi bo‘yicha garovga qo‘yilgan mol-mulkni ko‘zdan kechirdim"</f>
        <v xml:space="preserve">      Men, “СLEVER MIKROMOLYA TASHKILOTI” Surxondaryo filiali boshlig'ii A.PARDAYEV, jismoniy shaxs  SHAYMARDANOVA SABOXAT YULDASHEVNA  24 mart 2025 y.dan №659-SR-sonli mikroqarz shartnomasi bo‘yicha garovga qo‘yilgan mol-mulkni ko‘zdan kechirdim</v>
      </c>
      <c r="B7" s="394"/>
      <c r="C7" s="394"/>
      <c r="D7" s="394"/>
      <c r="E7" s="394"/>
      <c r="F7" s="394"/>
      <c r="G7" s="394"/>
      <c r="H7" s="394"/>
    </row>
    <row r="8" spans="1:9" ht="19.5" customHeight="1">
      <c r="A8" s="389" t="s">
        <v>274</v>
      </c>
      <c r="B8" s="389"/>
      <c r="C8" s="389"/>
      <c r="D8" s="389"/>
      <c r="E8" s="389"/>
      <c r="F8" s="389"/>
      <c r="G8" s="389"/>
      <c r="H8" s="389"/>
    </row>
    <row r="9" spans="1:9" s="137" customFormat="1" ht="32.25" customHeight="1">
      <c r="A9" s="390" t="str">
        <f>dalolatnoma!A20</f>
        <v>Nomi</v>
      </c>
      <c r="B9" s="391"/>
      <c r="C9" s="390" t="str">
        <f>dalolatnoma!B20</f>
        <v>Kuzov turi  va kuzov raqami*</v>
      </c>
      <c r="D9" s="391"/>
      <c r="E9" s="390" t="str">
        <f>dalolatnoma!D20</f>
        <v>Dvigatel va shassi raqami*</v>
      </c>
      <c r="F9" s="391"/>
      <c r="G9" s="390" t="str">
        <f>dalolatnoma!E20</f>
        <v>Ishlab chiqarilgan yili va rangi**</v>
      </c>
      <c r="H9" s="391"/>
    </row>
    <row r="10" spans="1:9" s="135" customFormat="1" ht="58.5" customHeight="1">
      <c r="A10" s="392" t="str">
        <f>dalolatnoma!A21</f>
        <v>LADA VESTA</v>
      </c>
      <c r="B10" s="392"/>
      <c r="C10" s="392" t="str">
        <f>dalolatnoma!B21</f>
        <v>kuzov turi - YENGIL SEDAN, kuzov raqami XTAGFL110KY258232</v>
      </c>
      <c r="D10" s="392"/>
      <c r="E10" s="392" t="str">
        <f>dalolatnoma!D21</f>
        <v>dvigatel raqami 3977458, shassi raqami - RAKAMSIZ</v>
      </c>
      <c r="F10" s="392"/>
      <c r="G10" s="392" t="str">
        <f>dalolatnoma!E21</f>
        <v>rangi -  SARIQ JELTO- ORANJEVIY, ishlab chiqarilgan yili - 2019</v>
      </c>
      <c r="H10" s="392"/>
    </row>
    <row r="11" spans="1:9" ht="19.5" customHeight="1">
      <c r="A11" s="393" t="str">
        <f>dalolatnoma!A22:E22</f>
        <v>-* avtotransport egasi: XUDOYKULOV ALMURAT KURBONAZAROVICH</v>
      </c>
      <c r="B11" s="393"/>
      <c r="C11" s="393"/>
      <c r="D11" s="393"/>
      <c r="E11" s="393"/>
      <c r="F11" s="393"/>
      <c r="G11" s="393"/>
      <c r="H11" s="393"/>
    </row>
    <row r="12" spans="1:9" ht="19.5" customHeight="1">
      <c r="A12" s="393" t="str">
        <f>dalolatnoma!A23:E23</f>
        <v>-* texnik pasport: AAG 3367573 24.01.2024 y.</v>
      </c>
      <c r="B12" s="393"/>
      <c r="C12" s="393"/>
      <c r="D12" s="393"/>
      <c r="E12" s="393"/>
      <c r="F12" s="393"/>
      <c r="G12" s="393"/>
      <c r="H12" s="393"/>
    </row>
    <row r="13" spans="1:9" ht="19.5" customHeight="1">
      <c r="A13" s="393" t="str">
        <f>dalolatnoma!A24:E24</f>
        <v>-* roʻyxatdan oʻtgan manzili/garaj manzili: SURXONDARYO VILOYATI JARQO'RG'ON TUMANI OQQURG'ON QFY QORAYONTOQ MFY IBN SINO KO'CHASI 114-UY</v>
      </c>
      <c r="B13" s="393"/>
      <c r="C13" s="393"/>
      <c r="D13" s="393"/>
      <c r="E13" s="393"/>
      <c r="F13" s="393"/>
      <c r="G13" s="393"/>
      <c r="H13" s="393"/>
    </row>
    <row r="14" spans="1:9" ht="19.5" customHeight="1">
      <c r="A14" s="393" t="str">
        <f>dalolatnoma!A25:E25</f>
        <v>-* davlat raqami: 75M497WA</v>
      </c>
      <c r="B14" s="393"/>
      <c r="C14" s="393"/>
      <c r="D14" s="393"/>
      <c r="E14" s="393"/>
      <c r="F14" s="393"/>
      <c r="G14" s="393"/>
      <c r="H14" s="393"/>
    </row>
    <row r="15" spans="1:9" ht="33.75" customHeight="1">
      <c r="A15" s="396" t="str">
        <f>+"Shu bilan birga, yuqoridagi mulkning kelishilgan garov qiymati "&amp;dalolatnoma!E30</f>
        <v>Shu bilan birga, yuqoridagi mulkning kelishilgan garov qiymati 78 000 000,00 
(yetmish sakkiz million so'm)</v>
      </c>
      <c r="B15" s="396"/>
      <c r="C15" s="396"/>
      <c r="D15" s="396"/>
      <c r="E15" s="396"/>
      <c r="F15" s="396"/>
      <c r="G15" s="396"/>
      <c r="H15" s="396"/>
    </row>
    <row r="17" spans="1:8" ht="27" customHeight="1">
      <c r="A17" s="388" t="s">
        <v>275</v>
      </c>
      <c r="B17" s="388"/>
      <c r="C17" s="388"/>
      <c r="D17" s="388"/>
      <c r="E17" s="388"/>
      <c r="F17" s="388"/>
      <c r="G17" s="388"/>
      <c r="H17" s="388"/>
    </row>
    <row r="21" spans="1:8" s="31" customFormat="1"/>
    <row r="22" spans="1:8" s="31" customFormat="1">
      <c r="A22" s="31" t="str">
        <f>malumot!A156</f>
        <v>Surxondaryo filiali boshlig'i</v>
      </c>
      <c r="H22" s="138" t="str">
        <f>malumot!B156</f>
        <v>A.PARDAYEV</v>
      </c>
    </row>
    <row r="23" spans="1:8" s="31" customFormat="1" ht="32.25" customHeight="1">
      <c r="H23" s="138"/>
    </row>
    <row r="24" spans="1:8" s="31" customFormat="1" ht="16.5" customHeight="1">
      <c r="A24" s="31" t="s">
        <v>276</v>
      </c>
      <c r="H24" s="31" t="str">
        <f>malumot!B166</f>
        <v>B. Jumanazarov</v>
      </c>
    </row>
    <row r="25" spans="1:8" s="31" customFormat="1" ht="60" customHeight="1"/>
    <row r="26" spans="1:8" s="31" customFormat="1">
      <c r="A26" s="31" t="s">
        <v>277</v>
      </c>
      <c r="H26" s="138" t="str">
        <f>malumot!B7</f>
        <v>SHAYMARDANOVA S.Y.</v>
      </c>
    </row>
    <row r="27" spans="1:8" s="31" customFormat="1"/>
    <row r="28" spans="1:8" s="31" customFormat="1"/>
    <row r="29" spans="1:8" s="31" customFormat="1"/>
    <row r="30" spans="1:8" s="31" customFormat="1"/>
  </sheetData>
  <mergeCells count="17">
    <mergeCell ref="A7:H7"/>
    <mergeCell ref="A2:H3"/>
    <mergeCell ref="A15:H15"/>
    <mergeCell ref="A17:H17"/>
    <mergeCell ref="A8:H8"/>
    <mergeCell ref="A9:B9"/>
    <mergeCell ref="C9:D9"/>
    <mergeCell ref="E9:F9"/>
    <mergeCell ref="G9:H9"/>
    <mergeCell ref="A10:B10"/>
    <mergeCell ref="C10:D10"/>
    <mergeCell ref="E10:F10"/>
    <mergeCell ref="G10:H10"/>
    <mergeCell ref="A11:H11"/>
    <mergeCell ref="A12:H12"/>
    <mergeCell ref="A13:H13"/>
    <mergeCell ref="A14:H14"/>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6">
    <tabColor rgb="FF00B050"/>
  </sheetPr>
  <dimension ref="A1:I29"/>
  <sheetViews>
    <sheetView view="pageBreakPreview" zoomScale="115" zoomScaleNormal="100" zoomScaleSheetLayoutView="115" workbookViewId="0">
      <selection activeCell="E23" sqref="E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95" t="str">
        <f>""&amp;" "&amp;malumot!B74&amp;"-sonli "&amp;" "&amp;malumot!C64&amp;" shartnomasi bo‘yicha
 garovga qo‘yilgan mol-mulkni tekshirish bo’yicha "&amp;malumot!B5&amp;" bilan tuzilgan dalolatnomasi"</f>
        <v xml:space="preserve"> 24 mart 2025 y.dan №659-SR-sonli  Mikroqarz shartnomasi bo‘yicha
 garovga qo‘yilgan mol-mulkni tekshirish bo’yicha SHAYMARDANOVA SABOXAT YULDASHEVNA bilan tuzilgan dalolatnomasi</v>
      </c>
      <c r="B2" s="395"/>
      <c r="C2" s="395"/>
      <c r="D2" s="395"/>
      <c r="E2" s="395"/>
      <c r="F2" s="395"/>
      <c r="G2" s="395"/>
      <c r="H2" s="395"/>
      <c r="I2" s="31"/>
    </row>
    <row r="3" spans="1:9">
      <c r="A3" s="395"/>
      <c r="B3" s="395"/>
      <c r="C3" s="395"/>
      <c r="D3" s="395"/>
      <c r="E3" s="395"/>
      <c r="F3" s="395"/>
      <c r="G3" s="395"/>
      <c r="H3" s="395"/>
      <c r="I3" s="31"/>
    </row>
    <row r="5" spans="1:9">
      <c r="A5" s="24" t="s">
        <v>203</v>
      </c>
      <c r="H5" s="136" t="str">
        <f>TEXT(+malumot!B2+360,"ДД.ММ.ГГГГ")</f>
        <v>19.03.2026</v>
      </c>
    </row>
    <row r="7" spans="1:9" ht="45" customHeight="1">
      <c r="A7" s="394" t="str">
        <f>"      Men, "&amp;malumot!B153&amp;" "&amp;malumot!A156&amp;"i "&amp;malumot!B156&amp;", jismoniy shaxs "&amp;" "&amp;malumot!B5&amp;" "&amp;" "&amp;malumot!B74&amp;"-sonli "&amp;malumot!C64&amp;" shartnomasi bo‘yicha garovga qo‘yilgan mol-mulkni ko‘zdan kechirdim"</f>
        <v xml:space="preserve">      Men, «CLEVER MIKROMOLIYA TASHKILOTI» MChJ Surxondaryo filiali boshlig'ii A.PARDAYEV, jismoniy shaxs  SHAYMARDANOVA SABOXAT YULDASHEVNA  24 mart 2025 y.dan №659-SR-sonli Mikroqarz shartnomasi bo‘yicha garovga qo‘yilgan mol-mulkni ko‘zdan kechirdim</v>
      </c>
      <c r="B7" s="394"/>
      <c r="C7" s="394"/>
      <c r="D7" s="394"/>
      <c r="E7" s="394"/>
      <c r="F7" s="394"/>
      <c r="G7" s="394"/>
      <c r="H7" s="394"/>
    </row>
    <row r="8" spans="1:9" ht="19.5" customHeight="1">
      <c r="A8" s="389" t="s">
        <v>274</v>
      </c>
      <c r="B8" s="389"/>
      <c r="C8" s="389"/>
      <c r="D8" s="389"/>
      <c r="E8" s="389"/>
      <c r="F8" s="389"/>
      <c r="G8" s="389"/>
      <c r="H8" s="389"/>
    </row>
    <row r="9" spans="1:9" s="137" customFormat="1" ht="32.25" customHeight="1">
      <c r="A9" s="390" t="str">
        <f>' Акт мониторинга 1'!A9</f>
        <v>Nomi</v>
      </c>
      <c r="B9" s="391"/>
      <c r="C9" s="390" t="str">
        <f>' Акт мониторинга 1'!C9</f>
        <v>Kuzov turi  va kuzov raqami*</v>
      </c>
      <c r="D9" s="391"/>
      <c r="E9" s="390" t="str">
        <f>' Акт мониторинга 1'!E9</f>
        <v>Dvigatel va shassi raqami*</v>
      </c>
      <c r="F9" s="391"/>
      <c r="G9" s="390" t="str">
        <f>' Акт мониторинга 1'!G9</f>
        <v>Ishlab chiqarilgan yili va rangi**</v>
      </c>
      <c r="H9" s="391"/>
    </row>
    <row r="10" spans="1:9" s="135" customFormat="1" ht="58.5" customHeight="1">
      <c r="A10" s="392" t="str">
        <f>' Акт мониторинга 1'!A10</f>
        <v>LADA VESTA</v>
      </c>
      <c r="B10" s="392"/>
      <c r="C10" s="392" t="str">
        <f>' Акт мониторинга 1'!C10</f>
        <v>kuzov turi - YENGIL SEDAN, kuzov raqami XTAGFL110KY258232</v>
      </c>
      <c r="D10" s="392"/>
      <c r="E10" s="392" t="str">
        <f>' Акт мониторинга 1'!E10</f>
        <v>dvigatel raqami 3977458, shassi raqami - RAKAMSIZ</v>
      </c>
      <c r="F10" s="392"/>
      <c r="G10" s="392" t="str">
        <f>' Акт мониторинга 1'!G10</f>
        <v>rangi -  SARIQ JELTO- ORANJEVIY, ishlab chiqarilgan yili - 2019</v>
      </c>
      <c r="H10" s="392"/>
    </row>
    <row r="11" spans="1:9" ht="19.5" customHeight="1">
      <c r="A11" s="393" t="str">
        <f>dalolatnoma!A22:E22</f>
        <v>-* avtotransport egasi: XUDOYKULOV ALMURAT KURBONAZAROVICH</v>
      </c>
      <c r="B11" s="393"/>
      <c r="C11" s="393"/>
      <c r="D11" s="393"/>
      <c r="E11" s="393"/>
      <c r="F11" s="393"/>
      <c r="G11" s="393"/>
      <c r="H11" s="393"/>
    </row>
    <row r="12" spans="1:9" ht="19.5" customHeight="1">
      <c r="A12" s="393" t="str">
        <f>dalolatnoma!A23:E23</f>
        <v>-* texnik pasport: AAG 3367573 24.01.2024 y.</v>
      </c>
      <c r="B12" s="393"/>
      <c r="C12" s="393"/>
      <c r="D12" s="393"/>
      <c r="E12" s="393"/>
      <c r="F12" s="393"/>
      <c r="G12" s="393"/>
      <c r="H12" s="393"/>
    </row>
    <row r="13" spans="1:9" ht="19.5" customHeight="1">
      <c r="A13" s="393" t="str">
        <f>dalolatnoma!A24:E24</f>
        <v>-* roʻyxatdan oʻtgan manzili/garaj manzili: SURXONDARYO VILOYATI JARQO'RG'ON TUMANI OQQURG'ON QFY QORAYONTOQ MFY IBN SINO KO'CHASI 114-UY</v>
      </c>
      <c r="B13" s="393"/>
      <c r="C13" s="393"/>
      <c r="D13" s="393"/>
      <c r="E13" s="393"/>
      <c r="F13" s="393"/>
      <c r="G13" s="393"/>
      <c r="H13" s="393"/>
    </row>
    <row r="14" spans="1:9" ht="19.5" customHeight="1">
      <c r="A14" s="393" t="str">
        <f>dalolatnoma!A25:E25</f>
        <v>-* davlat raqami: 75M497WA</v>
      </c>
      <c r="B14" s="393"/>
      <c r="C14" s="393"/>
      <c r="D14" s="393"/>
      <c r="E14" s="393"/>
      <c r="F14" s="393"/>
      <c r="G14" s="393"/>
      <c r="H14" s="393"/>
    </row>
    <row r="15" spans="1:9" ht="33.75" customHeight="1">
      <c r="A15" s="396" t="str">
        <f>+"Shu bilan birga, yuqoridagi mulkning kelishilgan garov qiymati "&amp;dalolatnoma!E30</f>
        <v>Shu bilan birga, yuqoridagi mulkning kelishilgan garov qiymati 78 000 000,00 
(yetmish sakkiz million so'm)</v>
      </c>
      <c r="B15" s="396"/>
      <c r="C15" s="396"/>
      <c r="D15" s="396"/>
      <c r="E15" s="396"/>
      <c r="F15" s="396"/>
      <c r="G15" s="396"/>
      <c r="H15" s="396"/>
    </row>
    <row r="17" spans="1:8" ht="35.25" customHeight="1">
      <c r="A17" s="388" t="s">
        <v>275</v>
      </c>
      <c r="B17" s="388"/>
      <c r="C17" s="388"/>
      <c r="D17" s="388"/>
      <c r="E17" s="388"/>
      <c r="F17" s="388"/>
      <c r="G17" s="388"/>
      <c r="H17" s="388"/>
    </row>
    <row r="21" spans="1:8" s="31" customFormat="1"/>
    <row r="22" spans="1:8" s="31" customFormat="1">
      <c r="A22" s="31" t="str">
        <f>malumot!A156</f>
        <v>Surxondaryo filiali boshlig'i</v>
      </c>
      <c r="H22" s="138" t="str">
        <f>malumot!B156</f>
        <v>A.PARDAYEV</v>
      </c>
    </row>
    <row r="23" spans="1:8" s="31" customFormat="1" ht="32.25" customHeight="1">
      <c r="H23" s="138"/>
    </row>
    <row r="24" spans="1:8" s="31" customFormat="1" ht="16.5" customHeight="1">
      <c r="A24" s="31" t="s">
        <v>276</v>
      </c>
      <c r="H24" s="31" t="str">
        <f>malumot!B166</f>
        <v>B. Jumanazarov</v>
      </c>
    </row>
    <row r="25" spans="1:8" s="31" customFormat="1" ht="60" customHeight="1"/>
    <row r="26" spans="1:8" s="31" customFormat="1">
      <c r="A26" s="31" t="s">
        <v>277</v>
      </c>
      <c r="H26" s="138" t="str">
        <f>malumot!B7</f>
        <v>SHAYMARDANOVA S.Y.</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7">
    <tabColor rgb="FF00B050"/>
  </sheetPr>
  <dimension ref="A1:I29"/>
  <sheetViews>
    <sheetView view="pageBreakPreview" topLeftCell="A7" zoomScaleNormal="100" zoomScaleSheetLayoutView="100" workbookViewId="0">
      <selection activeCell="C23" sqref="C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95" t="str">
        <f>""&amp;" "&amp;malumot!B74&amp;"-sonli "&amp;" "&amp;malumot!C64&amp;" shartnomasi bo‘yicha
 garovga qo‘yilgan mol-mulkni tekshirish bo’yicha "&amp;malumot!B5&amp;" bilan tuzilgan dalolatnomasi"</f>
        <v xml:space="preserve"> 24 mart 2025 y.dan №659-SR-sonli  Mikroqarz shartnomasi bo‘yicha
 garovga qo‘yilgan mol-mulkni tekshirish bo’yicha SHAYMARDANOVA SABOXAT YULDASHEVNA bilan tuzilgan dalolatnomasi</v>
      </c>
      <c r="B2" s="395"/>
      <c r="C2" s="395"/>
      <c r="D2" s="395"/>
      <c r="E2" s="395"/>
      <c r="F2" s="395"/>
      <c r="G2" s="395"/>
      <c r="H2" s="395"/>
      <c r="I2" s="31"/>
    </row>
    <row r="3" spans="1:9">
      <c r="A3" s="395"/>
      <c r="B3" s="395"/>
      <c r="C3" s="395"/>
      <c r="D3" s="395"/>
      <c r="E3" s="395"/>
      <c r="F3" s="395"/>
      <c r="G3" s="395"/>
      <c r="H3" s="395"/>
      <c r="I3" s="31"/>
    </row>
    <row r="5" spans="1:9">
      <c r="A5" s="24" t="s">
        <v>203</v>
      </c>
      <c r="H5" s="136" t="str">
        <f>TEXT(+malumot!B2+540,"ДД.ММ.ГГГГ")</f>
        <v>15.09.2026</v>
      </c>
    </row>
    <row r="7" spans="1:9" ht="45" customHeight="1">
      <c r="A7" s="394" t="str">
        <f>"      Men, "&amp;malumot!B153&amp;" "&amp;malumot!A156&amp;"i "&amp;malumot!B156&amp;", jismoniy shaxs "&amp;" "&amp;malumot!B5&amp;" "&amp;" "&amp;malumot!B74&amp;"-sonli "&amp;malumot!C64&amp;" shartnomasi bo‘yicha garovga qo‘yilgan mol-mulkni ko‘zdan kechirdim"</f>
        <v xml:space="preserve">      Men, «CLEVER MIKROMOLIYA TASHKILOTI» MChJ Surxondaryo filiali boshlig'ii A.PARDAYEV, jismoniy shaxs  SHAYMARDANOVA SABOXAT YULDASHEVNA  24 mart 2025 y.dan №659-SR-sonli Mikroqarz shartnomasi bo‘yicha garovga qo‘yilgan mol-mulkni ko‘zdan kechirdim</v>
      </c>
      <c r="B7" s="394"/>
      <c r="C7" s="394"/>
      <c r="D7" s="394"/>
      <c r="E7" s="394"/>
      <c r="F7" s="394"/>
      <c r="G7" s="394"/>
      <c r="H7" s="394"/>
    </row>
    <row r="8" spans="1:9" ht="19.5" customHeight="1">
      <c r="A8" s="389" t="s">
        <v>274</v>
      </c>
      <c r="B8" s="389"/>
      <c r="C8" s="389"/>
      <c r="D8" s="389"/>
      <c r="E8" s="389"/>
      <c r="F8" s="389"/>
      <c r="G8" s="389"/>
      <c r="H8" s="389"/>
    </row>
    <row r="9" spans="1:9" s="137" customFormat="1" ht="32.25" customHeight="1">
      <c r="A9" s="390" t="str">
        <f>' Акт мониторинга 1'!A9</f>
        <v>Nomi</v>
      </c>
      <c r="B9" s="391"/>
      <c r="C9" s="390" t="str">
        <f>' Акт мониторинга 1'!C9</f>
        <v>Kuzov turi  va kuzov raqami*</v>
      </c>
      <c r="D9" s="391"/>
      <c r="E9" s="390" t="str">
        <f>' Акт мониторинга 1'!E9</f>
        <v>Dvigatel va shassi raqami*</v>
      </c>
      <c r="F9" s="391"/>
      <c r="G9" s="390" t="str">
        <f>' Акт мониторинга 1'!G9</f>
        <v>Ishlab chiqarilgan yili va rangi**</v>
      </c>
      <c r="H9" s="391"/>
    </row>
    <row r="10" spans="1:9" s="135" customFormat="1" ht="58.5" customHeight="1">
      <c r="A10" s="397" t="str">
        <f>' Акт мониторинга 1'!A10</f>
        <v>LADA VESTA</v>
      </c>
      <c r="B10" s="398"/>
      <c r="C10" s="397" t="str">
        <f>' Акт мониторинга 1'!C10</f>
        <v>kuzov turi - YENGIL SEDAN, kuzov raqami XTAGFL110KY258232</v>
      </c>
      <c r="D10" s="398"/>
      <c r="E10" s="397" t="str">
        <f>' Акт мониторинга 1'!E10</f>
        <v>dvigatel raqami 3977458, shassi raqami - RAKAMSIZ</v>
      </c>
      <c r="F10" s="398"/>
      <c r="G10" s="397" t="str">
        <f>' Акт мониторинга 1'!G10</f>
        <v>rangi -  SARIQ JELTO- ORANJEVIY, ishlab chiqarilgan yili - 2019</v>
      </c>
      <c r="H10" s="398"/>
    </row>
    <row r="11" spans="1:9" ht="19.5" customHeight="1">
      <c r="A11" s="393" t="str">
        <f>dalolatnoma!A22:E22</f>
        <v>-* avtotransport egasi: XUDOYKULOV ALMURAT KURBONAZAROVICH</v>
      </c>
      <c r="B11" s="393"/>
      <c r="C11" s="393"/>
      <c r="D11" s="393"/>
      <c r="E11" s="393"/>
      <c r="F11" s="393"/>
      <c r="G11" s="393"/>
      <c r="H11" s="393"/>
    </row>
    <row r="12" spans="1:9" ht="19.5" customHeight="1">
      <c r="A12" s="393" t="str">
        <f>dalolatnoma!A23:E23</f>
        <v>-* texnik pasport: AAG 3367573 24.01.2024 y.</v>
      </c>
      <c r="B12" s="393"/>
      <c r="C12" s="393"/>
      <c r="D12" s="393"/>
      <c r="E12" s="393"/>
      <c r="F12" s="393"/>
      <c r="G12" s="393"/>
      <c r="H12" s="393"/>
    </row>
    <row r="13" spans="1:9" ht="19.5" customHeight="1">
      <c r="A13" s="393" t="str">
        <f>dalolatnoma!A24:E24</f>
        <v>-* roʻyxatdan oʻtgan manzili/garaj manzili: SURXONDARYO VILOYATI JARQO'RG'ON TUMANI OQQURG'ON QFY QORAYONTOQ MFY IBN SINO KO'CHASI 114-UY</v>
      </c>
      <c r="B13" s="393"/>
      <c r="C13" s="393"/>
      <c r="D13" s="393"/>
      <c r="E13" s="393"/>
      <c r="F13" s="393"/>
      <c r="G13" s="393"/>
      <c r="H13" s="393"/>
    </row>
    <row r="14" spans="1:9" ht="19.5" customHeight="1">
      <c r="A14" s="393" t="str">
        <f>dalolatnoma!A25:E25</f>
        <v>-* davlat raqami: 75M497WA</v>
      </c>
      <c r="B14" s="393"/>
      <c r="C14" s="393"/>
      <c r="D14" s="393"/>
      <c r="E14" s="393"/>
      <c r="F14" s="393"/>
      <c r="G14" s="393"/>
      <c r="H14" s="393"/>
    </row>
    <row r="15" spans="1:9" ht="33.75" customHeight="1">
      <c r="A15" s="396" t="str">
        <f>+"Shu bilan birga, yuqoridagi mulkning kelishilgan garov qiymati "&amp;dalolatnoma!E30</f>
        <v>Shu bilan birga, yuqoridagi mulkning kelishilgan garov qiymati 78 000 000,00 
(yetmish sakkiz million so'm)</v>
      </c>
      <c r="B15" s="396"/>
      <c r="C15" s="396"/>
      <c r="D15" s="396"/>
      <c r="E15" s="396"/>
      <c r="F15" s="396"/>
      <c r="G15" s="396"/>
      <c r="H15" s="396"/>
    </row>
    <row r="17" spans="1:8" s="135" customFormat="1" ht="32.25" customHeight="1">
      <c r="A17" s="388" t="s">
        <v>275</v>
      </c>
      <c r="B17" s="388"/>
      <c r="C17" s="388"/>
      <c r="D17" s="388"/>
      <c r="E17" s="388"/>
      <c r="F17" s="388"/>
      <c r="G17" s="388"/>
      <c r="H17" s="388"/>
    </row>
    <row r="21" spans="1:8" s="31" customFormat="1"/>
    <row r="22" spans="1:8" s="31" customFormat="1">
      <c r="A22" s="31" t="str">
        <f>malumot!A156</f>
        <v>Surxondaryo filiali boshlig'i</v>
      </c>
      <c r="H22" s="138" t="str">
        <f>malumot!B156</f>
        <v>A.PARDAYEV</v>
      </c>
    </row>
    <row r="23" spans="1:8" s="31" customFormat="1" ht="32.25" customHeight="1">
      <c r="H23" s="138"/>
    </row>
    <row r="24" spans="1:8" s="31" customFormat="1" ht="16.5" customHeight="1">
      <c r="A24" s="31" t="s">
        <v>276</v>
      </c>
      <c r="H24" s="31" t="str">
        <f>malumot!B166</f>
        <v>B. Jumanazarov</v>
      </c>
    </row>
    <row r="25" spans="1:8" s="31" customFormat="1" ht="60" customHeight="1"/>
    <row r="26" spans="1:8" s="31" customFormat="1">
      <c r="A26" s="31" t="s">
        <v>277</v>
      </c>
      <c r="H26" s="138" t="str">
        <f>malumot!B7</f>
        <v>SHAYMARDANOVA S.Y.</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Лист28">
    <tabColor rgb="FF00B050"/>
  </sheetPr>
  <dimension ref="A1:I29"/>
  <sheetViews>
    <sheetView view="pageBreakPreview" topLeftCell="A16" zoomScaleNormal="100" zoomScaleSheetLayoutView="100" workbookViewId="0">
      <selection activeCell="G1" sqref="G1"/>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95" t="str">
        <f>""&amp;" "&amp;malumot!B74&amp;"-sonli "&amp;" "&amp;malumot!C64&amp;" shartnomasi bo‘yicha
 garovga qo‘yilgan mol-mulkni tekshirish bo’yicha "&amp;malumot!B5&amp;" bilan tuzilgan dalolatnomasi"</f>
        <v xml:space="preserve"> 24 mart 2025 y.dan №659-SR-sonli  Mikroqarz shartnomasi bo‘yicha
 garovga qo‘yilgan mol-mulkni tekshirish bo’yicha SHAYMARDANOVA SABOXAT YULDASHEVNA bilan tuzilgan dalolatnomasi</v>
      </c>
      <c r="B2" s="395"/>
      <c r="C2" s="395"/>
      <c r="D2" s="395"/>
      <c r="E2" s="395"/>
      <c r="F2" s="395"/>
      <c r="G2" s="395"/>
      <c r="H2" s="395"/>
      <c r="I2" s="31"/>
    </row>
    <row r="3" spans="1:9">
      <c r="A3" s="395"/>
      <c r="B3" s="395"/>
      <c r="C3" s="395"/>
      <c r="D3" s="395"/>
      <c r="E3" s="395"/>
      <c r="F3" s="395"/>
      <c r="G3" s="395"/>
      <c r="H3" s="395"/>
      <c r="I3" s="31"/>
    </row>
    <row r="5" spans="1:9">
      <c r="A5" s="24" t="s">
        <v>203</v>
      </c>
      <c r="H5" s="136" t="str">
        <f>TEXT(+malumot!B2+720,"ДД.ММ.ГГГГ")</f>
        <v>14.03.2027</v>
      </c>
    </row>
    <row r="7" spans="1:9" ht="45" customHeight="1">
      <c r="A7" s="394" t="str">
        <f>"      Men, "&amp;malumot!B153&amp;" "&amp;malumot!A156&amp;"i "&amp;malumot!B156&amp;", jismoniy shaxs "&amp;" "&amp;malumot!B5&amp;" "&amp;" "&amp;malumot!B74&amp;"-sonli "&amp;malumot!C64&amp;" shartnomasi bo‘yicha garovga qo‘yilgan mol-mulkni ko‘zdan kechirdim"</f>
        <v xml:space="preserve">      Men, «CLEVER MIKROMOLIYA TASHKILOTI» MChJ Surxondaryo filiali boshlig'ii A.PARDAYEV, jismoniy shaxs  SHAYMARDANOVA SABOXAT YULDASHEVNA  24 mart 2025 y.dan №659-SR-sonli Mikroqarz shartnomasi bo‘yicha garovga qo‘yilgan mol-mulkni ko‘zdan kechirdim</v>
      </c>
      <c r="B7" s="394"/>
      <c r="C7" s="394"/>
      <c r="D7" s="394"/>
      <c r="E7" s="394"/>
      <c r="F7" s="394"/>
      <c r="G7" s="394"/>
      <c r="H7" s="394"/>
    </row>
    <row r="8" spans="1:9" ht="19.5" customHeight="1">
      <c r="A8" s="389" t="s">
        <v>274</v>
      </c>
      <c r="B8" s="389"/>
      <c r="C8" s="389"/>
      <c r="D8" s="389"/>
      <c r="E8" s="389"/>
      <c r="F8" s="389"/>
      <c r="G8" s="389"/>
      <c r="H8" s="389"/>
    </row>
    <row r="9" spans="1:9" s="137" customFormat="1" ht="32.25" customHeight="1">
      <c r="A9" s="390" t="str">
        <f>' Акт мониторинга 1'!A9</f>
        <v>Nomi</v>
      </c>
      <c r="B9" s="391"/>
      <c r="C9" s="390" t="str">
        <f>' Акт мониторинга 1'!C9</f>
        <v>Kuzov turi  va kuzov raqami*</v>
      </c>
      <c r="D9" s="391"/>
      <c r="E9" s="390" t="str">
        <f>' Акт мониторинга 1'!E9</f>
        <v>Dvigatel va shassi raqami*</v>
      </c>
      <c r="F9" s="391"/>
      <c r="G9" s="390" t="str">
        <f>' Акт мониторинга 1'!G9</f>
        <v>Ishlab chiqarilgan yili va rangi**</v>
      </c>
      <c r="H9" s="391"/>
    </row>
    <row r="10" spans="1:9" s="135" customFormat="1" ht="58.5" customHeight="1">
      <c r="A10" s="392" t="str">
        <f>' Акт мониторинга 1'!A10</f>
        <v>LADA VESTA</v>
      </c>
      <c r="B10" s="392"/>
      <c r="C10" s="392" t="str">
        <f>' Акт мониторинга 1'!C10</f>
        <v>kuzov turi - YENGIL SEDAN, kuzov raqami XTAGFL110KY258232</v>
      </c>
      <c r="D10" s="392"/>
      <c r="E10" s="392" t="str">
        <f>' Акт мониторинга 1'!E10</f>
        <v>dvigatel raqami 3977458, shassi raqami - RAKAMSIZ</v>
      </c>
      <c r="F10" s="392"/>
      <c r="G10" s="392" t="str">
        <f>' Акт мониторинга 1'!G10</f>
        <v>rangi -  SARIQ JELTO- ORANJEVIY, ishlab chiqarilgan yili - 2019</v>
      </c>
      <c r="H10" s="392"/>
    </row>
    <row r="11" spans="1:9" ht="19.5" customHeight="1">
      <c r="A11" s="393" t="str">
        <f>dalolatnoma!A22:E22</f>
        <v>-* avtotransport egasi: XUDOYKULOV ALMURAT KURBONAZAROVICH</v>
      </c>
      <c r="B11" s="393"/>
      <c r="C11" s="393"/>
      <c r="D11" s="393"/>
      <c r="E11" s="393"/>
      <c r="F11" s="393"/>
      <c r="G11" s="393"/>
      <c r="H11" s="393"/>
    </row>
    <row r="12" spans="1:9" ht="19.5" customHeight="1">
      <c r="A12" s="393" t="str">
        <f>dalolatnoma!A23:E23</f>
        <v>-* texnik pasport: AAG 3367573 24.01.2024 y.</v>
      </c>
      <c r="B12" s="393"/>
      <c r="C12" s="393"/>
      <c r="D12" s="393"/>
      <c r="E12" s="393"/>
      <c r="F12" s="393"/>
      <c r="G12" s="393"/>
      <c r="H12" s="393"/>
    </row>
    <row r="13" spans="1:9" ht="19.5" customHeight="1">
      <c r="A13" s="393" t="str">
        <f>dalolatnoma!A24:E24</f>
        <v>-* roʻyxatdan oʻtgan manzili/garaj manzili: SURXONDARYO VILOYATI JARQO'RG'ON TUMANI OQQURG'ON QFY QORAYONTOQ MFY IBN SINO KO'CHASI 114-UY</v>
      </c>
      <c r="B13" s="393"/>
      <c r="C13" s="393"/>
      <c r="D13" s="393"/>
      <c r="E13" s="393"/>
      <c r="F13" s="393"/>
      <c r="G13" s="393"/>
      <c r="H13" s="393"/>
    </row>
    <row r="14" spans="1:9" ht="19.5" customHeight="1">
      <c r="A14" s="393" t="str">
        <f>dalolatnoma!A25:E25</f>
        <v>-* davlat raqami: 75M497WA</v>
      </c>
      <c r="B14" s="393"/>
      <c r="C14" s="393"/>
      <c r="D14" s="393"/>
      <c r="E14" s="393"/>
      <c r="F14" s="393"/>
      <c r="G14" s="393"/>
      <c r="H14" s="393"/>
    </row>
    <row r="15" spans="1:9" ht="33.75" customHeight="1">
      <c r="A15" s="396" t="str">
        <f>+"Shu bilan birga, yuqoridagi mulkning kelishilgan garov qiymati "&amp;dalolatnoma!E30</f>
        <v>Shu bilan birga, yuqoridagi mulkning kelishilgan garov qiymati 78 000 000,00 
(yetmish sakkiz million so'm)</v>
      </c>
      <c r="B15" s="396"/>
      <c r="C15" s="396"/>
      <c r="D15" s="396"/>
      <c r="E15" s="396"/>
      <c r="F15" s="396"/>
      <c r="G15" s="396"/>
      <c r="H15" s="396"/>
    </row>
    <row r="17" spans="1:8" ht="28.5" customHeight="1">
      <c r="A17" s="388" t="s">
        <v>275</v>
      </c>
      <c r="B17" s="388"/>
      <c r="C17" s="388"/>
      <c r="D17" s="388"/>
      <c r="E17" s="388"/>
      <c r="F17" s="388"/>
      <c r="G17" s="388"/>
      <c r="H17" s="388"/>
    </row>
    <row r="21" spans="1:8" s="31" customFormat="1"/>
    <row r="22" spans="1:8" s="31" customFormat="1">
      <c r="A22" s="31" t="str">
        <f>malumot!A156</f>
        <v>Surxondaryo filiali boshlig'i</v>
      </c>
      <c r="H22" s="138" t="str">
        <f>malumot!B156</f>
        <v>A.PARDAYEV</v>
      </c>
    </row>
    <row r="23" spans="1:8" s="31" customFormat="1" ht="32.25" customHeight="1">
      <c r="H23" s="138"/>
    </row>
    <row r="24" spans="1:8" s="31" customFormat="1" ht="16.5" customHeight="1">
      <c r="A24" s="31" t="s">
        <v>276</v>
      </c>
      <c r="H24" s="31" t="str">
        <f>malumot!B166</f>
        <v>B. Jumanazarov</v>
      </c>
    </row>
    <row r="25" spans="1:8" s="31" customFormat="1" ht="60" customHeight="1"/>
    <row r="26" spans="1:8" s="31" customFormat="1">
      <c r="A26" s="31" t="s">
        <v>277</v>
      </c>
      <c r="H26" s="138" t="str">
        <f>malumot!B7</f>
        <v>SHAYMARDANOVA S.Y.</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22</vt:i4>
      </vt:variant>
      <vt:variant>
        <vt:lpstr>Именованные диапазоны</vt:lpstr>
      </vt:variant>
      <vt:variant>
        <vt:i4>12</vt:i4>
      </vt:variant>
    </vt:vector>
  </HeadingPairs>
  <TitlesOfParts>
    <vt:vector size="34" baseType="lpstr">
      <vt:lpstr>malumot</vt:lpstr>
      <vt:lpstr>shartnoma</vt:lpstr>
      <vt:lpstr>buyruq</vt:lpstr>
      <vt:lpstr>bayonnoma</vt:lpstr>
      <vt:lpstr>График дифференц</vt:lpstr>
      <vt:lpstr>Данные для послед. Залога</vt:lpstr>
      <vt:lpstr>График аннуитет.</vt:lpstr>
      <vt:lpstr>xulosa</vt:lpstr>
      <vt:lpstr>dalolatnoma</vt:lpstr>
      <vt:lpstr>grafik</vt:lpstr>
      <vt:lpstr>ariza</vt:lpstr>
      <vt:lpstr>muqova</vt:lpstr>
      <vt:lpstr>mijoz_anketasi</vt:lpstr>
      <vt:lpstr>majburiyatnoma</vt:lpstr>
      <vt:lpstr>Анкета 2</vt:lpstr>
      <vt:lpstr>Кредитная заявка</vt:lpstr>
      <vt:lpstr>заявление залогодателя</vt:lpstr>
      <vt:lpstr>Письмо</vt:lpstr>
      <vt:lpstr> Акт мониторинга 1</vt:lpstr>
      <vt:lpstr> Акт мониторинга 2</vt:lpstr>
      <vt:lpstr> Акт мониторинга 3</vt:lpstr>
      <vt:lpstr> Акт мониторинга 4</vt:lpstr>
      <vt:lpstr>ariza!Область_печати</vt:lpstr>
      <vt:lpstr>bayonnoma!Область_печати</vt:lpstr>
      <vt:lpstr>buyruq!Область_печати</vt:lpstr>
      <vt:lpstr>dalolatnoma!Область_печати</vt:lpstr>
      <vt:lpstr>grafik!Область_печати</vt:lpstr>
      <vt:lpstr>mijoz_anketasi!Область_печати</vt:lpstr>
      <vt:lpstr>muqova!Область_печати</vt:lpstr>
      <vt:lpstr>shartnoma!Область_печати</vt:lpstr>
      <vt:lpstr>xulosa!Область_печати</vt:lpstr>
      <vt:lpstr>'График аннуитет.'!Область_печати</vt:lpstr>
      <vt:lpstr>'заявление залогодателя'!Область_печати</vt:lpstr>
      <vt:lpstr>'Кредитная заявка'!Область_печати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r.saipova</cp:lastModifiedBy>
  <cp:lastPrinted>2025-01-06T10:54:18Z</cp:lastPrinted>
  <dcterms:created xsi:type="dcterms:W3CDTF">2015-06-05T18:19:34Z</dcterms:created>
  <dcterms:modified xsi:type="dcterms:W3CDTF">2025-03-24T09:34:53Z</dcterms:modified>
</cp:coreProperties>
</file>