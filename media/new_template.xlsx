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mc:AlternateContent xmlns:mc="http://schemas.openxmlformats.org/markup-compatibility/2006">
    <mc:Choice Requires="x15">
      <x15ac:absPath xmlns:x15ac="http://schemas.microsoft.com/office/spreadsheetml/2010/11/ac" url="C:\Users\Admin\PycharmProjects\payup\media\"/>
    </mc:Choice>
  </mc:AlternateContent>
  <xr:revisionPtr revIDLastSave="0" documentId="13_ncr:1_{28AEE40E-DF3E-4A81-BCD3-100C49B866BC}" xr6:coauthVersionLast="47" xr6:coauthVersionMax="47" xr10:uidLastSave="{00000000-0000-0000-0000-000000000000}"/>
  <bookViews>
    <workbookView xWindow="-120" yWindow="-120" windowWidth="29040" windowHeight="15840" tabRatio="915" activeTab="3" xr2:uid="{00000000-000D-0000-FFFF-FFFF00000000}"/>
  </bookViews>
  <sheets>
    <sheet name="malumot" sheetId="1" r:id="rId1"/>
    <sheet name="shartnoma" sheetId="19" r:id="rId2"/>
    <sheet name="buyruq" sheetId="8" r:id="rId3"/>
    <sheet name="bayonnoma" sheetId="23" r:id="rId4"/>
    <sheet name="График дифференц" sheetId="15" state="hidden" r:id="rId5"/>
    <sheet name="Данные для послед. Залога" sheetId="21" state="hidden" r:id="rId6"/>
    <sheet name="График аннуитет." sheetId="12" state="hidden" r:id="rId7"/>
    <sheet name="xulosa" sheetId="3" r:id="rId8"/>
    <sheet name="dalolatnoma" sheetId="7" r:id="rId9"/>
    <sheet name="grafik" sheetId="16" r:id="rId10"/>
    <sheet name="ariza" sheetId="30" r:id="rId11"/>
    <sheet name="muqova" sheetId="9" r:id="rId12"/>
    <sheet name="mijoz_anketasi" sheetId="4" r:id="rId13"/>
    <sheet name="majburiyatnoma" sheetId="24" r:id="rId14"/>
    <sheet name="Анкета 2" sheetId="22" r:id="rId15"/>
    <sheet name="Кредитная заявка" sheetId="2" r:id="rId16"/>
    <sheet name="заявление залогодателя" sheetId="13" r:id="rId17"/>
    <sheet name="Письмо" sheetId="20" state="hidden" r:id="rId18"/>
    <sheet name=" Акт мониторинга 1" sheetId="26" r:id="rId19"/>
    <sheet name=" Акт мониторинга 2" sheetId="27" r:id="rId20"/>
    <sheet name=" Акт мониторинга 3" sheetId="28" r:id="rId21"/>
    <sheet name=" Акт мониторинга 4" sheetId="29" r:id="rId22"/>
  </sheets>
  <externalReferences>
    <externalReference r:id="rId23"/>
  </externalReferences>
  <definedNames>
    <definedName name="mos">'[1]Общие данные'!$C$23:$D$23</definedName>
    <definedName name="mulk">'[1]Общие данные'!$C$24:$W$24</definedName>
    <definedName name="_xlnm.Print_Area" localSheetId="10">ariza!$A$1:$D$17</definedName>
    <definedName name="_xlnm.Print_Area" localSheetId="3">bayonnoma!$A$1:$E$41</definedName>
    <definedName name="_xlnm.Print_Area" localSheetId="2">buyruq!$A$1:$E$29</definedName>
    <definedName name="_xlnm.Print_Area" localSheetId="8">dalolatnoma!$A$1:$E$60</definedName>
    <definedName name="_xlnm.Print_Area" localSheetId="9">grafik!$A$1:$F$63</definedName>
    <definedName name="_xlnm.Print_Area" localSheetId="12">mijoz_anketasi!$A$1:$F$36</definedName>
    <definedName name="_xlnm.Print_Area" localSheetId="11">muqova!$A$1:$G$42</definedName>
    <definedName name="_xlnm.Print_Area" localSheetId="1">shartnoma!$A$1:$B$133</definedName>
    <definedName name="_xlnm.Print_Area" localSheetId="7">xulosa!$A$1:$E$58</definedName>
    <definedName name="_xlnm.Print_Area" localSheetId="6">'График аннуитет.'!$A$1:$F$63</definedName>
    <definedName name="_xlnm.Print_Area" localSheetId="16">'заявление залогодателя'!$A$3:$B$20</definedName>
    <definedName name="_xlnm.Print_Area" localSheetId="15">'Кредитная заявка'!$A$1:$D$40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22" i="19" l="1"/>
  <c r="B60" i="16"/>
  <c r="B59" i="16"/>
  <c r="E52" i="7"/>
  <c r="B37" i="23"/>
  <c r="B38" i="23"/>
  <c r="D38" i="23"/>
  <c r="B39" i="23"/>
  <c r="D39" i="23"/>
  <c r="A9" i="30"/>
  <c r="A10" i="30"/>
  <c r="B10" i="30"/>
  <c r="A11" i="30"/>
  <c r="B11" i="30"/>
  <c r="A12" i="30"/>
  <c r="B12" i="30"/>
  <c r="A13" i="30"/>
  <c r="B13" i="30"/>
  <c r="A14" i="30"/>
  <c r="B14" i="30"/>
  <c r="C4" i="30"/>
  <c r="C5" i="30"/>
  <c r="C1" i="30"/>
  <c r="A16" i="30"/>
  <c r="A128" i="19"/>
  <c r="B54" i="3"/>
  <c r="C56" i="3"/>
  <c r="C55" i="3"/>
  <c r="C54" i="3"/>
  <c r="B56" i="3"/>
  <c r="B55" i="3"/>
  <c r="B139" i="1" l="1"/>
  <c r="B133" i="1" l="1"/>
  <c r="B65" i="1" l="1"/>
  <c r="F27" i="4"/>
  <c r="A21" i="3" s="1"/>
  <c r="D59" i="7"/>
  <c r="A126" i="19"/>
  <c r="B127" i="19"/>
  <c r="A52" i="7"/>
  <c r="B7" i="13"/>
  <c r="C1" i="2"/>
  <c r="A27" i="16"/>
  <c r="A28" i="16" s="1"/>
  <c r="A29" i="16" s="1"/>
  <c r="A30" i="16" s="1"/>
  <c r="A31" i="16" s="1"/>
  <c r="A32" i="16" s="1"/>
  <c r="A33" i="16" s="1"/>
  <c r="A34" i="16" s="1"/>
  <c r="A35" i="16" s="1"/>
  <c r="A36" i="16" s="1"/>
  <c r="A37" i="16" s="1"/>
  <c r="A38" i="16" s="1"/>
  <c r="A39" i="16" s="1"/>
  <c r="A40" i="16" s="1"/>
  <c r="A41" i="16" s="1"/>
  <c r="A42" i="16" s="1"/>
  <c r="A43" i="16" s="1"/>
  <c r="A44" i="16" s="1"/>
  <c r="A32" i="15"/>
  <c r="A33" i="15" s="1"/>
  <c r="A34" i="15" s="1"/>
  <c r="A35" i="15" s="1"/>
  <c r="A36" i="15" s="1"/>
  <c r="A37" i="15" s="1"/>
  <c r="A38" i="15" s="1"/>
  <c r="A39" i="15" s="1"/>
  <c r="A40" i="15" s="1"/>
  <c r="A41" i="15" s="1"/>
  <c r="A42" i="15" s="1"/>
  <c r="A43" i="15" s="1"/>
  <c r="A32" i="12"/>
  <c r="A33" i="12" s="1"/>
  <c r="A34" i="12" s="1"/>
  <c r="A35" i="12" s="1"/>
  <c r="A36" i="12" s="1"/>
  <c r="A37" i="12" s="1"/>
  <c r="A38" i="12" s="1"/>
  <c r="A39" i="12" s="1"/>
  <c r="A40" i="12" s="1"/>
  <c r="A41" i="12" s="1"/>
  <c r="A42" i="12" s="1"/>
  <c r="A43" i="12" s="1"/>
  <c r="C122" i="1"/>
  <c r="C128" i="1" s="1"/>
  <c r="C120" i="1"/>
  <c r="C126" i="1" s="1"/>
  <c r="C119" i="1"/>
  <c r="C125" i="1" s="1"/>
  <c r="C118" i="1"/>
  <c r="C124" i="1" s="1"/>
  <c r="C117" i="1"/>
  <c r="C123" i="1" s="1"/>
  <c r="A62" i="7"/>
  <c r="A61" i="7"/>
  <c r="F61" i="7"/>
  <c r="A25" i="7"/>
  <c r="A23" i="7"/>
  <c r="H24" i="27" l="1"/>
  <c r="A9" i="26"/>
  <c r="A9" i="29" s="1"/>
  <c r="A9" i="27" l="1"/>
  <c r="A9" i="28"/>
  <c r="I132" i="1"/>
  <c r="A48" i="3"/>
  <c r="A35" i="3"/>
  <c r="E30" i="3"/>
  <c r="A30" i="3"/>
  <c r="A33" i="3"/>
  <c r="D29" i="7" l="1"/>
  <c r="D30" i="3" s="1"/>
  <c r="F136" i="1"/>
  <c r="E139" i="1"/>
  <c r="E136" i="1"/>
  <c r="D20" i="7"/>
  <c r="E20" i="7"/>
  <c r="G9" i="26" s="1"/>
  <c r="B20" i="7"/>
  <c r="G9" i="28" l="1"/>
  <c r="G9" i="27"/>
  <c r="G9" i="29"/>
  <c r="B29" i="7"/>
  <c r="B30" i="3" s="1"/>
  <c r="C9" i="26"/>
  <c r="C29" i="7"/>
  <c r="C30" i="3" s="1"/>
  <c r="E9" i="26"/>
  <c r="E9" i="29" l="1"/>
  <c r="E9" i="28"/>
  <c r="E9" i="27"/>
  <c r="C9" i="29"/>
  <c r="C9" i="28"/>
  <c r="C9" i="27"/>
  <c r="B76" i="1"/>
  <c r="H24" i="29" l="1"/>
  <c r="H24" i="28"/>
  <c r="A22" i="26"/>
  <c r="H24" i="26"/>
  <c r="A51" i="3"/>
  <c r="A37" i="3"/>
  <c r="A1" i="3"/>
  <c r="D17" i="23"/>
  <c r="E17" i="23" s="1"/>
  <c r="A1" i="23"/>
  <c r="D58" i="16"/>
  <c r="A116" i="1" l="1"/>
  <c r="A115" i="1"/>
  <c r="A114" i="1"/>
  <c r="A113" i="1"/>
  <c r="C22" i="1"/>
  <c r="H9" i="23"/>
  <c r="A57" i="16"/>
  <c r="A18" i="23" l="1"/>
  <c r="A7" i="23"/>
  <c r="B49" i="1"/>
  <c r="B59" i="1" s="1"/>
  <c r="A16" i="4" l="1"/>
  <c r="A17" i="4"/>
  <c r="A7" i="24"/>
  <c r="B27" i="1"/>
  <c r="B119" i="19" s="1"/>
  <c r="B34" i="1"/>
  <c r="B122" i="1"/>
  <c r="B128" i="1" s="1"/>
  <c r="A24" i="7" s="1"/>
  <c r="A34" i="3" s="1"/>
  <c r="B120" i="1"/>
  <c r="B119" i="1"/>
  <c r="B118" i="1"/>
  <c r="D62" i="7" s="1"/>
  <c r="B117" i="1"/>
  <c r="B8" i="13" s="1"/>
  <c r="A19" i="13" l="1"/>
  <c r="B45" i="1"/>
  <c r="B58" i="1"/>
  <c r="A63" i="7"/>
  <c r="A51" i="7"/>
  <c r="B6" i="13"/>
  <c r="D2" i="2"/>
  <c r="C76" i="1"/>
  <c r="A34" i="23"/>
  <c r="A30" i="2" l="1"/>
  <c r="A31" i="4"/>
  <c r="H77" i="19"/>
  <c r="A77" i="19" s="1"/>
  <c r="H21" i="19"/>
  <c r="A72" i="19"/>
  <c r="H68" i="19"/>
  <c r="A68" i="19" s="1"/>
  <c r="A55" i="19"/>
  <c r="A5" i="23"/>
  <c r="A15" i="19"/>
  <c r="A12" i="19"/>
  <c r="A33" i="19"/>
  <c r="B32" i="19" s="1"/>
  <c r="A31" i="19" s="1"/>
  <c r="A87" i="1"/>
  <c r="A10" i="3"/>
  <c r="A17" i="2"/>
  <c r="A18" i="2"/>
  <c r="A9" i="19"/>
  <c r="A19" i="19"/>
  <c r="A46" i="19"/>
  <c r="A70" i="19"/>
  <c r="A95" i="19"/>
  <c r="C64" i="1"/>
  <c r="C21" i="19"/>
  <c r="A51" i="19"/>
  <c r="A62" i="19"/>
  <c r="A73" i="19"/>
  <c r="C39" i="19"/>
  <c r="A39" i="19" s="1"/>
  <c r="A65" i="19"/>
  <c r="C74" i="19"/>
  <c r="A74" i="19" s="1"/>
  <c r="H17" i="19"/>
  <c r="A17" i="19" s="1"/>
  <c r="I21" i="19"/>
  <c r="A42" i="19"/>
  <c r="A59" i="19"/>
  <c r="A91" i="19"/>
  <c r="A20" i="19"/>
  <c r="C54" i="19"/>
  <c r="A54" i="19" s="1"/>
  <c r="A60" i="19"/>
  <c r="A67" i="19"/>
  <c r="A20" i="23"/>
  <c r="D64" i="1"/>
  <c r="A22" i="19" s="1"/>
  <c r="A1" i="1"/>
  <c r="A79" i="1"/>
  <c r="A85" i="1"/>
  <c r="A2" i="1"/>
  <c r="A81" i="1"/>
  <c r="A86" i="1"/>
  <c r="A75" i="1"/>
  <c r="A82" i="1"/>
  <c r="A89" i="1"/>
  <c r="A78" i="1"/>
  <c r="A84" i="1"/>
  <c r="A47" i="16" l="1"/>
  <c r="A13" i="2"/>
  <c r="A16" i="2"/>
  <c r="A21" i="2"/>
  <c r="A14" i="23"/>
  <c r="A4" i="2"/>
  <c r="B26" i="9"/>
  <c r="A22" i="23"/>
  <c r="A14" i="19"/>
  <c r="A15" i="2"/>
  <c r="A24" i="23"/>
  <c r="A21" i="23"/>
  <c r="A40" i="19"/>
  <c r="A23" i="23"/>
  <c r="B25" i="9"/>
  <c r="A21" i="19"/>
  <c r="A13" i="19"/>
  <c r="A14" i="2"/>
  <c r="A26" i="3"/>
  <c r="A61" i="19"/>
  <c r="A23" i="19"/>
  <c r="A11" i="19"/>
  <c r="B123" i="1"/>
  <c r="A22" i="7" s="1"/>
  <c r="B124" i="1"/>
  <c r="A18" i="8" l="1"/>
  <c r="A32" i="3"/>
  <c r="H7" i="23"/>
  <c r="A2" i="23" s="1"/>
  <c r="B126" i="1" l="1"/>
  <c r="B125" i="1"/>
  <c r="A120" i="19" l="1"/>
  <c r="A53" i="16" s="1"/>
  <c r="A30" i="4"/>
  <c r="D55" i="16"/>
  <c r="A15" i="4"/>
  <c r="A14" i="4"/>
  <c r="A13" i="4"/>
  <c r="A7" i="3"/>
  <c r="C8" i="15"/>
  <c r="J12" i="15"/>
  <c r="A10" i="4" l="1"/>
  <c r="A9" i="4" s="1"/>
  <c r="D59" i="16"/>
  <c r="B124" i="19"/>
  <c r="D57" i="16" s="1"/>
  <c r="B123" i="19"/>
  <c r="D56" i="16" s="1"/>
  <c r="D52" i="16"/>
  <c r="B117" i="19"/>
  <c r="D51" i="16" s="1"/>
  <c r="A123" i="19" l="1"/>
  <c r="A56" i="16" s="1"/>
  <c r="A122" i="19"/>
  <c r="A55" i="16" s="1"/>
  <c r="A121" i="19"/>
  <c r="A54" i="16" s="1"/>
  <c r="A119" i="19"/>
  <c r="A52" i="16" s="1"/>
  <c r="B24" i="9" l="1"/>
  <c r="B2" i="9"/>
  <c r="A22" i="29"/>
  <c r="A22" i="28"/>
  <c r="H5" i="29"/>
  <c r="H5" i="28"/>
  <c r="H5" i="27"/>
  <c r="A22" i="27"/>
  <c r="H22" i="26"/>
  <c r="D2" i="1"/>
  <c r="H5" i="26" s="1"/>
  <c r="A24" i="13"/>
  <c r="A22" i="13"/>
  <c r="A34" i="2"/>
  <c r="A29" i="4"/>
  <c r="A28" i="4"/>
  <c r="A20" i="4"/>
  <c r="A7" i="4"/>
  <c r="A11" i="24"/>
  <c r="A14" i="7"/>
  <c r="A13" i="7"/>
  <c r="A2" i="7"/>
  <c r="A8" i="3"/>
  <c r="A5" i="3"/>
  <c r="A4" i="3"/>
  <c r="A11" i="8"/>
  <c r="A10" i="8"/>
  <c r="A9" i="8"/>
  <c r="A12" i="2"/>
  <c r="A11" i="2"/>
  <c r="A7" i="2"/>
  <c r="B170" i="1"/>
  <c r="H132" i="1"/>
  <c r="I131" i="1"/>
  <c r="F131" i="1" s="1"/>
  <c r="H131" i="1"/>
  <c r="C131" i="1"/>
  <c r="B9" i="1"/>
  <c r="B8" i="1"/>
  <c r="B142" i="1"/>
  <c r="B143" i="1" s="1"/>
  <c r="E21" i="7"/>
  <c r="B136" i="1"/>
  <c r="D21" i="7" s="1"/>
  <c r="E10" i="26" s="1"/>
  <c r="B21" i="7"/>
  <c r="C10" i="26" s="1"/>
  <c r="B11" i="1" l="1"/>
  <c r="B13" i="1" s="1"/>
  <c r="G10" i="26"/>
  <c r="D30" i="7"/>
  <c r="D31" i="3" s="1"/>
  <c r="E10" i="28"/>
  <c r="E10" i="27"/>
  <c r="E10" i="29"/>
  <c r="C10" i="28"/>
  <c r="C10" i="27"/>
  <c r="C10" i="29"/>
  <c r="C132" i="1"/>
  <c r="A17" i="7" s="1"/>
  <c r="A21" i="7"/>
  <c r="A10" i="26" s="1"/>
  <c r="C143" i="1"/>
  <c r="B144" i="1"/>
  <c r="A6" i="2"/>
  <c r="E30" i="7"/>
  <c r="E31" i="3" s="1"/>
  <c r="A48" i="7"/>
  <c r="A15" i="7"/>
  <c r="E131" i="1"/>
  <c r="A27" i="3"/>
  <c r="B9" i="13"/>
  <c r="A20" i="3"/>
  <c r="A27" i="2"/>
  <c r="A28" i="2"/>
  <c r="F132" i="1"/>
  <c r="E132" i="1"/>
  <c r="B10" i="1"/>
  <c r="A8" i="8" s="1"/>
  <c r="A28" i="3" l="1"/>
  <c r="A24" i="2"/>
  <c r="A17" i="8"/>
  <c r="G10" i="28"/>
  <c r="G10" i="29"/>
  <c r="G10" i="27"/>
  <c r="A16" i="8"/>
  <c r="A25" i="2"/>
  <c r="A16" i="7"/>
  <c r="A18" i="7" s="1"/>
  <c r="A19" i="7" s="1"/>
  <c r="A10" i="27"/>
  <c r="A10" i="28"/>
  <c r="A10" i="29"/>
  <c r="A29" i="3"/>
  <c r="A26" i="23" s="1"/>
  <c r="A38" i="3"/>
  <c r="B12" i="1"/>
  <c r="A15" i="13" l="1"/>
  <c r="A14" i="13"/>
  <c r="A21" i="4"/>
  <c r="A10" i="2"/>
  <c r="A9" i="2"/>
  <c r="A19" i="4"/>
  <c r="A13" i="13" l="1"/>
  <c r="B66" i="1"/>
  <c r="A1" i="19" s="1"/>
  <c r="H26" i="29"/>
  <c r="H26" i="28"/>
  <c r="H26" i="27"/>
  <c r="H22" i="29"/>
  <c r="H22" i="28"/>
  <c r="H22" i="27"/>
  <c r="H26" i="26"/>
  <c r="D56" i="7" l="1"/>
  <c r="A56" i="7"/>
  <c r="A132" i="19"/>
  <c r="B108" i="1"/>
  <c r="R130" i="1" l="1"/>
  <c r="R131" i="1" s="1"/>
  <c r="N132" i="1" s="1"/>
  <c r="A25" i="13"/>
  <c r="A26" i="13" s="1"/>
  <c r="A28" i="13" s="1"/>
  <c r="A20" i="13" s="1"/>
  <c r="C63" i="7" s="1"/>
  <c r="Q130" i="1"/>
  <c r="Q131" i="1" s="1"/>
  <c r="N131" i="1" s="1"/>
  <c r="B24" i="4" l="1"/>
  <c r="B67" i="1" l="1"/>
  <c r="C78" i="1" s="1"/>
  <c r="C79" i="1" s="1"/>
  <c r="C80" i="1" s="1"/>
  <c r="B79" i="1" s="1"/>
  <c r="B80" i="1" s="1"/>
  <c r="B151" i="1" l="1"/>
  <c r="B149" i="1"/>
  <c r="C18" i="1" l="1"/>
  <c r="B20" i="1" l="1"/>
  <c r="C20" i="1"/>
  <c r="A5" i="19" s="1"/>
  <c r="C121" i="1" l="1"/>
  <c r="B121" i="19"/>
  <c r="C6" i="30"/>
  <c r="B121" i="1"/>
  <c r="B127" i="1" s="1"/>
  <c r="C127" i="1"/>
  <c r="D53" i="16"/>
  <c r="A8" i="2"/>
  <c r="B27" i="23"/>
  <c r="C27" i="23"/>
  <c r="D27" i="23"/>
  <c r="E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42" i="1"/>
  <c r="D49" i="7" l="1"/>
  <c r="E33" i="7"/>
  <c r="A38" i="20"/>
  <c r="A37" i="20"/>
  <c r="B19" i="20"/>
  <c r="C19" i="20"/>
  <c r="D19" i="20"/>
  <c r="E19" i="20"/>
  <c r="A19" i="20"/>
  <c r="L5" i="15" l="1"/>
  <c r="I8" i="15" l="1"/>
  <c r="E20" i="20"/>
  <c r="B26" i="4"/>
  <c r="B27" i="4" s="1"/>
  <c r="A33" i="20" l="1"/>
  <c r="C19" i="1"/>
  <c r="B21" i="1" l="1"/>
  <c r="A6" i="3" s="1"/>
  <c r="C21" i="1"/>
  <c r="B8" i="15"/>
  <c r="R43" i="15" s="1"/>
  <c r="C5" i="22"/>
  <c r="A33" i="22" s="1"/>
  <c r="B43" i="15" l="1"/>
  <c r="O43" i="15"/>
  <c r="P43" i="15" s="1"/>
  <c r="Q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H42" i="12" l="1"/>
  <c r="H37" i="12"/>
  <c r="H38" i="12"/>
  <c r="G38" i="12"/>
  <c r="H32" i="15"/>
  <c r="B32" i="12"/>
  <c r="B33" i="16" s="1"/>
  <c r="G39" i="12"/>
  <c r="H39" i="12"/>
  <c r="H40" i="12"/>
  <c r="G40" i="12"/>
  <c r="H43" i="15"/>
  <c r="B43" i="12"/>
  <c r="B44" i="16" s="1"/>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H32" i="12" l="1"/>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B32" i="16" s="1"/>
  <c r="H31" i="15"/>
  <c r="H25" i="15"/>
  <c r="H16" i="15"/>
  <c r="G16" i="15"/>
  <c r="G17" i="15"/>
  <c r="H17" i="15"/>
  <c r="H15" i="15"/>
  <c r="H18" i="15"/>
  <c r="G18" i="15"/>
  <c r="H13" i="15"/>
  <c r="H20" i="15"/>
  <c r="H21" i="15"/>
  <c r="G21" i="15"/>
  <c r="G23" i="15"/>
  <c r="H23" i="15"/>
  <c r="H22" i="15"/>
  <c r="G22" i="15"/>
  <c r="G14" i="15"/>
  <c r="H14" i="15"/>
  <c r="G15" i="15"/>
  <c r="G9" i="15"/>
  <c r="H19" i="15"/>
  <c r="G20" i="15"/>
  <c r="G19" i="15"/>
  <c r="D17" i="1"/>
  <c r="G32" i="12" l="1"/>
  <c r="H41" i="12"/>
  <c r="G41" i="12"/>
  <c r="G42" i="12"/>
  <c r="G10" i="15"/>
  <c r="H10" i="15"/>
  <c r="H9" i="15"/>
  <c r="G13" i="15"/>
  <c r="G12" i="15"/>
  <c r="H12" i="15"/>
  <c r="H11" i="15"/>
  <c r="G11" i="15"/>
  <c r="I67" i="1"/>
  <c r="G67" i="1"/>
  <c r="A117" i="19" l="1"/>
  <c r="A51" i="16" s="1"/>
  <c r="F67" i="1" l="1"/>
  <c r="E67" i="1"/>
  <c r="A20" i="2" s="1"/>
  <c r="C67" i="1"/>
  <c r="C65" i="1"/>
  <c r="C66" i="1" l="1"/>
  <c r="I66" i="1"/>
  <c r="G66" i="1"/>
  <c r="D67" i="1"/>
  <c r="B150" i="1" s="1"/>
  <c r="A26" i="19" s="1"/>
  <c r="H67" i="1"/>
  <c r="B69" i="1" s="1"/>
  <c r="A4" i="24" s="1"/>
  <c r="E66" i="1"/>
  <c r="F66" i="1"/>
  <c r="A30" i="19" l="1"/>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B171" i="1"/>
  <c r="A4" i="8" s="1"/>
  <c r="B148" i="1"/>
  <c r="E4" i="7" s="1"/>
  <c r="A39" i="20"/>
  <c r="B40" i="9"/>
  <c r="A19" i="2"/>
  <c r="D60" i="15"/>
  <c r="A58" i="15"/>
  <c r="A56" i="15"/>
  <c r="D52" i="15"/>
  <c r="D48" i="15"/>
  <c r="A48" i="15"/>
  <c r="A25" i="23" l="1"/>
  <c r="A14" i="8"/>
  <c r="A7" i="7"/>
  <c r="A10" i="7"/>
  <c r="A26" i="7"/>
  <c r="A15" i="3"/>
  <c r="H27" i="15"/>
  <c r="G27" i="15"/>
  <c r="G28" i="15"/>
  <c r="H28" i="15"/>
  <c r="G30" i="15"/>
  <c r="G31" i="15"/>
  <c r="H30" i="15"/>
  <c r="G29" i="15"/>
  <c r="H29" i="15"/>
  <c r="G26" i="15"/>
  <c r="H26" i="15"/>
  <c r="H24" i="15"/>
  <c r="G24" i="15"/>
  <c r="G25" i="15"/>
  <c r="A6" i="7" l="1"/>
  <c r="F2" i="15"/>
  <c r="B62" i="1" l="1"/>
  <c r="D55" i="15" l="1"/>
  <c r="B19" i="13" l="1"/>
  <c r="B10" i="13"/>
  <c r="D56" i="15" l="1"/>
  <c r="D54"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A34" i="20"/>
  <c r="A35" i="20"/>
  <c r="C148" i="1"/>
  <c r="A9" i="20" l="1"/>
  <c r="N129" i="1"/>
  <c r="E44" i="7"/>
  <c r="E31" i="20" s="1"/>
  <c r="A23" i="2" l="1"/>
  <c r="A32" i="20"/>
  <c r="D60" i="12"/>
  <c r="A58" i="12"/>
  <c r="A56" i="12"/>
  <c r="D52" i="12"/>
  <c r="D48" i="12"/>
  <c r="A48" i="12"/>
  <c r="C8" i="12"/>
  <c r="C9" i="16" s="1"/>
  <c r="A25" i="19" l="1"/>
  <c r="A24" i="19" l="1"/>
  <c r="B12" i="9"/>
  <c r="A12" i="8"/>
  <c r="E19" i="8"/>
  <c r="E11" i="20" s="1"/>
  <c r="D19" i="8"/>
  <c r="D11" i="20" s="1"/>
  <c r="C19" i="8"/>
  <c r="C11" i="20" s="1"/>
  <c r="B19" i="8"/>
  <c r="B11" i="20" s="1"/>
  <c r="A19" i="8"/>
  <c r="A11" i="20" s="1"/>
  <c r="D60" i="7"/>
  <c r="D28" i="23"/>
  <c r="C30" i="7"/>
  <c r="B30" i="7"/>
  <c r="A30" i="7"/>
  <c r="C28" i="23" l="1"/>
  <c r="C31" i="3"/>
  <c r="A28" i="23"/>
  <c r="A31" i="3"/>
  <c r="B28" i="23"/>
  <c r="B31" i="3"/>
  <c r="A32" i="23"/>
  <c r="A14" i="26"/>
  <c r="A14" i="29"/>
  <c r="A14" i="28"/>
  <c r="A14" i="27"/>
  <c r="A30" i="23"/>
  <c r="A12" i="27"/>
  <c r="A12" i="29"/>
  <c r="A12" i="28"/>
  <c r="A12" i="26"/>
  <c r="D20" i="8"/>
  <c r="D12" i="20" s="1"/>
  <c r="C20" i="8"/>
  <c r="C12" i="20" s="1"/>
  <c r="B20" i="8"/>
  <c r="B12" i="20" s="1"/>
  <c r="A24" i="8"/>
  <c r="A16" i="20" s="1"/>
  <c r="A20" i="8"/>
  <c r="A12" i="20" s="1"/>
  <c r="A22" i="8"/>
  <c r="A14" i="20" s="1"/>
  <c r="D35" i="4"/>
  <c r="D27" i="4"/>
  <c r="C27" i="4"/>
  <c r="A14" i="3"/>
  <c r="A42" i="3" s="1"/>
  <c r="A11" i="4"/>
  <c r="A8" i="4"/>
  <c r="A6" i="4"/>
  <c r="A5" i="4"/>
  <c r="A4" i="4"/>
  <c r="A39" i="2"/>
  <c r="A17" i="3"/>
  <c r="A45" i="3" s="1"/>
  <c r="A12" i="3"/>
  <c r="A51" i="15" l="1"/>
  <c r="A55" i="15"/>
  <c r="A60" i="15"/>
  <c r="D62" i="15"/>
  <c r="A50" i="15"/>
  <c r="A54" i="15"/>
  <c r="A53" i="15"/>
  <c r="A52" i="15"/>
  <c r="D51" i="15"/>
  <c r="D58" i="15"/>
  <c r="D50" i="15"/>
  <c r="A60" i="12"/>
  <c r="A54" i="12"/>
  <c r="A51" i="12"/>
  <c r="A55" i="12"/>
  <c r="A52" i="12"/>
  <c r="A13" i="3"/>
  <c r="A41" i="3" s="1"/>
  <c r="A53" i="12"/>
  <c r="D56" i="12"/>
  <c r="D54" i="12"/>
  <c r="D55" i="12"/>
  <c r="D51" i="12"/>
  <c r="D58" i="12"/>
  <c r="D50" i="12"/>
  <c r="A50" i="12"/>
  <c r="A40" i="3"/>
  <c r="A43" i="3"/>
  <c r="A13" i="8"/>
  <c r="A16" i="3"/>
  <c r="A44" i="3" s="1"/>
  <c r="A15" i="8"/>
  <c r="A11" i="3"/>
  <c r="A39" i="3" s="1"/>
  <c r="A26" i="2"/>
  <c r="A22" i="2" s="1"/>
  <c r="A15" i="27" l="1"/>
  <c r="A15" i="26"/>
  <c r="A15" i="29"/>
  <c r="A15" i="28"/>
  <c r="A31" i="23"/>
  <c r="A13" i="27"/>
  <c r="A13" i="28"/>
  <c r="A13" i="29"/>
  <c r="A13" i="26"/>
  <c r="A29" i="23"/>
  <c r="A11" i="29"/>
  <c r="A11" i="28"/>
  <c r="A11" i="27"/>
  <c r="A11" i="26"/>
  <c r="E28" i="23"/>
  <c r="A23" i="8"/>
  <c r="A15" i="20" s="1"/>
  <c r="A21" i="8"/>
  <c r="A13" i="20" s="1"/>
  <c r="E20" i="8"/>
  <c r="E12" i="20" s="1"/>
  <c r="A18" i="3"/>
  <c r="A16" i="23" s="1"/>
  <c r="F2" i="12"/>
  <c r="A46"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M8" i="15"/>
  <c r="F8" i="15" s="1"/>
  <c r="I10" i="15"/>
  <c r="I11" i="15" s="1"/>
  <c r="I12" i="15" s="1"/>
  <c r="I13" i="15" s="1"/>
  <c r="I14" i="15" s="1"/>
  <c r="I15" i="15" s="1"/>
  <c r="I16" i="15" s="1"/>
  <c r="L9" i="15" l="1"/>
  <c r="E9" i="15" s="1"/>
  <c r="J14" i="15"/>
  <c r="K14" i="15" s="1"/>
  <c r="J13" i="15"/>
  <c r="K13" i="15" s="1"/>
  <c r="J17" i="15"/>
  <c r="K17" i="15" s="1"/>
  <c r="I17" i="15" s="1"/>
  <c r="J18" i="15" s="1"/>
  <c r="K18" i="15" s="1"/>
  <c r="I18" i="15" s="1"/>
  <c r="J19" i="15" s="1"/>
  <c r="K19" i="15" s="1"/>
  <c r="I19" i="15" s="1"/>
  <c r="J16" i="15"/>
  <c r="K16" i="15" s="1"/>
  <c r="J15" i="15"/>
  <c r="K15" i="15" s="1"/>
  <c r="D9" i="15" l="1"/>
  <c r="C10" i="15" s="1"/>
  <c r="I20" i="15"/>
  <c r="J20" i="15"/>
  <c r="K20" i="15" s="1"/>
  <c r="L10" i="15" l="1"/>
  <c r="E10" i="15" s="1"/>
  <c r="M9" i="15"/>
  <c r="F9" i="15" s="1"/>
  <c r="J21" i="15"/>
  <c r="K21" i="15" s="1"/>
  <c r="I21" i="15" s="1"/>
  <c r="J22" i="15" s="1"/>
  <c r="K22" i="15" s="1"/>
  <c r="I22" i="15" l="1"/>
  <c r="I23" i="15" s="1"/>
  <c r="I24" i="15" s="1"/>
  <c r="D10" i="15"/>
  <c r="J25" i="15" l="1"/>
  <c r="K25" i="15" s="1"/>
  <c r="I25" i="15" s="1"/>
  <c r="I26" i="15" s="1"/>
  <c r="I27" i="15" s="1"/>
  <c r="J24" i="15"/>
  <c r="K24" i="15" s="1"/>
  <c r="J23" i="15"/>
  <c r="K23" i="15" s="1"/>
  <c r="M10" i="15"/>
  <c r="F10" i="15" s="1"/>
  <c r="C11" i="15"/>
  <c r="J27" i="15" l="1"/>
  <c r="K27" i="15" s="1"/>
  <c r="J28" i="15"/>
  <c r="K28" i="15" s="1"/>
  <c r="I28" i="15" s="1"/>
  <c r="I29" i="15" s="1"/>
  <c r="I30" i="15" s="1"/>
  <c r="J31" i="15" s="1"/>
  <c r="K31" i="15" s="1"/>
  <c r="I31" i="15" s="1"/>
  <c r="J32" i="15" s="1"/>
  <c r="K32" i="15" s="1"/>
  <c r="J26" i="15"/>
  <c r="K26" i="15" s="1"/>
  <c r="L11" i="15"/>
  <c r="E11" i="15" s="1"/>
  <c r="J29" i="15" l="1"/>
  <c r="K29" i="15" s="1"/>
  <c r="I32" i="15"/>
  <c r="I33" i="15" s="1"/>
  <c r="D11" i="15"/>
  <c r="J30" i="15"/>
  <c r="K30" i="15" s="1"/>
  <c r="J34" i="15" l="1"/>
  <c r="K34" i="15" s="1"/>
  <c r="I34" i="15" s="1"/>
  <c r="J35" i="15" s="1"/>
  <c r="K35" i="15" s="1"/>
  <c r="I35" i="15" s="1"/>
  <c r="J33" i="15"/>
  <c r="K33" i="15" s="1"/>
  <c r="M11" i="15"/>
  <c r="F11" i="15" s="1"/>
  <c r="C12" i="15"/>
  <c r="L12" i="15" l="1"/>
  <c r="E12" i="15" s="1"/>
  <c r="I36" i="15"/>
  <c r="J36" i="15"/>
  <c r="K36" i="15" s="1"/>
  <c r="D12" i="15" l="1"/>
  <c r="J37" i="15"/>
  <c r="K37" i="15" s="1"/>
  <c r="I37" i="15" s="1"/>
  <c r="C13" i="15" l="1"/>
  <c r="M12" i="15"/>
  <c r="F12" i="15" s="1"/>
  <c r="I38" i="15"/>
  <c r="J38" i="15"/>
  <c r="K38" i="15" s="1"/>
  <c r="L13" i="15" l="1"/>
  <c r="E13" i="15" s="1"/>
  <c r="J39" i="15"/>
  <c r="K39" i="15" s="1"/>
  <c r="I39" i="15" s="1"/>
  <c r="D13" i="15" l="1"/>
  <c r="J40" i="15"/>
  <c r="K40" i="15" s="1"/>
  <c r="I40" i="15" s="1"/>
  <c r="C14" i="15" l="1"/>
  <c r="M13" i="15"/>
  <c r="F13" i="15" s="1"/>
  <c r="J41" i="15"/>
  <c r="K41" i="15" s="1"/>
  <c r="I41" i="15" s="1"/>
  <c r="L14" i="15" l="1"/>
  <c r="E14" i="15" s="1"/>
  <c r="D14" i="15"/>
  <c r="J42" i="15"/>
  <c r="K42" i="15" s="1"/>
  <c r="I42" i="15" s="1"/>
  <c r="J43" i="15" s="1"/>
  <c r="K43" i="15" s="1"/>
  <c r="I43" i="15" s="1"/>
  <c r="C15" i="15" l="1"/>
  <c r="M14" i="15"/>
  <c r="F14" i="15" s="1"/>
  <c r="L15" i="15" l="1"/>
  <c r="E15" i="15" s="1"/>
  <c r="D15" i="15" l="1"/>
  <c r="M15" i="15" l="1"/>
  <c r="F15" i="15" s="1"/>
  <c r="C16" i="15"/>
  <c r="L16" i="15" l="1"/>
  <c r="E16" i="15" s="1"/>
  <c r="D16" i="15" l="1"/>
  <c r="M16" i="15" l="1"/>
  <c r="F16" i="15" s="1"/>
  <c r="C17" i="15"/>
  <c r="L17" i="15" l="1"/>
  <c r="E17" i="15" s="1"/>
  <c r="D17" i="15" l="1"/>
  <c r="M17" i="15" l="1"/>
  <c r="F17" i="15" s="1"/>
  <c r="C18" i="15"/>
  <c r="L18" i="15" l="1"/>
  <c r="E18" i="15" s="1"/>
  <c r="D18" i="15" l="1"/>
  <c r="C19" i="15" s="1"/>
  <c r="L19" i="15" s="1"/>
  <c r="E19" i="15" s="1"/>
  <c r="M18" i="15" l="1"/>
  <c r="F18" i="15" s="1"/>
  <c r="D19" i="15"/>
  <c r="M19" i="15" l="1"/>
  <c r="F19" i="15" s="1"/>
  <c r="C20" i="15"/>
  <c r="L20" i="15" l="1"/>
  <c r="E20" i="15" s="1"/>
  <c r="D20" i="15" l="1"/>
  <c r="M20" i="15" l="1"/>
  <c r="F20" i="15" s="1"/>
  <c r="C21" i="15"/>
  <c r="L21" i="15" l="1"/>
  <c r="E21" i="15" s="1"/>
  <c r="D21" i="15" l="1"/>
  <c r="M21" i="15" l="1"/>
  <c r="F21" i="15" s="1"/>
  <c r="C22" i="15"/>
  <c r="L22" i="15" l="1"/>
  <c r="E22" i="15" s="1"/>
  <c r="D22" i="15" l="1"/>
  <c r="M22" i="15" l="1"/>
  <c r="F22" i="15" s="1"/>
  <c r="C23" i="15"/>
  <c r="L23" i="15" l="1"/>
  <c r="E23" i="15" s="1"/>
  <c r="D23" i="15" l="1"/>
  <c r="M23" i="15" l="1"/>
  <c r="F23" i="15" s="1"/>
  <c r="C24" i="15"/>
  <c r="L24" i="15" l="1"/>
  <c r="E24" i="15" s="1"/>
  <c r="D24" i="15" l="1"/>
  <c r="M24" i="15" l="1"/>
  <c r="F24" i="15" s="1"/>
  <c r="C25" i="15"/>
  <c r="L25" i="15" l="1"/>
  <c r="E25" i="15" s="1"/>
  <c r="D25" i="15" l="1"/>
  <c r="M25" i="15" s="1"/>
  <c r="F25" i="15" s="1"/>
  <c r="C26" i="15" l="1"/>
  <c r="L26" i="15" s="1"/>
  <c r="D26" i="15" s="1"/>
  <c r="E26" i="15" l="1"/>
  <c r="M26" i="15" s="1"/>
  <c r="F26" i="15" s="1"/>
  <c r="C27" i="15"/>
  <c r="L27" i="15" l="1"/>
  <c r="D27" i="15" s="1"/>
  <c r="C28" i="15" s="1"/>
  <c r="E27" i="15" l="1"/>
  <c r="M27" i="15" s="1"/>
  <c r="F27" i="15" s="1"/>
  <c r="L28" i="15"/>
  <c r="D28" i="15" s="1"/>
  <c r="C29" i="15" s="1"/>
  <c r="E28" i="15" l="1"/>
  <c r="M28" i="15" s="1"/>
  <c r="F28" i="15" s="1"/>
  <c r="L29" i="15"/>
  <c r="D29" i="15" s="1"/>
  <c r="E29" i="15" l="1"/>
  <c r="M29" i="15" s="1"/>
  <c r="F29" i="15" s="1"/>
  <c r="C30" i="15"/>
  <c r="L30" i="15" l="1"/>
  <c r="D30" i="15" s="1"/>
  <c r="E30" i="15" l="1"/>
  <c r="M30" i="15" s="1"/>
  <c r="F30" i="15" s="1"/>
  <c r="C31" i="15"/>
  <c r="L31" i="15" l="1"/>
  <c r="D31" i="15" s="1"/>
  <c r="E31" i="15" l="1"/>
  <c r="M31" i="15" s="1"/>
  <c r="F31" i="15" s="1"/>
  <c r="C32" i="15"/>
  <c r="L32" i="15" l="1"/>
  <c r="E32" i="15" s="1"/>
  <c r="D32" i="15" l="1"/>
  <c r="M32" i="15" s="1"/>
  <c r="F32" i="15" s="1"/>
  <c r="C33" i="15" l="1"/>
  <c r="L33" i="15" s="1"/>
  <c r="E33" i="15" s="1"/>
  <c r="D33" i="15" l="1"/>
  <c r="M33" i="15" l="1"/>
  <c r="F33" i="15" s="1"/>
  <c r="C34" i="15"/>
  <c r="L34" i="15" l="1"/>
  <c r="E34" i="15" s="1"/>
  <c r="D34" i="15" l="1"/>
  <c r="C35" i="15" s="1"/>
  <c r="L35" i="15" s="1"/>
  <c r="E35" i="15" s="1"/>
  <c r="M34" i="15" l="1"/>
  <c r="F34" i="15" s="1"/>
  <c r="D35" i="15"/>
  <c r="M35" i="15" s="1"/>
  <c r="F35" i="15" s="1"/>
  <c r="C36" i="15" l="1"/>
  <c r="L36" i="15" s="1"/>
  <c r="E36" i="15" s="1"/>
  <c r="D36" i="15" l="1"/>
  <c r="M36" i="15" s="1"/>
  <c r="F36" i="15" s="1"/>
  <c r="C37" i="15" l="1"/>
  <c r="L37" i="15" s="1"/>
  <c r="E37" i="15" s="1"/>
  <c r="D37" i="15" l="1"/>
  <c r="M37" i="15" l="1"/>
  <c r="F37" i="15" s="1"/>
  <c r="C38" i="15"/>
  <c r="L38" i="15" l="1"/>
  <c r="D38" i="15" s="1"/>
  <c r="E38" i="15" l="1"/>
  <c r="M38" i="15" s="1"/>
  <c r="F38" i="15" s="1"/>
  <c r="C39" i="15"/>
  <c r="L39" i="15" l="1"/>
  <c r="E39" i="15" s="1"/>
  <c r="D39" i="15" l="1"/>
  <c r="M39" i="15" l="1"/>
  <c r="F39" i="15" s="1"/>
  <c r="C40" i="15"/>
  <c r="L40" i="15" l="1"/>
  <c r="E40" i="15" s="1"/>
  <c r="D40" i="15" l="1"/>
  <c r="M40" i="15" l="1"/>
  <c r="F40" i="15" s="1"/>
  <c r="C41" i="15"/>
  <c r="L41" i="15" l="1"/>
  <c r="E41" i="15" s="1"/>
  <c r="D41" i="15" l="1"/>
  <c r="C42" i="15" s="1"/>
  <c r="L42" i="15" s="1"/>
  <c r="E42" i="15" s="1"/>
  <c r="M41" i="15" l="1"/>
  <c r="F41" i="15" s="1"/>
  <c r="D42" i="15"/>
  <c r="M42" i="15" s="1"/>
  <c r="F42" i="15" s="1"/>
  <c r="C43" i="15" l="1"/>
  <c r="L43" i="15" s="1"/>
  <c r="E43" i="15" s="1"/>
  <c r="E44" i="15" s="1"/>
  <c r="D43" i="15" l="1"/>
  <c r="M43" i="15" s="1"/>
  <c r="F43" i="15" s="1"/>
  <c r="F44" i="15" s="1"/>
  <c r="D44" i="15" l="1"/>
  <c r="E10" i="16"/>
  <c r="E11" i="16"/>
  <c r="E12" i="16"/>
  <c r="E13" i="16"/>
  <c r="E14" i="16"/>
  <c r="E15" i="16"/>
  <c r="E16" i="16"/>
  <c r="E17" i="16"/>
  <c r="E18" i="16"/>
  <c r="E19" i="16"/>
  <c r="E20" i="16"/>
  <c r="E21" i="16"/>
  <c r="E22" i="16"/>
  <c r="E23" i="16"/>
  <c r="E24" i="16"/>
  <c r="E25" i="16"/>
  <c r="E26" i="16"/>
  <c r="E27" i="16"/>
  <c r="E28" i="16"/>
  <c r="E29" i="16"/>
  <c r="E30" i="16"/>
  <c r="E31" i="16"/>
  <c r="E32" i="16"/>
  <c r="E33" i="16"/>
  <c r="E34" i="16"/>
  <c r="E35" i="16"/>
  <c r="E36" i="16"/>
  <c r="E37" i="16"/>
  <c r="E38" i="16"/>
  <c r="E39" i="16"/>
  <c r="E40" i="16"/>
  <c r="E41" i="16"/>
  <c r="E42" i="16"/>
  <c r="E43" i="16"/>
  <c r="E44" i="16"/>
  <c r="F9" i="16"/>
  <c r="F10" i="16"/>
  <c r="F11" i="16"/>
  <c r="F12" i="16"/>
  <c r="F13" i="16"/>
  <c r="F14" i="16"/>
  <c r="F15" i="16"/>
  <c r="F16" i="16"/>
  <c r="F17" i="16"/>
  <c r="F18" i="16"/>
  <c r="F19" i="16"/>
  <c r="F20" i="16"/>
  <c r="F21" i="16"/>
  <c r="F22" i="16"/>
  <c r="F23" i="16"/>
  <c r="F24" i="16"/>
  <c r="F25" i="16"/>
  <c r="F26" i="16"/>
  <c r="F27" i="16"/>
  <c r="F28" i="16"/>
  <c r="F29" i="16"/>
  <c r="F30" i="16"/>
  <c r="F31" i="16"/>
  <c r="F32" i="16"/>
  <c r="F33" i="16"/>
  <c r="F34" i="16"/>
  <c r="F35" i="16"/>
  <c r="F36" i="16"/>
  <c r="F37" i="16"/>
  <c r="F38" i="16"/>
  <c r="F39" i="16"/>
  <c r="F40" i="16"/>
  <c r="F41" i="16"/>
  <c r="F42" i="16"/>
  <c r="F43" i="16"/>
  <c r="F44" i="16"/>
  <c r="D9" i="16"/>
  <c r="D10" i="16"/>
  <c r="D11" i="16"/>
  <c r="D12" i="16"/>
  <c r="D13" i="16"/>
  <c r="D14" i="16"/>
  <c r="D15" i="16"/>
  <c r="D16" i="16"/>
  <c r="D17" i="16"/>
  <c r="D18" i="16"/>
  <c r="D19" i="16"/>
  <c r="D20" i="16"/>
  <c r="D21" i="16"/>
  <c r="D22" i="16"/>
  <c r="D23" i="16"/>
  <c r="D24" i="16"/>
  <c r="D25" i="16"/>
  <c r="D26" i="16"/>
  <c r="D27" i="16"/>
  <c r="D28" i="16"/>
  <c r="D29" i="16"/>
  <c r="D30" i="16"/>
  <c r="D31" i="16"/>
  <c r="D32" i="16"/>
  <c r="D33" i="16"/>
  <c r="D34" i="16"/>
  <c r="D35" i="16"/>
  <c r="D36" i="16"/>
  <c r="D37" i="16"/>
  <c r="D38" i="16"/>
  <c r="D39" i="16"/>
  <c r="D40" i="16"/>
  <c r="D41" i="16"/>
  <c r="D42" i="16"/>
  <c r="D43" i="16"/>
  <c r="D44" i="16"/>
  <c r="C44" i="16"/>
  <c r="C43" i="16"/>
  <c r="C42" i="16"/>
  <c r="C41" i="16"/>
  <c r="C40" i="16"/>
  <c r="C39" i="16"/>
  <c r="C38" i="16"/>
  <c r="C37" i="16"/>
  <c r="C36" i="16"/>
  <c r="C35" i="16"/>
  <c r="C34" i="16"/>
  <c r="C33" i="16"/>
  <c r="C32" i="16"/>
  <c r="C31" i="16"/>
  <c r="C30" i="16"/>
  <c r="C29" i="16"/>
  <c r="C28" i="16"/>
  <c r="C27" i="16"/>
  <c r="C26" i="16"/>
  <c r="C25" i="16"/>
  <c r="C24" i="16"/>
  <c r="C23" i="16"/>
  <c r="C22" i="16"/>
  <c r="C21" i="16"/>
  <c r="C20" i="16"/>
  <c r="C19" i="16"/>
  <c r="C18" i="16"/>
  <c r="C17" i="16"/>
  <c r="C16" i="16"/>
  <c r="C15" i="16"/>
  <c r="C14" i="16"/>
  <c r="C13" i="16"/>
  <c r="C12" i="16"/>
  <c r="C11" i="16"/>
  <c r="C10" i="16"/>
  <c r="B90" i="1" l="1"/>
  <c r="F8" i="12" s="1"/>
  <c r="F45" i="16"/>
  <c r="D45" i="16"/>
  <c r="E45" i="16"/>
  <c r="C63" i="1"/>
  <c r="C60" i="1" s="1"/>
  <c r="A23" i="3" l="1"/>
  <c r="A22" i="3" s="1"/>
  <c r="A24" i="3"/>
  <c r="D8" i="12"/>
  <c r="F9" i="12"/>
  <c r="F10" i="12" l="1"/>
  <c r="C9" i="12"/>
  <c r="E9" i="12" l="1"/>
  <c r="F11" i="12"/>
  <c r="F12" i="12" l="1"/>
  <c r="D9" i="12"/>
  <c r="C10" i="12" l="1"/>
  <c r="F13" i="12"/>
  <c r="F14" i="12" l="1"/>
  <c r="E10" i="12"/>
  <c r="D10" i="12" l="1"/>
  <c r="F15" i="12"/>
  <c r="F16" i="12" l="1"/>
  <c r="C11" i="12"/>
  <c r="E11" i="12" l="1"/>
  <c r="F17" i="12"/>
  <c r="F18" i="12" l="1"/>
  <c r="D11" i="12"/>
  <c r="C12" i="12" l="1"/>
  <c r="F19" i="12"/>
  <c r="F20" i="12" l="1"/>
  <c r="E12" i="12"/>
  <c r="D12" i="12" l="1"/>
  <c r="F21" i="12"/>
  <c r="F22" i="12" l="1"/>
  <c r="C13" i="12"/>
  <c r="E13" i="12" l="1"/>
  <c r="F23" i="12"/>
  <c r="F24" i="12" l="1"/>
  <c r="D13" i="12"/>
  <c r="C14" i="12" s="1"/>
  <c r="E14" i="12" l="1"/>
  <c r="D14" i="12" s="1"/>
  <c r="C15" i="12" s="1"/>
  <c r="F25" i="12"/>
  <c r="E15" i="12" l="1"/>
  <c r="D15" i="12" s="1"/>
  <c r="C16" i="12" s="1"/>
  <c r="F26" i="12"/>
  <c r="E16" i="12" l="1"/>
  <c r="D16" i="12" s="1"/>
  <c r="C17" i="12" s="1"/>
  <c r="F27" i="12"/>
  <c r="E17" i="12" l="1"/>
  <c r="D17" i="12" s="1"/>
  <c r="C18" i="12" s="1"/>
  <c r="F28" i="12"/>
  <c r="E18" i="12" l="1"/>
  <c r="D18" i="12" s="1"/>
  <c r="C19" i="12" s="1"/>
  <c r="F29" i="12"/>
  <c r="E19" i="12" l="1"/>
  <c r="D19" i="12" s="1"/>
  <c r="C20" i="12" s="1"/>
  <c r="F30" i="12"/>
  <c r="E20" i="12" l="1"/>
  <c r="D20" i="12" s="1"/>
  <c r="C21" i="12" s="1"/>
  <c r="F31" i="12"/>
  <c r="E21" i="12" l="1"/>
  <c r="D21" i="12" s="1"/>
  <c r="C22" i="12" s="1"/>
  <c r="F32" i="12"/>
  <c r="E22" i="12" l="1"/>
  <c r="D22" i="12" s="1"/>
  <c r="C23" i="12" s="1"/>
  <c r="F33" i="12"/>
  <c r="F34" i="12" l="1"/>
  <c r="E23" i="12"/>
  <c r="D23" i="12" s="1"/>
  <c r="C24" i="12" s="1"/>
  <c r="E24" i="12" l="1"/>
  <c r="D24" i="12" s="1"/>
  <c r="C25" i="12" s="1"/>
  <c r="F35" i="12"/>
  <c r="E25" i="12" l="1"/>
  <c r="D25" i="12" s="1"/>
  <c r="C26" i="12" s="1"/>
  <c r="F36" i="12"/>
  <c r="F37" i="12" l="1"/>
  <c r="E26" i="12"/>
  <c r="D26" i="12" s="1"/>
  <c r="C27" i="12" s="1"/>
  <c r="E27" i="12" l="1"/>
  <c r="D27" i="12" s="1"/>
  <c r="C28" i="12" s="1"/>
  <c r="F38" i="12"/>
  <c r="E28" i="12" l="1"/>
  <c r="D28" i="12" s="1"/>
  <c r="C29" i="12" s="1"/>
  <c r="F39" i="12"/>
  <c r="E29" i="12" l="1"/>
  <c r="D29" i="12" s="1"/>
  <c r="C30" i="12" s="1"/>
  <c r="F40" i="12"/>
  <c r="E30" i="12" l="1"/>
  <c r="D30" i="12" s="1"/>
  <c r="C31" i="12" s="1"/>
  <c r="F41" i="12"/>
  <c r="E31" i="12" l="1"/>
  <c r="D31" i="12" s="1"/>
  <c r="C32" i="12" s="1"/>
  <c r="F42" i="12"/>
  <c r="E32" i="12" l="1"/>
  <c r="D32" i="12" s="1"/>
  <c r="C33" i="12" s="1"/>
  <c r="E33" i="12" l="1"/>
  <c r="D33" i="12" s="1"/>
  <c r="C34" i="12" s="1"/>
  <c r="E34" i="12" l="1"/>
  <c r="D34" i="12" s="1"/>
  <c r="C35" i="12" s="1"/>
  <c r="E35" i="12" l="1"/>
  <c r="D35" i="12" s="1"/>
  <c r="C36" i="12" s="1"/>
  <c r="E36" i="12" l="1"/>
  <c r="D36" i="12" s="1"/>
  <c r="C37" i="12" s="1"/>
  <c r="E37" i="12" l="1"/>
  <c r="D37" i="12" s="1"/>
  <c r="C38" i="12" s="1"/>
  <c r="E38" i="12" l="1"/>
  <c r="D38" i="12" s="1"/>
  <c r="C39" i="12" s="1"/>
  <c r="E39" i="12" l="1"/>
  <c r="D39" i="12" s="1"/>
  <c r="C40" i="12" s="1"/>
  <c r="E40" i="12" l="1"/>
  <c r="D40" i="12" s="1"/>
  <c r="C41" i="12" s="1"/>
  <c r="E41" i="12" l="1"/>
  <c r="D41" i="12" s="1"/>
  <c r="C42" i="12" s="1"/>
  <c r="E42" i="12" l="1"/>
  <c r="D42" i="12" s="1"/>
  <c r="C43" i="12" s="1"/>
  <c r="E43" i="12" l="1"/>
  <c r="E44" i="12" s="1"/>
  <c r="D43" i="12"/>
  <c r="F43" i="12" l="1"/>
  <c r="F44" i="12" s="1"/>
  <c r="D44" i="12"/>
  <c r="B39" i="1"/>
  <c r="B39"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<sst xmlns="http://schemas.openxmlformats.org/spreadsheetml/2006/main" count="604" uniqueCount="444">
  <si>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</si>
  <si>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</si>
  <si>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</si>
  <si>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</si>
  <si>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</si>
  <si>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</si>
  <si>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</si>
  <si>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</si>
  <si>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</si>
  <si>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</si>
  <si>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</si>
  <si>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</si>
  <si>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</si>
  <si>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</si>
  <si>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</si>
  <si>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</si>
  <si>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</si>
  <si>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</si>
  <si>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</si>
  <si>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</si>
  <si>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</si>
  <si>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</si>
  <si>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</si>
  <si>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</si>
  <si>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</si>
  <si>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</si>
  <si>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</si>
  <si>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</si>
  <si>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</si>
  <si>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</si>
  <si>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</si>
  <si>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</si>
  <si>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</si>
  <si>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</si>
  <si>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</si>
  <si>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</si>
  <si>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</si>
  <si>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</si>
  <si>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</si>
  <si>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</si>
  <si>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</si>
  <si>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</si>
  <si>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</si>
  <si>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</si>
  <si>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</si>
  <si>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</si>
  <si>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</si>
  <si>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</si>
  <si>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</si>
  <si>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</si>
  <si>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</si>
  <si>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</si>
  <si>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</si>
  <si>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</si>
  <si>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</si>
  <si>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</si>
  <si>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</si>
  <si>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</si>
  <si>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</si>
  <si>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</si>
  <si>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</si>
  <si>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</si>
  <si>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</si>
  <si>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</si>
  <si>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</si>
  <si>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</si>
  <si>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</si>
  <si>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</si>
  <si>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</si>
  <si>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</si>
  <si>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</si>
  <si>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</si>
  <si>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</si>
  <si>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</si>
  <si>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</si>
  <si>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</si>
  <si>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</si>
  <si>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</si>
  <si>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</si>
  <si>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</si>
  <si>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</si>
  <si>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</si>
  <si>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</si>
  <si>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</si>
  <si>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</si>
  <si>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</si>
  <si>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</si>
  <si>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</si>
  <si>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</si>
  <si>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</si>
  <si>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</si>
  <si>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</si>
  <si>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</si>
  <si>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</si>
  <si>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</si>
  <si>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</si>
  <si>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</si>
  <si>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</si>
  <si>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</si>
  <si>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</si>
  <si>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</si>
  <si>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</si>
  <si>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</si>
  <si>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</si>
  <si>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</si>
  <si>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</si>
  <si>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</si>
  <si>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</si>
  <si>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</si>
  <si>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</si>
  <si>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</si>
  <si>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</si>
  <si>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</si>
  <si>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</si>
  <si>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</si>
  <si>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</si>
  <si>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</si>
  <si>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</si>
  <si>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</si>
  <si>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</si>
  <si>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</si>
  <si>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</si>
  <si>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</si>
  <si>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</si>
  <si>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</si>
  <si>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</si>
  <si>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</si>
  <si>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</si>
  <si>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</si>
  <si>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</si>
  <si>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</si>
  <si>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</si>
  <si>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</si>
  <si>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</si>
  <si>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</si>
  <si>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</si>
  <si>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</si>
  <si>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</si>
  <si>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</si>
  <si>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</si>
  <si>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</si>
  <si>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</si>
  <si>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</si>
  <si>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</si>
  <si>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</si>
  <si>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</si>
  <si>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</si>
  <si>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</si>
  <si>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</si>
  <si>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</si>
  <si>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</si>
  <si>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</si>
  <si>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</si>
  <si>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</si>
  <si>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</si>
  <si>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</si>
  <si>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</si>
  <si>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</si>
  <si>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</si>
  <si>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</si>
  <si>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</si>
  <si>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</si>
  <si>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</si>
  <si>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</si>
  <si>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</si>
  <si>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</si>
  <si>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</si>
  <si>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</si>
  <si>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</si>
  <si>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</si>
  <si>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</si>
  <si>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</si>
  <si>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</si>
  <si>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</si>
  <si>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</si>
  <si>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</si>
  <si>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</si>
  <si>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</si>
  <si>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</si>
  <si>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</si>
  <si>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</si>
  <si>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</si>
  <si>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</si>
  <si>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</si>
  <si>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</si>
  <si>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</si>
  <si>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</si>
  <si>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</si>
  <si>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</si>
  <si>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</si>
  <si>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</si>
  <si>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</si>
  <si>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</si>
  <si>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</si>
  <si>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</si>
  <si>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</si>
  <si>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</si>
  <si>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</si>
  <si>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</si>
  <si>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</si>
  <si>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</si>
  <si>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</si>
  <si>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</si>
  <si>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</si>
  <si>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</si>
  <si>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</si>
  <si>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</si>
  <si>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</si>
  <si>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</si>
  <si>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</si>
  <si>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</si>
  <si>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</si>
  <si>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</si>
  <si>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</si>
  <si>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</si>
  <si>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</si>
  <si>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</si>
  <si>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</si>
  <si>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</si>
  <si>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</si>
  <si>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</si>
  <si>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</si>
  <si>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</si>
  <si>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</si>
  <si>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</si>
  <si>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</si>
  <si>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</si>
  <si>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</si>
  <si>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</si>
  <si>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</si>
  <si>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</si>
  <si>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</si>
  <si>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</si>
  <si>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</si>
  <si>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</si>
  <si>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</si>
  <si>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</si>
  <si>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</si>
  <si>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</si>
  <si>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</si>
  <si>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</si>
  <si>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</si>
  <si>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</si>
  <si>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</si>
  <si>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</si>
  <si>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</si>
  <si>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</si>
  <si>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</si>
  <si>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</si>
  <si>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</si>
  <si>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</si>
  <si>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</si>
  <si>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</si>
  <si>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</si>
  <si>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</si>
  <si>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</si>
  <si>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</si>
  <si>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</si>
  <si>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</si>
  <si>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</si>
  <si>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</si>
  <si>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</si>
  <si>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</si>
  <si>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</si>
  <si>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</si>
  <si>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</si>
  <si>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</si>
  <si>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</si>
  <si>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</si>
  <si>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</si>
  <si>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</si>
  <si>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</si>
  <si>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</si>
  <si>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</si>
  <si>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</si>
  <si>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</si>
  <si>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</si>
  <si>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</si>
  <si>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</si>
  <si>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</si>
  <si>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</si>
  <si>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</si>
  <si>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</si>
  <si>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</si>
  <si>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</si>
  <si>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</si>
  <si>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</si>
  <si>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</si>
  <si>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</si>
  <si>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</si>
  <si>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</si>
  <si>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</si>
  <si>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</si>
  <si>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</si>
  <si>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</si>
  <si>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</si>
  <si>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</si>
  <si>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</si>
  <si>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</si>
  <si>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</si>
  <si>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</si>
  <si>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</si>
  <si>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</si>
  <si>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</si>
  <si>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</si>
  <si>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</si>
  <si>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</si>
  <si>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</si>
  <si>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</si>
  <si>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</si>
  <si>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</si>
  <si>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</si>
  <si>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</si>
  <si>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</si>
  <si>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</si>
  <si>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</si>
  <si>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</si>
  <si>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</si>
  <si>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</si>
  <si>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</si>
  <si>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</si>
  <si>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</si>
  <si>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</si>
  <si>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</si>
  <si>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</si>
  <si>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</si>
  <si>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</si>
  <si>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</si>
  <si>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</si>
  <si>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</si>
  <si>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</si>
  <si>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</si>
  <si>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Ijrochi direktori</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</si>
  <si>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</si>
  <si>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</si>
  <si>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</si>
  <si>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</si>
  <si>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</si>
  <si>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</si>
  <si>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</si>
  <si>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</si>
  <si>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</si>
  <si>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</si>
  <si>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</si>
  <si>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</si>
  <si>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</si>
  <si>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</si>
  <si>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</si>
  <si>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</si>
  <si>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</si>
  <si>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</si>
  <si>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</si>
  <si>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</si>
  <si>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</si>
  <si>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</si>
  <si>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</si>
  <si>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</si>
  <si>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</si>
  <si>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</si>
  <si>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</si>
  <si>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</si>
  <si>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</si>
  <si>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</si>
  <si>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</si>
  <si>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</si>
  <si>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</si>
  <si>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</si>
  <si>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</si>
  <si>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</si>
  <si>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</si>
  <si>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</si>
  <si>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</si>
  <si>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</si>
  <si>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</si>
  <si>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</si>
  <si>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</si>
  <si>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</si>
  <si>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</si>
  <si>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</si>
  <si>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37,39</t>
  </si>
  <si>
    <t>16.12.2020 yildan №14:13:02:01:03:1179:0006:058</t>
  </si>
  <si>
    <t>13.12.2020 yildan 1718238/R-A1419303</t>
  </si>
  <si>
    <t>№ kadastr raqami</t>
  </si>
  <si>
    <t>Foydalanishga topshirilgan yili</t>
  </si>
  <si>
    <t xml:space="preserve"> sanasidan</t>
  </si>
  <si>
    <t>`</t>
  </si>
  <si>
    <t>i</t>
  </si>
  <si>
    <t>yu</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</si>
  <si>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</si>
  <si>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60</t>
  </si>
  <si>
    <t>Oltmish</t>
  </si>
  <si>
    <t>Йиллик фойз 50 фойздан утиб кетмаслиги керак</t>
  </si>
  <si>
    <t>100</t>
  </si>
  <si>
    <t>bir yuz</t>
  </si>
  <si>
    <t>Mijoz quyidagi majburiyatlarga ega : TOSHKЕNT Sh., "KAPITALBANK" AT BANKINING YAGONA FILIALI 174 661 821.46 so`m. Ayni paytda muddati o'tgan qarzdorligi mavjud emas. O‘rtacha oylik to‘lov 6 725 664.14 so‘mni tashkil qiladi.</t>
  </si>
  <si>
    <t>2014</t>
  </si>
  <si>
    <t>11.03.2025</t>
  </si>
  <si>
    <t>NUTFULLAYEV AKBARJON AXMEDOVICH</t>
  </si>
  <si>
    <t>14.09.1989 y</t>
  </si>
  <si>
    <t>AA 9481167</t>
  </si>
  <si>
    <t>BUXORO VILOYATI BUXORO SHAHAR TADBIRKOR KO'CHASI 12-UY</t>
  </si>
  <si>
    <t>91 408 76 67 UZI</t>
  </si>
  <si>
    <t>GOR VODAKANAL</t>
  </si>
  <si>
    <t>BUXORO SHAHRI</t>
  </si>
  <si>
    <t>91 408 76 67  UZI</t>
  </si>
  <si>
    <t>88 305 76 67 AYOLI</t>
  </si>
  <si>
    <t>88 870 76 67 AKASI</t>
  </si>
  <si>
    <t>o'ttiz olti</t>
  </si>
  <si>
    <t>AAG   2346592  13.09.2023y</t>
  </si>
  <si>
    <t>CHANGAN CHANGAN SC 1027SB</t>
  </si>
  <si>
    <t>80T312WA</t>
  </si>
  <si>
    <t>YUK BORTLI TENT</t>
  </si>
  <si>
    <t>LSCAB23D8EG228387</t>
  </si>
  <si>
    <t>JL466Q1%E61H022801</t>
  </si>
  <si>
    <t>OQ BELIY</t>
  </si>
  <si>
    <t>BUXORO VILOYATI BUXORO SHAHAR IIB</t>
  </si>
  <si>
    <t>BUXORO VILOYATI RO' va IOB</t>
  </si>
  <si>
    <t>URINDIKLAR SONI 5TA</t>
  </si>
  <si>
    <t>Kreditlash bo’limi boshlig’i</t>
  </si>
  <si>
    <t>Olmaliq filiali boshlig'i</t>
  </si>
  <si>
    <t>Yerjanov Vladimir Yusupovich</t>
  </si>
  <si>
    <t>V. Yerjanov</t>
  </si>
  <si>
    <t>B. Mominov</t>
  </si>
  <si>
    <t>N. Abduraximov</t>
  </si>
  <si>
    <t>B. Jumanazarov</t>
  </si>
  <si>
    <t>Imzolaganlar ro'yxati:</t>
  </si>
  <si>
    <t>Ijrochi direktor:</t>
  </si>
  <si>
    <t>№ 23-AL</t>
  </si>
  <si>
    <t>N.Abduraximovga</t>
  </si>
  <si>
    <t>ARIZA</t>
  </si>
  <si>
    <t xml:space="preserve"> Mikroqarz shartnomasining bir nusxasini oldim ____________</t>
  </si>
  <si>
    <t>A.A.NUTFULLAYEV</t>
  </si>
  <si>
    <t>Mijoz plastik kartasi parametrlari</t>
  </si>
  <si>
    <t xml:space="preserve">00873 </t>
  </si>
  <si>
    <t xml:space="preserve">2312 0000 7000 1200 0000 </t>
  </si>
  <si>
    <t>«Asaka bank» AJ</t>
  </si>
  <si>
    <t>201589828</t>
  </si>
  <si>
    <t>8600 1309 0209 3006</t>
  </si>
  <si>
    <t>Karta raqami:</t>
  </si>
  <si>
    <t>Bank nomi:</t>
  </si>
  <si>
    <t>H/r:</t>
  </si>
  <si>
    <t>MFO:</t>
  </si>
  <si>
    <t>STIR:</t>
  </si>
  <si>
    <t>P________________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</si>
</sst>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_-;\-* #\ ##0.00_-;_-* &quot;-&quot;??_-;_-@_-"/>
  </numFmts>
  <fonts count="65">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
      <i/>
      <sz val="11"/>
      <color rgb="FFFF0000"/>
      <name val="Arial"/>
      <family val="2"/>
      <charset val="204"/>
    </font>
    <font>
      <sz val="11"/>
      <color theme="1"/>
      <name val="Arial"/>
      <family val="2"/>
      <charset val="204"/>
    </font>
    <font>
      <sz val="11"/>
      <color theme="1"/>
      <name val="Calibri"/>
      <charset val="134"/>
      <scheme val="minor"/>
    </font>
    <font>
      <sz val="11"/>
      <color theme="1"/>
      <name val="Calibri"/>
      <charset val="204"/>
      <scheme val="minor"/>
    </font>
    <font>
      <sz val="11"/>
      <name val="Calibri"/>
      <charset val="204"/>
    </font>
    <font>
      <sz val="8"/>
      <name val="Calibri"/>
      <family val="2"/>
      <scheme val="minor"/>
    </font>
    <font>
      <b/>
      <u/>
      <sz val="12"/>
      <name val="Times New Roman"/>
      <family val="1"/>
      <charset val="204"/>
    </font>
    <font>
      <b/>
      <sz val="12"/>
      <name val="Times New Roman"/>
      <family val="1"/>
      <charset val="204"/>
    </font>
  </fonts>
  <fills count="13">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
      <patternFill patternType="solid">
        <fgColor theme="9"/>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
      <left/>
      <right style="thin">
        <color indexed="64"/>
      </right>
      <top/>
      <bottom/>
      <diagonal/>
    </border>
  </borders>
  <cellStyleXfs count="1786">
    <xf numFmtId="0" fontId="0"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55" fillId="0" borderId="0">
      <alignment vertical="center"/>
    </xf>
    <xf numFmtId="0" fontId="55" fillId="0" borderId="0">
      <alignment vertical="center"/>
    </xf>
    <xf numFmtId="43" fontId="6"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41"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60" fillId="0" borderId="0"/>
    <xf numFmtId="170" fontId="59" fillId="0" borderId="0" applyFont="0" applyFill="0" applyBorder="0" applyAlignment="0" applyProtection="0"/>
    <xf numFmtId="170" fontId="59" fillId="0" borderId="0" applyFont="0" applyFill="0" applyBorder="0" applyAlignment="0" applyProtection="0"/>
    <xf numFmtId="0" fontId="60" fillId="0" borderId="0"/>
    <xf numFmtId="170" fontId="59" fillId="0" borderId="0" applyFont="0" applyFill="0" applyBorder="0" applyAlignment="0" applyProtection="0"/>
    <xf numFmtId="170" fontId="59" fillId="0" borderId="0" applyFont="0" applyFill="0" applyBorder="0" applyAlignment="0" applyProtection="0"/>
    <xf numFmtId="0" fontId="61" fillId="0" borderId="0">
      <alignment vertical="center"/>
    </xf>
    <xf numFmtId="0" fontId="60" fillId="0" borderId="0"/>
    <xf numFmtId="170" fontId="59" fillId="0" borderId="0" applyFont="0" applyFill="0" applyBorder="0" applyAlignment="0" applyProtection="0"/>
    <xf numFmtId="0" fontId="60" fillId="0" borderId="0"/>
    <xf numFmtId="0" fontId="60" fillId="0" borderId="0"/>
    <xf numFmtId="0" fontId="60" fillId="0" borderId="0"/>
    <xf numFmtId="0" fontId="60" fillId="0" borderId="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0" fontId="61" fillId="0" borderId="0">
      <alignment vertical="center"/>
    </xf>
    <xf numFmtId="170" fontId="59" fillId="0" borderId="0" applyFont="0" applyFill="0" applyBorder="0" applyAlignment="0" applyProtection="0"/>
    <xf numFmtId="0" fontId="60" fillId="0" borderId="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9" fontId="5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cellStyleXfs>
  <cellXfs count="402">
    <xf numFmtId="0" fontId="0" fillId="0" borderId="0" xfId="0"/>
    <xf numFmtId="0" fontId="7" fillId="0" borderId="1" xfId="0" applyFont="1" applyBorder="1" applyAlignment="1">
      <alignment vertical="center" wrapText="1"/>
    </xf>
    <xf numFmtId="49" fontId="7" fillId="0" borderId="1" xfId="0" applyNumberFormat="1" applyFont="1" applyBorder="1" applyAlignment="1">
      <alignment vertical="center" wrapText="1"/>
    </xf>
    <xf numFmtId="0" fontId="8" fillId="2" borderId="1" xfId="0" applyFont="1" applyFill="1" applyBorder="1" applyAlignment="1">
      <alignment vertical="center" wrapText="1"/>
    </xf>
    <xf numFmtId="165" fontId="7" fillId="0" borderId="1" xfId="0" applyNumberFormat="1" applyFont="1" applyBorder="1" applyAlignment="1">
      <alignment vertical="center" wrapText="1"/>
    </xf>
    <xf numFmtId="43" fontId="7" fillId="0" borderId="1" xfId="1" applyFont="1" applyBorder="1" applyAlignment="1">
      <alignment vertical="center" wrapText="1"/>
    </xf>
    <xf numFmtId="0" fontId="9" fillId="0" borderId="0" xfId="0" applyFont="1"/>
    <xf numFmtId="0" fontId="9" fillId="0" borderId="0" xfId="0" applyFont="1" applyAlignment="1">
      <alignment horizontal="right"/>
    </xf>
    <xf numFmtId="0" fontId="11" fillId="2" borderId="1" xfId="0" applyFont="1" applyFill="1" applyBorder="1" applyAlignment="1">
      <alignment horizontal="left" vertical="center" wrapText="1"/>
    </xf>
    <xf numFmtId="0" fontId="11" fillId="2" borderId="1" xfId="0" applyFont="1" applyFill="1" applyBorder="1" applyAlignment="1">
      <alignment horizontal="center" vertical="center" wrapText="1"/>
    </xf>
    <xf numFmtId="0" fontId="14" fillId="0" borderId="0" xfId="0" applyFont="1" applyAlignment="1" applyProtection="1">
      <alignment horizontal="center" vertical="top"/>
      <protection hidden="1"/>
    </xf>
    <xf numFmtId="0" fontId="12" fillId="0" borderId="0" xfId="0" applyFont="1" applyAlignment="1" applyProtection="1">
      <alignment horizontal="center" vertical="center"/>
      <protection hidden="1"/>
    </xf>
    <xf numFmtId="0" fontId="14" fillId="0" borderId="0" xfId="0" applyFont="1" applyAlignment="1" applyProtection="1">
      <alignment horizontal="center" vertical="center"/>
      <protection hidden="1"/>
    </xf>
    <xf numFmtId="0" fontId="10" fillId="0" borderId="0" xfId="0" applyFont="1"/>
    <xf numFmtId="0" fontId="10" fillId="0" borderId="0" xfId="0" applyFont="1" applyAlignment="1">
      <alignment horizontal="right"/>
    </xf>
    <xf numFmtId="0" fontId="15" fillId="0" borderId="0" xfId="0" applyFont="1"/>
    <xf numFmtId="0" fontId="15" fillId="0" borderId="0" xfId="0" applyFont="1" applyAlignment="1">
      <alignment horizontal="center" vertical="center" wrapText="1"/>
    </xf>
    <xf numFmtId="0" fontId="15" fillId="0" borderId="1" xfId="0" applyFont="1" applyBorder="1" applyAlignment="1">
      <alignment horizontal="center" vertical="center" wrapText="1"/>
    </xf>
    <xf numFmtId="0" fontId="15" fillId="0" borderId="1" xfId="0" applyFont="1" applyBorder="1"/>
    <xf numFmtId="0" fontId="15" fillId="0" borderId="0" xfId="0" applyFont="1" applyAlignment="1">
      <alignment horizontal="justify" vertical="top" wrapText="1"/>
    </xf>
    <xf numFmtId="0" fontId="15" fillId="0" borderId="0" xfId="0" applyFont="1" applyAlignment="1">
      <alignment wrapText="1"/>
    </xf>
    <xf numFmtId="164" fontId="7" fillId="0" borderId="1" xfId="0" applyNumberFormat="1" applyFont="1" applyBorder="1" applyAlignment="1">
      <alignment vertical="center" wrapText="1"/>
    </xf>
    <xf numFmtId="0" fontId="15" fillId="0" borderId="0" xfId="0" applyFont="1" applyAlignment="1">
      <alignment vertical="top" wrapText="1"/>
    </xf>
    <xf numFmtId="0" fontId="15" fillId="0" borderId="0" xfId="0" applyFont="1" applyAlignment="1">
      <alignment vertical="center" wrapText="1"/>
    </xf>
    <xf numFmtId="0" fontId="18" fillId="0" borderId="0" xfId="0" applyFont="1"/>
    <xf numFmtId="0" fontId="17" fillId="0" borderId="1" xfId="0" applyFont="1" applyBorder="1" applyAlignment="1">
      <alignment horizontal="center" vertical="center" wrapText="1"/>
    </xf>
    <xf numFmtId="0" fontId="17" fillId="0" borderId="0" xfId="0" applyFont="1" applyAlignment="1">
      <alignment horizontal="center" vertical="center" wrapText="1"/>
    </xf>
    <xf numFmtId="0" fontId="18" fillId="0" borderId="1" xfId="0" applyFont="1" applyBorder="1" applyAlignment="1">
      <alignment horizontal="center" vertical="top" wrapText="1"/>
    </xf>
    <xf numFmtId="43" fontId="18" fillId="0" borderId="1" xfId="1" applyFont="1" applyBorder="1" applyAlignment="1">
      <alignment horizontal="center" vertical="top" wrapText="1"/>
    </xf>
    <xf numFmtId="0" fontId="17" fillId="0" borderId="1" xfId="0" applyFont="1" applyBorder="1" applyAlignment="1">
      <alignment horizontal="center" vertical="top" wrapText="1"/>
    </xf>
    <xf numFmtId="43" fontId="17" fillId="0" borderId="1" xfId="0" applyNumberFormat="1" applyFont="1" applyBorder="1" applyAlignment="1">
      <alignment horizontal="center" vertical="top" wrapText="1"/>
    </xf>
    <xf numFmtId="0" fontId="17" fillId="0" borderId="0" xfId="0" applyFont="1"/>
    <xf numFmtId="0" fontId="9" fillId="0" borderId="0" xfId="0" applyFont="1" applyAlignment="1">
      <alignment horizontal="left"/>
    </xf>
    <xf numFmtId="14" fontId="15" fillId="0" borderId="1" xfId="0" applyNumberFormat="1" applyFont="1" applyBorder="1"/>
    <xf numFmtId="43" fontId="15" fillId="0" borderId="1" xfId="1" applyFont="1" applyBorder="1"/>
    <xf numFmtId="14" fontId="15" fillId="0" borderId="0" xfId="0" applyNumberFormat="1" applyFont="1"/>
    <xf numFmtId="43" fontId="15" fillId="0" borderId="0" xfId="1" applyFont="1" applyBorder="1"/>
    <xf numFmtId="0" fontId="16" fillId="0" borderId="0" xfId="0" applyFont="1"/>
    <xf numFmtId="0" fontId="16" fillId="0" borderId="0" xfId="0" applyFont="1" applyAlignment="1">
      <alignment horizontal="right"/>
    </xf>
    <xf numFmtId="0" fontId="16" fillId="0" borderId="1" xfId="0" applyFont="1" applyBorder="1" applyAlignment="1">
      <alignment horizontal="center" vertical="center" wrapText="1"/>
    </xf>
    <xf numFmtId="0" fontId="16" fillId="0" borderId="0" xfId="0" applyFont="1" applyAlignment="1">
      <alignment horizontal="center"/>
    </xf>
    <xf numFmtId="0" fontId="23" fillId="0" borderId="0" xfId="0" applyFont="1" applyAlignment="1">
      <alignment horizontal="center" wrapText="1"/>
    </xf>
    <xf numFmtId="0" fontId="15" fillId="0" borderId="0" xfId="0" applyFont="1" applyAlignment="1">
      <alignment horizontal="center" wrapText="1"/>
    </xf>
    <xf numFmtId="0" fontId="22" fillId="0" borderId="0" xfId="0" applyFont="1" applyAlignment="1">
      <alignment horizontal="center" wrapText="1"/>
    </xf>
    <xf numFmtId="0" fontId="15" fillId="0" borderId="8" xfId="0" applyFont="1" applyBorder="1" applyAlignment="1">
      <alignment horizontal="center" wrapText="1"/>
    </xf>
    <xf numFmtId="0" fontId="15" fillId="0" borderId="9" xfId="0" applyFont="1" applyBorder="1" applyAlignment="1">
      <alignment horizontal="center" wrapText="1"/>
    </xf>
    <xf numFmtId="0" fontId="16" fillId="0" borderId="1" xfId="0" applyFont="1" applyBorder="1"/>
    <xf numFmtId="14" fontId="16" fillId="0" borderId="1" xfId="0" applyNumberFormat="1" applyFont="1" applyBorder="1"/>
    <xf numFmtId="43" fontId="16" fillId="0" borderId="1" xfId="1" applyFont="1" applyBorder="1"/>
    <xf numFmtId="0" fontId="7" fillId="4" borderId="1" xfId="0" applyFont="1" applyFill="1" applyBorder="1" applyAlignment="1">
      <alignment vertical="center" wrapText="1"/>
    </xf>
    <xf numFmtId="0" fontId="16" fillId="0" borderId="0" xfId="0" applyFont="1" applyAlignment="1">
      <alignment horizontal="center" vertical="center" wrapText="1"/>
    </xf>
    <xf numFmtId="43" fontId="28" fillId="0" borderId="1" xfId="1" applyFont="1" applyBorder="1"/>
    <xf numFmtId="43" fontId="7" fillId="4" borderId="1" xfId="1" applyFont="1" applyFill="1" applyBorder="1" applyAlignment="1">
      <alignment vertical="center" wrapText="1"/>
    </xf>
    <xf numFmtId="0" fontId="15" fillId="0" borderId="0" xfId="0" applyFont="1" applyAlignment="1">
      <alignment horizontal="left" vertical="top" wrapText="1"/>
    </xf>
    <xf numFmtId="0" fontId="15" fillId="0" borderId="8" xfId="0" applyFont="1" applyBorder="1" applyAlignment="1">
      <alignment wrapText="1"/>
    </xf>
    <xf numFmtId="0" fontId="15" fillId="0" borderId="9" xfId="0" applyFont="1" applyBorder="1" applyAlignment="1">
      <alignment wrapText="1"/>
    </xf>
    <xf numFmtId="49" fontId="9" fillId="0" borderId="0" xfId="0" applyNumberFormat="1" applyFont="1" applyAlignment="1">
      <alignment horizontal="right"/>
    </xf>
    <xf numFmtId="49" fontId="7" fillId="4" borderId="1" xfId="0" applyNumberFormat="1" applyFont="1" applyFill="1" applyBorder="1" applyAlignment="1">
      <alignment vertical="center" wrapText="1"/>
    </xf>
    <xf numFmtId="165" fontId="27" fillId="2" borderId="1" xfId="0" applyNumberFormat="1" applyFont="1" applyFill="1" applyBorder="1" applyAlignment="1">
      <alignment vertical="center" wrapText="1"/>
    </xf>
    <xf numFmtId="165" fontId="7" fillId="2" borderId="1" xfId="0" applyNumberFormat="1" applyFont="1" applyFill="1" applyBorder="1" applyAlignment="1">
      <alignment vertical="center" wrapText="1"/>
    </xf>
    <xf numFmtId="0" fontId="7"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2" fillId="4" borderId="1" xfId="0" applyFont="1" applyFill="1" applyBorder="1"/>
    <xf numFmtId="0" fontId="10" fillId="0" borderId="0" xfId="0" applyFont="1" applyAlignment="1">
      <alignment horizontal="center" vertical="center" wrapText="1"/>
    </xf>
    <xf numFmtId="0" fontId="10" fillId="0" borderId="0" xfId="0" applyFont="1" applyAlignment="1">
      <alignment horizontal="center"/>
    </xf>
    <xf numFmtId="0" fontId="9" fillId="0" borderId="0" xfId="0" applyFont="1" applyAlignment="1">
      <alignment horizontal="center" vertical="center"/>
    </xf>
    <xf numFmtId="43" fontId="7" fillId="4" borderId="3" xfId="1" applyFont="1" applyFill="1" applyBorder="1" applyAlignment="1">
      <alignment vertical="center" wrapText="1"/>
    </xf>
    <xf numFmtId="0" fontId="8" fillId="2" borderId="1" xfId="0" applyFont="1" applyFill="1" applyBorder="1" applyAlignment="1">
      <alignment horizontal="right" vertical="center" wrapText="1"/>
    </xf>
    <xf numFmtId="0" fontId="9" fillId="0" borderId="0" xfId="0" applyFont="1" applyAlignment="1">
      <alignment vertical="top" wrapText="1"/>
    </xf>
    <xf numFmtId="0" fontId="10" fillId="0" borderId="0" xfId="0" applyFont="1" applyAlignment="1">
      <alignment horizontal="center" wrapText="1"/>
    </xf>
    <xf numFmtId="0" fontId="9" fillId="0" borderId="0" xfId="0" applyFont="1" applyAlignment="1">
      <alignment vertical="top"/>
    </xf>
    <xf numFmtId="0" fontId="7" fillId="6" borderId="1" xfId="0" applyFont="1" applyFill="1" applyBorder="1" applyAlignment="1">
      <alignment vertical="center" wrapText="1"/>
    </xf>
    <xf numFmtId="165" fontId="7" fillId="2" borderId="1" xfId="0" applyNumberFormat="1" applyFont="1" applyFill="1" applyBorder="1" applyAlignment="1">
      <alignment horizontal="left" vertical="center" wrapText="1"/>
    </xf>
    <xf numFmtId="14" fontId="7" fillId="6" borderId="1" xfId="0" applyNumberFormat="1" applyFont="1" applyFill="1" applyBorder="1" applyAlignment="1">
      <alignment vertical="center" wrapText="1"/>
    </xf>
    <xf numFmtId="165" fontId="7" fillId="6" borderId="1" xfId="0" applyNumberFormat="1" applyFont="1" applyFill="1" applyBorder="1" applyAlignment="1">
      <alignment vertical="center" wrapText="1"/>
    </xf>
    <xf numFmtId="0" fontId="7" fillId="7" borderId="1" xfId="0" applyFont="1" applyFill="1" applyBorder="1" applyAlignment="1">
      <alignment vertical="center" wrapText="1"/>
    </xf>
    <xf numFmtId="9" fontId="7" fillId="7" borderId="1" xfId="0" applyNumberFormat="1" applyFont="1" applyFill="1" applyBorder="1" applyAlignment="1">
      <alignment vertical="center" wrapText="1"/>
    </xf>
    <xf numFmtId="49" fontId="7" fillId="7" borderId="1" xfId="1" applyNumberFormat="1" applyFont="1" applyFill="1" applyBorder="1" applyAlignment="1">
      <alignment vertical="center" wrapText="1"/>
    </xf>
    <xf numFmtId="40" fontId="7" fillId="7" borderId="1" xfId="1" applyNumberFormat="1" applyFont="1" applyFill="1" applyBorder="1" applyAlignment="1">
      <alignment vertical="center" wrapText="1"/>
    </xf>
    <xf numFmtId="0" fontId="8" fillId="2" borderId="1" xfId="0" applyFont="1" applyFill="1" applyBorder="1" applyAlignment="1">
      <alignment horizontal="center" vertical="center" wrapText="1"/>
    </xf>
    <xf numFmtId="49" fontId="7" fillId="4" borderId="1" xfId="0" applyNumberFormat="1" applyFont="1" applyFill="1" applyBorder="1" applyAlignment="1">
      <alignment horizontal="left" vertical="center" wrapText="1"/>
    </xf>
    <xf numFmtId="0" fontId="35" fillId="0" borderId="0" xfId="0" applyFont="1"/>
    <xf numFmtId="0" fontId="28" fillId="0" borderId="0" xfId="0" applyFont="1"/>
    <xf numFmtId="0" fontId="35" fillId="0" borderId="0" xfId="0" applyFont="1" applyAlignment="1">
      <alignment horizontal="right"/>
    </xf>
    <xf numFmtId="164" fontId="28" fillId="0" borderId="0" xfId="0" applyNumberFormat="1" applyFont="1"/>
    <xf numFmtId="166" fontId="28" fillId="0" borderId="0" xfId="0" applyNumberFormat="1" applyFont="1"/>
    <xf numFmtId="0" fontId="28" fillId="0" borderId="1" xfId="0" applyFont="1" applyBorder="1" applyAlignment="1">
      <alignment horizontal="center" vertical="center" wrapText="1"/>
    </xf>
    <xf numFmtId="0" fontId="28" fillId="0" borderId="0" xfId="0" applyFont="1" applyAlignment="1">
      <alignment horizontal="center" vertical="center" wrapText="1"/>
    </xf>
    <xf numFmtId="0" fontId="28" fillId="0" borderId="1" xfId="0" applyFont="1" applyBorder="1"/>
    <xf numFmtId="14" fontId="28" fillId="0" borderId="1" xfId="0" applyNumberFormat="1" applyFont="1" applyBorder="1"/>
    <xf numFmtId="167" fontId="28" fillId="0" borderId="0" xfId="0" applyNumberFormat="1" applyFont="1"/>
    <xf numFmtId="0" fontId="35" fillId="0" borderId="1" xfId="0" applyFont="1" applyBorder="1"/>
    <xf numFmtId="14" fontId="35" fillId="0" borderId="1" xfId="0" applyNumberFormat="1" applyFont="1" applyBorder="1"/>
    <xf numFmtId="43" fontId="35" fillId="0" borderId="1" xfId="1" applyFont="1" applyBorder="1"/>
    <xf numFmtId="14" fontId="28" fillId="0" borderId="0" xfId="0" applyNumberFormat="1" applyFont="1"/>
    <xf numFmtId="43" fontId="28" fillId="0" borderId="0" xfId="1" applyFont="1" applyBorder="1"/>
    <xf numFmtId="14" fontId="27" fillId="5" borderId="0" xfId="0" applyNumberFormat="1" applyFont="1" applyFill="1"/>
    <xf numFmtId="0" fontId="27" fillId="5" borderId="0" xfId="0" applyFont="1" applyFill="1"/>
    <xf numFmtId="0" fontId="27" fillId="0" borderId="0" xfId="0" applyFont="1"/>
    <xf numFmtId="168" fontId="38" fillId="5" borderId="0" xfId="0" applyNumberFormat="1" applyFont="1" applyFill="1"/>
    <xf numFmtId="0" fontId="27" fillId="4" borderId="0" xfId="0" applyFont="1" applyFill="1"/>
    <xf numFmtId="1" fontId="27" fillId="5" borderId="0" xfId="0" applyNumberFormat="1" applyFont="1" applyFill="1"/>
    <xf numFmtId="49" fontId="28" fillId="0" borderId="0" xfId="0" applyNumberFormat="1" applyFont="1" applyAlignment="1">
      <alignment horizontal="right"/>
    </xf>
    <xf numFmtId="0" fontId="39" fillId="0" borderId="0" xfId="0" applyFont="1" applyAlignment="1">
      <alignment vertical="center"/>
    </xf>
    <xf numFmtId="0" fontId="40" fillId="0" borderId="0" xfId="0" applyFont="1" applyAlignment="1">
      <alignment horizontal="right" vertical="center"/>
    </xf>
    <xf numFmtId="0" fontId="40" fillId="0" borderId="0" xfId="0" applyFont="1" applyAlignment="1">
      <alignment horizontal="right" vertical="center" wrapText="1"/>
    </xf>
    <xf numFmtId="43" fontId="15" fillId="0" borderId="1" xfId="1" applyFont="1" applyBorder="1" applyAlignment="1">
      <alignment horizontal="center" vertical="top" wrapText="1"/>
    </xf>
    <xf numFmtId="0" fontId="41" fillId="7" borderId="1" xfId="0" applyFont="1" applyFill="1" applyBorder="1"/>
    <xf numFmtId="0" fontId="41"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7" fillId="4" borderId="1" xfId="0" applyFont="1" applyFill="1" applyBorder="1"/>
    <xf numFmtId="0" fontId="41"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29" fillId="0" borderId="0" xfId="0" applyFont="1" applyAlignment="1">
      <alignment horizontal="right"/>
    </xf>
    <xf numFmtId="0" fontId="29" fillId="0" borderId="0" xfId="0" applyFont="1" applyAlignment="1">
      <alignment horizontal="justify"/>
    </xf>
    <xf numFmtId="0" fontId="29" fillId="0" borderId="0" xfId="0" applyFont="1" applyAlignment="1">
      <alignment horizontal="justify" vertical="center"/>
    </xf>
    <xf numFmtId="0" fontId="29" fillId="0" borderId="1" xfId="0" applyFont="1" applyBorder="1" applyAlignment="1">
      <alignment horizontal="justify"/>
    </xf>
    <xf numFmtId="0" fontId="29" fillId="0" borderId="0" xfId="0" applyFont="1" applyAlignment="1">
      <alignment horizontal="justify" vertical="center" wrapText="1"/>
    </xf>
    <xf numFmtId="0" fontId="29" fillId="0" borderId="0" xfId="0" applyFont="1" applyAlignment="1">
      <alignment horizontal="left"/>
    </xf>
    <xf numFmtId="0" fontId="29" fillId="0" borderId="11" xfId="0" applyFont="1" applyBorder="1" applyAlignment="1">
      <alignment horizontal="center"/>
    </xf>
    <xf numFmtId="0" fontId="29" fillId="0" borderId="0" xfId="0" applyFont="1" applyAlignment="1">
      <alignment horizontal="center"/>
    </xf>
    <xf numFmtId="0" fontId="7" fillId="3" borderId="1" xfId="0" applyFont="1" applyFill="1" applyBorder="1" applyAlignment="1">
      <alignment horizontal="center" vertical="center" wrapText="1"/>
    </xf>
    <xf numFmtId="0" fontId="15" fillId="0" borderId="0" xfId="0" applyFont="1" applyAlignment="1">
      <alignment vertical="top"/>
    </xf>
    <xf numFmtId="0" fontId="16" fillId="0" borderId="0" xfId="0" applyFont="1" applyAlignment="1">
      <alignment horizontal="left" vertical="center" wrapText="1"/>
    </xf>
    <xf numFmtId="0" fontId="16" fillId="0" borderId="0" xfId="0" applyFont="1" applyAlignment="1">
      <alignment horizontal="right" vertical="center" wrapText="1"/>
    </xf>
    <xf numFmtId="0" fontId="0" fillId="0" borderId="0" xfId="0" applyAlignment="1">
      <alignment horizontal="left" vertical="center"/>
    </xf>
    <xf numFmtId="0" fontId="15" fillId="0" borderId="0" xfId="0" applyFont="1" applyAlignment="1">
      <alignment horizontal="left" vertical="center" wrapText="1"/>
    </xf>
    <xf numFmtId="0" fontId="15" fillId="0" borderId="0" xfId="0" applyFont="1" applyAlignment="1">
      <alignment horizontal="right"/>
    </xf>
    <xf numFmtId="0" fontId="8" fillId="6" borderId="1" xfId="0" applyFont="1" applyFill="1" applyBorder="1" applyAlignment="1">
      <alignment horizontal="left" vertical="center" wrapText="1"/>
    </xf>
    <xf numFmtId="0" fontId="8" fillId="6" borderId="1" xfId="0" applyFont="1" applyFill="1" applyBorder="1" applyAlignment="1">
      <alignment vertical="center" wrapText="1"/>
    </xf>
    <xf numFmtId="0" fontId="11" fillId="4" borderId="1" xfId="0" applyFont="1" applyFill="1" applyBorder="1" applyAlignment="1">
      <alignment horizontal="center" vertical="center" wrapText="1"/>
    </xf>
    <xf numFmtId="0" fontId="18" fillId="0" borderId="0" xfId="0" applyFont="1" applyAlignment="1">
      <alignment wrapText="1"/>
    </xf>
    <xf numFmtId="165" fontId="18" fillId="0" borderId="0" xfId="0" applyNumberFormat="1" applyFont="1"/>
    <xf numFmtId="0" fontId="17" fillId="0" borderId="0" xfId="0" applyFont="1" applyAlignment="1">
      <alignment vertical="center" wrapText="1"/>
    </xf>
    <xf numFmtId="0" fontId="17" fillId="0" borderId="0" xfId="0" applyFont="1" applyAlignment="1">
      <alignment horizontal="left"/>
    </xf>
    <xf numFmtId="0" fontId="10" fillId="0" borderId="0" xfId="0" applyFont="1" applyAlignment="1">
      <alignment horizontal="left"/>
    </xf>
    <xf numFmtId="0" fontId="7" fillId="4" borderId="3" xfId="0" applyFont="1" applyFill="1" applyBorder="1" applyAlignment="1">
      <alignment vertical="center" wrapText="1"/>
    </xf>
    <xf numFmtId="49" fontId="11" fillId="4" borderId="1" xfId="0" applyNumberFormat="1" applyFont="1" applyFill="1" applyBorder="1" applyAlignment="1">
      <alignment horizontal="center" vertical="center" wrapText="1"/>
    </xf>
    <xf numFmtId="164" fontId="7" fillId="4" borderId="1" xfId="0" applyNumberFormat="1" applyFont="1" applyFill="1" applyBorder="1" applyAlignment="1">
      <alignment vertical="center" wrapText="1"/>
    </xf>
    <xf numFmtId="0" fontId="18" fillId="0" borderId="0" xfId="0" applyFont="1" applyAlignment="1">
      <alignment horizontal="center" vertical="top" wrapText="1"/>
    </xf>
    <xf numFmtId="0" fontId="43" fillId="2" borderId="1" xfId="0" applyFont="1" applyFill="1" applyBorder="1" applyAlignment="1">
      <alignment vertical="center" wrapText="1"/>
    </xf>
    <xf numFmtId="0" fontId="7" fillId="9" borderId="1" xfId="0" applyFont="1" applyFill="1" applyBorder="1" applyAlignment="1">
      <alignment vertical="center" wrapText="1"/>
    </xf>
    <xf numFmtId="0" fontId="5" fillId="0" borderId="0" xfId="0" applyFont="1"/>
    <xf numFmtId="0" fontId="44" fillId="0" borderId="0" xfId="0" applyFont="1" applyAlignment="1">
      <alignment vertical="center"/>
    </xf>
    <xf numFmtId="0" fontId="45" fillId="0" borderId="0" xfId="0" applyFont="1" applyAlignment="1">
      <alignment wrapText="1"/>
    </xf>
    <xf numFmtId="0" fontId="9" fillId="0" borderId="0" xfId="0" applyFont="1" applyAlignment="1">
      <alignment wrapText="1"/>
    </xf>
    <xf numFmtId="0" fontId="47" fillId="0" borderId="0" xfId="0" applyFont="1"/>
    <xf numFmtId="0" fontId="48" fillId="0" borderId="0" xfId="0" applyFont="1"/>
    <xf numFmtId="0" fontId="10" fillId="0" borderId="0" xfId="0" applyFont="1" applyAlignment="1">
      <alignment horizontal="left" vertical="center" wrapText="1"/>
    </xf>
    <xf numFmtId="0" fontId="9" fillId="0" borderId="0" xfId="0" applyFont="1" applyAlignment="1">
      <alignment horizontal="left" vertical="top" wrapText="1"/>
    </xf>
    <xf numFmtId="0" fontId="33" fillId="0" borderId="0" xfId="0" applyFont="1" applyAlignment="1">
      <alignment horizontal="left"/>
    </xf>
    <xf numFmtId="0" fontId="10" fillId="0" borderId="0" xfId="0" applyFont="1" applyAlignment="1">
      <alignment horizontal="left" vertical="top" wrapText="1"/>
    </xf>
    <xf numFmtId="49" fontId="9" fillId="0" borderId="0" xfId="0" applyNumberFormat="1" applyFont="1" applyAlignment="1">
      <alignment horizontal="left" vertical="top" wrapText="1"/>
    </xf>
    <xf numFmtId="0" fontId="7" fillId="5" borderId="1" xfId="0" applyFont="1" applyFill="1" applyBorder="1" applyAlignment="1">
      <alignment vertical="center" wrapText="1"/>
    </xf>
    <xf numFmtId="0" fontId="15" fillId="0" borderId="0" xfId="0" applyFont="1" applyAlignment="1">
      <alignment horizontal="left"/>
    </xf>
    <xf numFmtId="0" fontId="10" fillId="0" borderId="0" xfId="0" applyFont="1" applyAlignment="1">
      <alignment horizontal="right" wrapText="1"/>
    </xf>
    <xf numFmtId="14" fontId="7" fillId="3" borderId="1" xfId="0" applyNumberFormat="1" applyFont="1" applyFill="1" applyBorder="1" applyAlignment="1">
      <alignment horizontal="center" vertical="center" wrapText="1"/>
    </xf>
    <xf numFmtId="0" fontId="50" fillId="2" borderId="1" xfId="0" applyFont="1" applyFill="1" applyBorder="1" applyAlignment="1">
      <alignment horizontal="left" vertical="center" wrapText="1"/>
    </xf>
    <xf numFmtId="0" fontId="50" fillId="2" borderId="1" xfId="0" applyFont="1" applyFill="1" applyBorder="1" applyAlignment="1">
      <alignment vertical="center" wrapText="1"/>
    </xf>
    <xf numFmtId="0" fontId="9" fillId="0" borderId="0" xfId="0" applyFont="1" applyAlignment="1">
      <alignment horizontal="center"/>
    </xf>
    <xf numFmtId="0" fontId="30" fillId="4" borderId="1" xfId="0" applyFont="1" applyFill="1" applyBorder="1" applyAlignment="1">
      <alignment vertical="center" wrapText="1"/>
    </xf>
    <xf numFmtId="0" fontId="51" fillId="4" borderId="1" xfId="0" applyFont="1" applyFill="1" applyBorder="1" applyAlignment="1">
      <alignment vertical="center" wrapText="1"/>
    </xf>
    <xf numFmtId="0" fontId="53" fillId="4" borderId="1" xfId="0" applyFont="1" applyFill="1" applyBorder="1" applyAlignment="1">
      <alignment vertical="center" wrapText="1"/>
    </xf>
    <xf numFmtId="0" fontId="52" fillId="2" borderId="1" xfId="0" applyFont="1" applyFill="1" applyBorder="1" applyAlignment="1">
      <alignment vertical="center" wrapText="1"/>
    </xf>
    <xf numFmtId="0" fontId="10" fillId="0" borderId="0" xfId="0" applyFont="1" applyAlignment="1">
      <alignment wrapText="1"/>
    </xf>
    <xf numFmtId="0" fontId="50" fillId="10" borderId="2" xfId="0" applyFont="1" applyFill="1" applyBorder="1" applyAlignment="1">
      <alignment horizontal="left" vertical="center" wrapText="1"/>
    </xf>
    <xf numFmtId="0" fontId="50" fillId="10" borderId="24" xfId="0" applyFont="1" applyFill="1" applyBorder="1" applyAlignment="1">
      <alignment horizontal="left" vertical="center" wrapText="1"/>
    </xf>
    <xf numFmtId="43" fontId="53" fillId="4" borderId="1" xfId="1" applyFont="1" applyFill="1" applyBorder="1" applyAlignment="1">
      <alignment vertical="center" wrapText="1"/>
    </xf>
    <xf numFmtId="0" fontId="15" fillId="11" borderId="0" xfId="0" applyFont="1" applyFill="1"/>
    <xf numFmtId="0" fontId="7" fillId="10" borderId="0" xfId="0" applyFont="1" applyFill="1"/>
    <xf numFmtId="164" fontId="7" fillId="10" borderId="3" xfId="0" applyNumberFormat="1" applyFont="1" applyFill="1" applyBorder="1" applyAlignment="1">
      <alignment horizontal="left" vertical="top" wrapText="1"/>
    </xf>
    <xf numFmtId="14" fontId="7" fillId="10" borderId="0" xfId="0" applyNumberFormat="1" applyFont="1" applyFill="1"/>
    <xf numFmtId="0" fontId="56" fillId="10" borderId="16" xfId="0" applyFont="1" applyFill="1" applyBorder="1"/>
    <xf numFmtId="168" fontId="8" fillId="10" borderId="0" xfId="0" applyNumberFormat="1" applyFont="1" applyFill="1"/>
    <xf numFmtId="0" fontId="7" fillId="10" borderId="19" xfId="0" applyFont="1" applyFill="1" applyBorder="1"/>
    <xf numFmtId="0" fontId="7" fillId="10" borderId="20" xfId="0" applyFont="1" applyFill="1" applyBorder="1"/>
    <xf numFmtId="0" fontId="26" fillId="0" borderId="0" xfId="0" applyFont="1" applyAlignment="1">
      <alignment horizontal="left" vertical="top" wrapText="1"/>
    </xf>
    <xf numFmtId="0" fontId="8" fillId="10" borderId="0" xfId="0" applyFont="1" applyFill="1" applyAlignment="1">
      <alignment vertical="center" wrapText="1"/>
    </xf>
    <xf numFmtId="49" fontId="7" fillId="10" borderId="0" xfId="0" applyNumberFormat="1" applyFont="1" applyFill="1"/>
    <xf numFmtId="0" fontId="7" fillId="10" borderId="0" xfId="0" applyFont="1" applyFill="1" applyAlignment="1">
      <alignment vertical="center" wrapText="1"/>
    </xf>
    <xf numFmtId="49" fontId="57" fillId="4" borderId="1" xfId="0" applyNumberFormat="1" applyFont="1" applyFill="1" applyBorder="1" applyAlignment="1">
      <alignment vertical="center" wrapText="1"/>
    </xf>
    <xf numFmtId="169" fontId="58" fillId="4" borderId="1" xfId="0" applyNumberFormat="1" applyFont="1" applyFill="1" applyBorder="1" applyAlignment="1">
      <alignment vertical="center" wrapText="1"/>
    </xf>
    <xf numFmtId="0" fontId="30" fillId="10" borderId="0" xfId="0" applyFont="1" applyFill="1"/>
    <xf numFmtId="43" fontId="7" fillId="10" borderId="0" xfId="0" applyNumberFormat="1" applyFont="1" applyFill="1"/>
    <xf numFmtId="10" fontId="30" fillId="10" borderId="0" xfId="559" applyNumberFormat="1" applyFont="1" applyFill="1" applyAlignment="1">
      <alignment horizontal="center" vertical="center"/>
    </xf>
    <xf numFmtId="0" fontId="30" fillId="10" borderId="0" xfId="0" applyFont="1" applyFill="1" applyAlignment="1">
      <alignment horizontal="center" vertical="center"/>
    </xf>
    <xf numFmtId="169" fontId="11" fillId="2" borderId="1" xfId="0" applyNumberFormat="1" applyFont="1" applyFill="1" applyBorder="1" applyAlignment="1">
      <alignment horizontal="center" vertical="center" wrapText="1"/>
    </xf>
    <xf numFmtId="11" fontId="7" fillId="4" borderId="1" xfId="0" applyNumberFormat="1" applyFont="1" applyFill="1" applyBorder="1" applyAlignment="1">
      <alignment vertical="center" wrapText="1"/>
    </xf>
    <xf numFmtId="0" fontId="7" fillId="10" borderId="1" xfId="0" applyFont="1" applyFill="1" applyBorder="1"/>
    <xf numFmtId="0" fontId="7" fillId="10" borderId="1" xfId="0" applyFont="1" applyFill="1" applyBorder="1" applyAlignment="1">
      <alignment wrapText="1"/>
    </xf>
    <xf numFmtId="0" fontId="11" fillId="10" borderId="1" xfId="0" applyFont="1" applyFill="1" applyBorder="1" applyAlignment="1">
      <alignment horizontal="center" vertical="center" wrapText="1"/>
    </xf>
    <xf numFmtId="0" fontId="7" fillId="10" borderId="1" xfId="0" applyFont="1" applyFill="1" applyBorder="1" applyAlignment="1">
      <alignment horizontal="center" vertical="center"/>
    </xf>
    <xf numFmtId="0" fontId="7" fillId="10" borderId="1" xfId="0" applyFont="1" applyFill="1" applyBorder="1" applyAlignment="1">
      <alignment horizontal="center" vertical="center" wrapText="1"/>
    </xf>
    <xf numFmtId="0" fontId="7" fillId="10" borderId="1" xfId="0" applyFont="1" applyFill="1" applyBorder="1" applyAlignment="1">
      <alignment horizontal="left" vertical="center"/>
    </xf>
    <xf numFmtId="0" fontId="7" fillId="10" borderId="1" xfId="0" applyFont="1" applyFill="1" applyBorder="1" applyAlignment="1">
      <alignment horizontal="left" vertical="center" wrapText="1"/>
    </xf>
    <xf numFmtId="0" fontId="7" fillId="10" borderId="1" xfId="0" applyFont="1" applyFill="1" applyBorder="1" applyAlignment="1">
      <alignment vertical="center" wrapText="1"/>
    </xf>
    <xf numFmtId="0" fontId="8" fillId="10" borderId="0" xfId="0" applyFont="1" applyFill="1" applyAlignment="1">
      <alignment vertical="center"/>
    </xf>
    <xf numFmtId="0" fontId="7" fillId="10" borderId="13" xfId="0" applyFont="1" applyFill="1" applyBorder="1" applyAlignment="1">
      <alignment vertical="center"/>
    </xf>
    <xf numFmtId="0" fontId="7" fillId="10" borderId="15" xfId="0" applyFont="1" applyFill="1" applyBorder="1" applyAlignment="1">
      <alignment vertical="center"/>
    </xf>
    <xf numFmtId="14" fontId="7" fillId="10" borderId="1" xfId="0" applyNumberFormat="1" applyFont="1" applyFill="1" applyBorder="1"/>
    <xf numFmtId="0" fontId="8" fillId="10" borderId="0" xfId="0" applyFont="1" applyFill="1"/>
    <xf numFmtId="49" fontId="7" fillId="10" borderId="1" xfId="0" applyNumberFormat="1" applyFont="1" applyFill="1" applyBorder="1"/>
    <xf numFmtId="0" fontId="8" fillId="10" borderId="0" xfId="0" applyFont="1" applyFill="1" applyAlignment="1">
      <alignment wrapText="1"/>
    </xf>
    <xf numFmtId="164" fontId="7" fillId="10" borderId="1" xfId="0" applyNumberFormat="1" applyFont="1" applyFill="1" applyBorder="1" applyAlignment="1">
      <alignment vertical="center" wrapText="1"/>
    </xf>
    <xf numFmtId="164" fontId="7" fillId="10" borderId="0" xfId="0" applyNumberFormat="1" applyFont="1" applyFill="1" applyAlignment="1">
      <alignment vertical="center" wrapText="1"/>
    </xf>
    <xf numFmtId="169" fontId="7" fillId="4" borderId="1" xfId="0" applyNumberFormat="1" applyFont="1" applyFill="1" applyBorder="1" applyAlignment="1">
      <alignment horizontal="left" vertical="top" wrapText="1"/>
    </xf>
    <xf numFmtId="49" fontId="30" fillId="4" borderId="1" xfId="0" applyNumberFormat="1" applyFont="1" applyFill="1" applyBorder="1" applyAlignment="1">
      <alignment vertical="center" wrapText="1"/>
    </xf>
    <xf numFmtId="0" fontId="16" fillId="0" borderId="0" xfId="0" applyFont="1" applyAlignment="1">
      <alignment horizontal="left" vertical="top" wrapText="1"/>
    </xf>
    <xf numFmtId="0" fontId="15" fillId="0" borderId="0" xfId="0" applyFont="1" applyAlignment="1">
      <alignment vertical="top" wrapText="1"/>
    </xf>
    <xf numFmtId="0" fontId="7" fillId="0" borderId="1" xfId="0" applyFont="1" applyBorder="1" applyAlignment="1">
      <alignment vertical="center" wrapText="1"/>
    </xf>
    <xf numFmtId="0" fontId="8" fillId="2" borderId="1" xfId="0" applyFont="1" applyFill="1" applyBorder="1" applyAlignment="1">
      <alignment vertical="center" wrapText="1"/>
    </xf>
    <xf numFmtId="0" fontId="7" fillId="0" borderId="1" xfId="0" applyFont="1" applyBorder="1" applyAlignment="1">
      <alignment vertical="center" wrapText="1"/>
    </xf>
    <xf numFmtId="0" fontId="8" fillId="2" borderId="1" xfId="0" applyFont="1" applyFill="1" applyBorder="1" applyAlignment="1">
      <alignment vertical="center" wrapText="1"/>
    </xf>
    <xf numFmtId="0" fontId="16" fillId="0" borderId="0" xfId="0" applyFont="1" applyAlignment="1">
      <alignment horizontal="center" vertical="center" wrapText="1"/>
    </xf>
    <xf numFmtId="0" fontId="15" fillId="0" borderId="0" xfId="0" applyFont="1" applyAlignment="1">
      <alignment vertical="top" wrapText="1"/>
    </xf>
    <xf numFmtId="0" fontId="15" fillId="0" borderId="0" xfId="0" applyFont="1" applyAlignment="1">
      <alignment horizontal="left" vertical="center" wrapText="1"/>
    </xf>
    <xf numFmtId="0" fontId="15" fillId="0" borderId="0" xfId="0" applyFont="1" applyAlignment="1">
      <alignment horizontal="justify" vertical="top" wrapText="1"/>
    </xf>
    <xf numFmtId="0" fontId="15" fillId="0" borderId="0" xfId="0" applyFont="1" applyAlignment="1">
      <alignment vertical="top" wrapText="1"/>
    </xf>
    <xf numFmtId="0" fontId="16" fillId="0" borderId="0" xfId="0" applyFont="1" applyAlignment="1">
      <alignment wrapText="1"/>
    </xf>
    <xf numFmtId="0" fontId="8" fillId="2" borderId="1" xfId="0" applyFont="1" applyFill="1" applyBorder="1" applyAlignment="1">
      <alignment vertical="center"/>
    </xf>
    <xf numFmtId="0" fontId="15" fillId="0" borderId="0" xfId="0" applyFont="1" applyAlignment="1">
      <alignment vertical="center"/>
    </xf>
    <xf numFmtId="0" fontId="15" fillId="0" borderId="0" xfId="0" applyFont="1" applyAlignment="1">
      <alignment vertical="top" wrapText="1"/>
    </xf>
    <xf numFmtId="0" fontId="16" fillId="0" borderId="0" xfId="0" applyFont="1" applyAlignment="1">
      <alignment vertical="top"/>
    </xf>
    <xf numFmtId="0" fontId="9" fillId="0" borderId="25" xfId="0" applyFont="1" applyBorder="1"/>
    <xf numFmtId="0" fontId="19" fillId="0" borderId="25" xfId="0" applyFont="1" applyBorder="1" applyAlignment="1">
      <alignment horizontal="center"/>
    </xf>
    <xf numFmtId="0" fontId="10" fillId="0" borderId="25" xfId="0" applyFont="1" applyBorder="1" applyAlignment="1">
      <alignment horizontal="center" vertical="center"/>
    </xf>
    <xf numFmtId="0" fontId="9" fillId="0" borderId="25" xfId="0" applyFont="1" applyBorder="1" applyAlignment="1">
      <alignment horizontal="left" vertical="center" wrapText="1"/>
    </xf>
    <xf numFmtId="0" fontId="9" fillId="0" borderId="25" xfId="0" applyFont="1" applyBorder="1" applyAlignment="1">
      <alignment horizontal="left"/>
    </xf>
    <xf numFmtId="0" fontId="9" fillId="0" borderId="25" xfId="0" applyFont="1" applyBorder="1" applyAlignment="1">
      <alignment horizontal="left" vertical="center"/>
    </xf>
    <xf numFmtId="0" fontId="10" fillId="0" borderId="25" xfId="0" applyFont="1" applyBorder="1" applyAlignment="1">
      <alignment horizontal="center"/>
    </xf>
    <xf numFmtId="0" fontId="9" fillId="0" borderId="25" xfId="0" applyFont="1" applyBorder="1" applyAlignment="1">
      <alignment horizontal="center"/>
    </xf>
    <xf numFmtId="0" fontId="9" fillId="0" borderId="23" xfId="0" applyFont="1" applyBorder="1"/>
    <xf numFmtId="0" fontId="10" fillId="0" borderId="14" xfId="0" applyFont="1" applyBorder="1" applyAlignment="1">
      <alignment horizontal="right"/>
    </xf>
    <xf numFmtId="0" fontId="9" fillId="0" borderId="14" xfId="0" applyFont="1" applyBorder="1"/>
    <xf numFmtId="0" fontId="9" fillId="0" borderId="15" xfId="0" applyFont="1" applyBorder="1"/>
    <xf numFmtId="0" fontId="19" fillId="0" borderId="14" xfId="0" applyFont="1" applyBorder="1" applyAlignment="1">
      <alignment horizontal="center"/>
    </xf>
    <xf numFmtId="0" fontId="10" fillId="0" borderId="14" xfId="0" applyFont="1" applyBorder="1" applyAlignment="1">
      <alignment horizontal="center" wrapText="1"/>
    </xf>
    <xf numFmtId="0" fontId="9" fillId="0" borderId="14" xfId="0" applyFont="1" applyBorder="1" applyAlignment="1">
      <alignment horizontal="left" vertical="center" wrapText="1"/>
    </xf>
    <xf numFmtId="0" fontId="9" fillId="0" borderId="14" xfId="0" applyFont="1" applyBorder="1" applyAlignment="1">
      <alignment horizontal="left" wrapText="1"/>
    </xf>
    <xf numFmtId="0" fontId="9" fillId="5" borderId="14" xfId="0" applyFont="1" applyFill="1" applyBorder="1" applyAlignment="1">
      <alignment horizontal="left" wrapText="1"/>
    </xf>
    <xf numFmtId="0" fontId="9" fillId="0" borderId="14" xfId="0" applyFont="1" applyBorder="1" applyAlignment="1">
      <alignment horizontal="left"/>
    </xf>
    <xf numFmtId="0" fontId="9" fillId="0" borderId="0" xfId="0" applyFont="1" applyBorder="1"/>
    <xf numFmtId="0" fontId="8" fillId="2"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49" fontId="8" fillId="4" borderId="1" xfId="0" applyNumberFormat="1" applyFont="1" applyFill="1" applyBorder="1" applyAlignment="1">
      <alignment vertical="center" wrapText="1"/>
    </xf>
    <xf numFmtId="49" fontId="8" fillId="4" borderId="1" xfId="0" applyNumberFormat="1" applyFont="1" applyFill="1" applyBorder="1" applyAlignment="1">
      <alignment horizontal="left" vertical="center" wrapText="1"/>
    </xf>
    <xf numFmtId="0" fontId="9" fillId="0" borderId="0" xfId="0" applyFont="1" applyFill="1" applyBorder="1" applyAlignment="1">
      <alignment horizontal="left" vertical="center" wrapText="1"/>
    </xf>
    <xf numFmtId="0" fontId="9" fillId="0" borderId="0" xfId="0" applyFont="1" applyFill="1" applyAlignment="1">
      <alignment vertical="center" wrapText="1"/>
    </xf>
    <xf numFmtId="0" fontId="63" fillId="0" borderId="0" xfId="0" applyFont="1" applyAlignment="1" applyProtection="1">
      <alignment horizontal="center" vertical="center"/>
      <protection hidden="1"/>
    </xf>
    <xf numFmtId="0" fontId="64" fillId="0" borderId="0" xfId="0" applyFont="1" applyAlignment="1" applyProtection="1">
      <alignment horizontal="center" vertical="top"/>
      <protection hidden="1"/>
    </xf>
    <xf numFmtId="0" fontId="64" fillId="0" borderId="0" xfId="0" applyFont="1" applyAlignment="1" applyProtection="1">
      <alignment horizontal="center" vertical="center"/>
      <protection hidden="1"/>
    </xf>
    <xf numFmtId="0" fontId="16" fillId="0" borderId="0" xfId="0" applyFont="1" applyBorder="1" applyAlignment="1">
      <alignment vertical="center"/>
    </xf>
    <xf numFmtId="0" fontId="46" fillId="0" borderId="0" xfId="0" applyFont="1" applyBorder="1" applyAlignment="1">
      <alignment horizontal="center" wrapText="1"/>
    </xf>
    <xf numFmtId="0" fontId="31" fillId="0" borderId="0" xfId="0" applyFont="1" applyBorder="1" applyAlignment="1">
      <alignment horizontal="center" wrapText="1"/>
    </xf>
    <xf numFmtId="0" fontId="16" fillId="0" borderId="0" xfId="0" applyFont="1" applyAlignment="1">
      <alignment horizontal="left" vertical="top" wrapText="1"/>
    </xf>
    <xf numFmtId="0" fontId="15" fillId="0" borderId="0" xfId="0" applyFont="1" applyAlignment="1">
      <alignment vertical="top" wrapText="1"/>
    </xf>
    <xf numFmtId="0" fontId="16" fillId="0" borderId="0" xfId="0" applyFont="1" applyAlignment="1"/>
    <xf numFmtId="0" fontId="15" fillId="0" borderId="0" xfId="0" applyFont="1" applyAlignment="1">
      <alignment vertical="top" wrapText="1"/>
    </xf>
    <xf numFmtId="0" fontId="16" fillId="0" borderId="0" xfId="0" applyFont="1" applyBorder="1" applyAlignment="1">
      <alignment horizontal="left" vertical="center"/>
    </xf>
    <xf numFmtId="0" fontId="35" fillId="0" borderId="0" xfId="0" applyFont="1" applyBorder="1" applyAlignment="1">
      <alignment horizontal="left" vertical="center" wrapText="1"/>
    </xf>
    <xf numFmtId="0" fontId="16" fillId="0" borderId="0" xfId="0" applyFont="1" applyBorder="1" applyAlignment="1">
      <alignment horizontal="left" vertical="center" wrapText="1"/>
    </xf>
    <xf numFmtId="0" fontId="16" fillId="0" borderId="0" xfId="0" applyFont="1" applyAlignment="1">
      <alignment vertical="top" wrapText="1"/>
    </xf>
    <xf numFmtId="0" fontId="10" fillId="0" borderId="0" xfId="0" applyFont="1" applyBorder="1" applyAlignment="1">
      <alignment horizontal="right"/>
    </xf>
    <xf numFmtId="0" fontId="10" fillId="0" borderId="0" xfId="0" applyFont="1" applyBorder="1" applyAlignment="1">
      <alignment wrapText="1"/>
    </xf>
    <xf numFmtId="0" fontId="16" fillId="0" borderId="0" xfId="0" applyFont="1" applyFill="1" applyAlignment="1"/>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9" fillId="0" borderId="14" xfId="0" applyFont="1" applyBorder="1" applyAlignment="1">
      <alignment horizontal="right" wrapText="1"/>
    </xf>
    <xf numFmtId="0" fontId="10" fillId="0" borderId="0" xfId="0" applyFont="1" applyBorder="1" applyAlignment="1">
      <alignment horizontal="center" wrapText="1"/>
    </xf>
    <xf numFmtId="0" fontId="9" fillId="0" borderId="0" xfId="0" applyFont="1" applyAlignment="1">
      <alignment horizontal="left" vertical="top" wrapText="1"/>
    </xf>
    <xf numFmtId="0" fontId="10" fillId="0" borderId="0" xfId="0" applyFont="1" applyAlignment="1">
      <alignment horizontal="center"/>
    </xf>
    <xf numFmtId="0" fontId="10" fillId="0" borderId="0" xfId="0" applyFont="1" applyAlignment="1">
      <alignment horizontal="center" vertical="center" wrapText="1"/>
    </xf>
    <xf numFmtId="0" fontId="10" fillId="0" borderId="0" xfId="0" applyFont="1" applyAlignment="1">
      <alignment horizontal="center" wrapText="1"/>
    </xf>
    <xf numFmtId="0" fontId="10" fillId="0" borderId="0" xfId="0" applyFont="1" applyAlignment="1">
      <alignment horizontal="center" vertical="top" wrapText="1"/>
    </xf>
    <xf numFmtId="49" fontId="9" fillId="0" borderId="0" xfId="0" applyNumberFormat="1" applyFont="1" applyAlignment="1">
      <alignment horizontal="left" vertical="top" wrapText="1"/>
    </xf>
    <xf numFmtId="0" fontId="33" fillId="0" borderId="0" xfId="0" applyFont="1" applyAlignment="1">
      <alignment horizontal="left"/>
    </xf>
    <xf numFmtId="0" fontId="9" fillId="0" borderId="0" xfId="0" applyFont="1" applyAlignment="1">
      <alignment vertical="top" wrapText="1"/>
    </xf>
    <xf numFmtId="0" fontId="33" fillId="0" borderId="0" xfId="0" applyFont="1" applyAlignment="1">
      <alignment horizontal="center" vertical="top" wrapText="1"/>
    </xf>
    <xf numFmtId="0" fontId="29" fillId="0" borderId="0" xfId="0" applyFont="1" applyAlignment="1">
      <alignment horizontal="left" vertical="top" wrapText="1"/>
    </xf>
    <xf numFmtId="0" fontId="29" fillId="5" borderId="0" xfId="0" applyFont="1" applyFill="1" applyAlignment="1">
      <alignment horizontal="left" vertical="top" wrapText="1"/>
    </xf>
    <xf numFmtId="0" fontId="9" fillId="0" borderId="0" xfId="0" applyFont="1" applyAlignment="1">
      <alignment horizontal="left" wrapText="1"/>
    </xf>
    <xf numFmtId="0" fontId="10" fillId="0" borderId="0" xfId="0" applyFont="1" applyAlignment="1">
      <alignment horizontal="center" vertical="center"/>
    </xf>
    <xf numFmtId="0" fontId="16" fillId="0" borderId="0" xfId="0" applyFont="1" applyAlignment="1">
      <alignment horizontal="center" vertical="top" wrapText="1"/>
    </xf>
    <xf numFmtId="0" fontId="15" fillId="0" borderId="0" xfId="0" applyFont="1" applyAlignment="1">
      <alignment horizontal="justify" vertical="top" wrapText="1"/>
    </xf>
    <xf numFmtId="0" fontId="15" fillId="0" borderId="0" xfId="0" applyFont="1" applyAlignment="1">
      <alignment horizontal="left" vertical="top" wrapText="1"/>
    </xf>
    <xf numFmtId="0" fontId="15" fillId="0" borderId="0" xfId="0" applyFont="1" applyAlignment="1">
      <alignment horizontal="left" vertical="center" wrapText="1"/>
    </xf>
    <xf numFmtId="0" fontId="16" fillId="0" borderId="0" xfId="0" applyFont="1" applyAlignment="1">
      <alignment horizontal="center" vertical="center" wrapText="1"/>
    </xf>
    <xf numFmtId="0" fontId="35" fillId="0" borderId="0" xfId="0" applyFont="1" applyAlignment="1">
      <alignment horizontal="center" vertical="center" wrapText="1"/>
    </xf>
    <xf numFmtId="0" fontId="28" fillId="0" borderId="0" xfId="0" applyFont="1" applyBorder="1" applyAlignment="1">
      <alignment horizontal="left" vertical="top" wrapText="1"/>
    </xf>
    <xf numFmtId="0" fontId="28" fillId="0" borderId="0" xfId="0" applyFont="1" applyBorder="1" applyAlignment="1">
      <alignment horizontal="left" vertical="center" wrapText="1"/>
    </xf>
    <xf numFmtId="0" fontId="15" fillId="0" borderId="0" xfId="0" applyFont="1" applyBorder="1" applyAlignment="1">
      <alignment horizontal="left" vertical="center" wrapText="1"/>
    </xf>
    <xf numFmtId="0" fontId="46" fillId="0" borderId="0" xfId="0" applyFont="1" applyAlignment="1">
      <alignment horizontal="justify" vertical="top" wrapText="1"/>
    </xf>
    <xf numFmtId="0" fontId="35" fillId="0" borderId="0" xfId="0" applyFont="1" applyAlignment="1">
      <alignment horizontal="right"/>
    </xf>
    <xf numFmtId="0" fontId="35" fillId="0" borderId="0" xfId="0" applyFont="1" applyAlignment="1">
      <alignment horizontal="center"/>
    </xf>
    <xf numFmtId="0" fontId="28" fillId="0" borderId="1" xfId="0" applyFont="1" applyBorder="1" applyAlignment="1">
      <alignment horizontal="center" vertical="center"/>
    </xf>
    <xf numFmtId="0" fontId="28" fillId="0" borderId="1" xfId="0" applyFont="1" applyBorder="1" applyAlignment="1">
      <alignment horizontal="center" vertical="center" wrapText="1"/>
    </xf>
    <xf numFmtId="0" fontId="28" fillId="0" borderId="1" xfId="0" applyFont="1" applyBorder="1" applyAlignment="1">
      <alignment horizontal="center"/>
    </xf>
    <xf numFmtId="0" fontId="28" fillId="0" borderId="0" xfId="0" applyFont="1" applyAlignment="1">
      <alignment horizontal="center" vertical="top" wrapText="1"/>
    </xf>
    <xf numFmtId="0" fontId="28" fillId="0" borderId="0" xfId="0" applyFont="1" applyAlignment="1">
      <alignment horizontal="justify" vertical="top" wrapText="1"/>
    </xf>
    <xf numFmtId="0" fontId="36" fillId="0" borderId="0" xfId="0" applyFont="1" applyAlignment="1">
      <alignment horizontal="center" vertical="center" wrapText="1"/>
    </xf>
    <xf numFmtId="0" fontId="35" fillId="0" borderId="0" xfId="0" applyFont="1" applyAlignment="1">
      <alignment horizontal="center" wrapText="1"/>
    </xf>
    <xf numFmtId="0" fontId="35" fillId="0" borderId="0" xfId="0" applyFont="1" applyAlignment="1">
      <alignment horizontal="center" vertical="top" wrapText="1"/>
    </xf>
    <xf numFmtId="0" fontId="28" fillId="0" borderId="0" xfId="0" applyFont="1" applyAlignment="1">
      <alignment horizontal="center"/>
    </xf>
    <xf numFmtId="0" fontId="28" fillId="0" borderId="0" xfId="0" applyFont="1" applyAlignment="1">
      <alignment horizontal="left" wrapText="1"/>
    </xf>
    <xf numFmtId="0" fontId="37" fillId="0" borderId="0" xfId="0" applyFont="1" applyAlignment="1">
      <alignment horizontal="center" vertical="top" wrapText="1"/>
    </xf>
    <xf numFmtId="0" fontId="28" fillId="0" borderId="0" xfId="0" applyFont="1" applyAlignment="1">
      <alignment horizontal="center" wrapText="1"/>
    </xf>
    <xf numFmtId="0" fontId="16" fillId="0" borderId="0" xfId="0" applyFont="1" applyAlignment="1">
      <alignment horizontal="right"/>
    </xf>
    <xf numFmtId="0" fontId="16" fillId="0" borderId="0" xfId="0" applyFont="1" applyAlignment="1">
      <alignment horizontal="center"/>
    </xf>
    <xf numFmtId="0" fontId="15" fillId="0" borderId="1" xfId="0" applyFont="1" applyBorder="1" applyAlignment="1">
      <alignment horizontal="center" vertical="center"/>
    </xf>
    <xf numFmtId="0" fontId="15" fillId="0" borderId="1" xfId="0" applyFont="1" applyBorder="1" applyAlignment="1">
      <alignment horizontal="center" vertical="center" wrapText="1"/>
    </xf>
    <xf numFmtId="0" fontId="15" fillId="0" borderId="1" xfId="0" applyFont="1" applyBorder="1" applyAlignment="1">
      <alignment horizontal="center"/>
    </xf>
    <xf numFmtId="0" fontId="15" fillId="0" borderId="0" xfId="0" applyFont="1" applyAlignment="1">
      <alignment horizontal="center" vertical="top" wrapText="1"/>
    </xf>
    <xf numFmtId="0" fontId="21" fillId="0" borderId="0" xfId="0" applyFont="1" applyAlignment="1">
      <alignment horizontal="center" vertical="center" wrapText="1"/>
    </xf>
    <xf numFmtId="0" fontId="16" fillId="0" borderId="0" xfId="0" applyFont="1" applyAlignment="1">
      <alignment horizontal="center" wrapText="1"/>
    </xf>
    <xf numFmtId="0" fontId="15" fillId="0" borderId="0" xfId="0" applyFont="1" applyAlignment="1">
      <alignment horizontal="center"/>
    </xf>
    <xf numFmtId="0" fontId="15" fillId="0" borderId="0" xfId="0" applyFont="1" applyAlignment="1">
      <alignment horizontal="left" wrapText="1"/>
    </xf>
    <xf numFmtId="0" fontId="20" fillId="0" borderId="0" xfId="0" applyFont="1" applyAlignment="1">
      <alignment horizontal="center" vertical="top" wrapText="1"/>
    </xf>
    <xf numFmtId="0" fontId="15" fillId="0" borderId="0" xfId="0" applyFont="1" applyAlignment="1">
      <alignment horizontal="center" wrapText="1"/>
    </xf>
    <xf numFmtId="0" fontId="16" fillId="0" borderId="0" xfId="0" applyFont="1" applyAlignment="1">
      <alignment horizontal="left" vertical="top"/>
    </xf>
    <xf numFmtId="0" fontId="16" fillId="0" borderId="0" xfId="0" applyFont="1" applyAlignment="1">
      <alignment horizontal="left" vertical="top" wrapText="1"/>
    </xf>
    <xf numFmtId="0" fontId="15" fillId="0" borderId="13" xfId="0" applyFont="1" applyBorder="1" applyAlignment="1">
      <alignment horizontal="center" vertical="center" wrapText="1"/>
    </xf>
    <xf numFmtId="0" fontId="15" fillId="0" borderId="14" xfId="0" applyFont="1" applyBorder="1" applyAlignment="1">
      <alignment horizontal="center" vertical="center" wrapText="1"/>
    </xf>
    <xf numFmtId="0" fontId="15" fillId="0" borderId="15" xfId="0" applyFont="1" applyBorder="1" applyAlignment="1">
      <alignment horizontal="center" vertical="center" wrapText="1"/>
    </xf>
    <xf numFmtId="0" fontId="26" fillId="0" borderId="0" xfId="0" applyFont="1" applyAlignment="1">
      <alignment horizontal="right" vertical="top" wrapText="1"/>
    </xf>
    <xf numFmtId="0" fontId="16" fillId="0" borderId="3" xfId="0" applyFont="1" applyBorder="1" applyAlignment="1">
      <alignment horizontal="center" vertical="center" wrapText="1"/>
    </xf>
    <xf numFmtId="0" fontId="16" fillId="0" borderId="2" xfId="0" applyFont="1" applyBorder="1" applyAlignment="1">
      <alignment horizontal="center" vertical="center" wrapText="1"/>
    </xf>
    <xf numFmtId="0" fontId="16" fillId="0" borderId="0" xfId="0" applyFont="1" applyAlignment="1">
      <alignment horizontal="right" vertical="center" wrapText="1"/>
    </xf>
    <xf numFmtId="0" fontId="10" fillId="0" borderId="0" xfId="0" applyFont="1" applyBorder="1" applyAlignment="1">
      <alignment horizontal="right" vertical="center" wrapText="1"/>
    </xf>
    <xf numFmtId="0" fontId="54" fillId="0" borderId="0" xfId="0" applyFont="1" applyAlignment="1">
      <alignment horizontal="center" wrapText="1"/>
    </xf>
    <xf numFmtId="0" fontId="9" fillId="0" borderId="0" xfId="0" applyFont="1" applyAlignment="1">
      <alignment horizontal="justify" wrapText="1"/>
    </xf>
    <xf numFmtId="0" fontId="10" fillId="0" borderId="0" xfId="0" applyFont="1" applyAlignment="1">
      <alignment horizontal="left" vertical="center" wrapText="1"/>
    </xf>
    <xf numFmtId="0" fontId="10" fillId="0" borderId="0" xfId="0" applyFont="1" applyAlignment="1">
      <alignment horizontal="left" vertical="top" wrapText="1"/>
    </xf>
    <xf numFmtId="0" fontId="10" fillId="0" borderId="0" xfId="0" applyFont="1" applyAlignment="1">
      <alignment horizontal="right" vertical="center"/>
    </xf>
    <xf numFmtId="0" fontId="9" fillId="0" borderId="0" xfId="0" applyFont="1" applyFill="1" applyBorder="1" applyAlignment="1">
      <alignment horizontal="left" vertical="center" wrapText="1"/>
    </xf>
    <xf numFmtId="0" fontId="9" fillId="0" borderId="0" xfId="0" applyFont="1" applyAlignment="1">
      <alignment horizontal="left" vertical="center" wrapText="1"/>
    </xf>
    <xf numFmtId="0" fontId="15" fillId="0" borderId="8" xfId="0" applyFont="1" applyBorder="1" applyAlignment="1">
      <alignment horizontal="center" wrapText="1"/>
    </xf>
    <xf numFmtId="0" fontId="15" fillId="0" borderId="9" xfId="0" applyFont="1" applyBorder="1" applyAlignment="1">
      <alignment horizontal="center" wrapText="1"/>
    </xf>
    <xf numFmtId="0" fontId="24" fillId="0" borderId="8" xfId="0" applyFont="1" applyBorder="1" applyAlignment="1">
      <alignment horizontal="center" wrapText="1"/>
    </xf>
    <xf numFmtId="0" fontId="24" fillId="0" borderId="0" xfId="0" applyFont="1" applyAlignment="1">
      <alignment horizontal="center" wrapText="1"/>
    </xf>
    <xf numFmtId="0" fontId="24" fillId="0" borderId="9" xfId="0" applyFont="1" applyBorder="1" applyAlignment="1">
      <alignment horizontal="center" wrapText="1"/>
    </xf>
    <xf numFmtId="0" fontId="25" fillId="0" borderId="5" xfId="0" applyFont="1" applyBorder="1" applyAlignment="1">
      <alignment horizontal="center" wrapText="1"/>
    </xf>
    <xf numFmtId="0" fontId="25" fillId="0" borderId="6" xfId="0" applyFont="1" applyBorder="1" applyAlignment="1">
      <alignment horizontal="center" wrapText="1"/>
    </xf>
    <xf numFmtId="0" fontId="25" fillId="0" borderId="7" xfId="0" applyFont="1" applyBorder="1" applyAlignment="1">
      <alignment horizontal="center" wrapText="1"/>
    </xf>
    <xf numFmtId="0" fontId="34" fillId="0" borderId="8" xfId="0" applyFont="1" applyBorder="1" applyAlignment="1">
      <alignment horizontal="center" wrapText="1"/>
    </xf>
    <xf numFmtId="0" fontId="34" fillId="0" borderId="0" xfId="0" applyFont="1" applyAlignment="1">
      <alignment horizontal="center" wrapText="1"/>
    </xf>
    <xf numFmtId="0" fontId="34" fillId="0" borderId="9" xfId="0" applyFont="1" applyBorder="1" applyAlignment="1">
      <alignment horizontal="center" wrapText="1"/>
    </xf>
    <xf numFmtId="0" fontId="16" fillId="0" borderId="10" xfId="0" applyFont="1" applyBorder="1" applyAlignment="1">
      <alignment horizontal="center" wrapText="1"/>
    </xf>
    <xf numFmtId="0" fontId="16" fillId="0" borderId="11" xfId="0" applyFont="1" applyBorder="1" applyAlignment="1">
      <alignment horizontal="center" wrapText="1"/>
    </xf>
    <xf numFmtId="0" fontId="16" fillId="0" borderId="12" xfId="0" applyFont="1" applyBorder="1" applyAlignment="1">
      <alignment horizontal="center" wrapText="1"/>
    </xf>
    <xf numFmtId="0" fontId="16" fillId="0" borderId="8" xfId="0" applyFont="1" applyBorder="1" applyAlignment="1">
      <alignment horizontal="left" wrapText="1"/>
    </xf>
    <xf numFmtId="0" fontId="16" fillId="0" borderId="0" xfId="0" applyFont="1" applyAlignment="1">
      <alignment horizontal="left" wrapText="1"/>
    </xf>
    <xf numFmtId="0" fontId="16" fillId="0" borderId="9" xfId="0" applyFont="1" applyBorder="1" applyAlignment="1">
      <alignment horizontal="left" wrapText="1"/>
    </xf>
    <xf numFmtId="0" fontId="18" fillId="0" borderId="0" xfId="0" applyFont="1" applyAlignment="1">
      <alignment horizontal="justify" vertical="top" wrapText="1"/>
    </xf>
    <xf numFmtId="0" fontId="18" fillId="0" borderId="0" xfId="0" applyFont="1" applyAlignment="1">
      <alignment horizontal="center" vertical="top" wrapText="1"/>
    </xf>
    <xf numFmtId="0" fontId="18" fillId="0" borderId="4" xfId="0" applyFont="1" applyBorder="1" applyAlignment="1">
      <alignment horizontal="center" vertical="top" wrapText="1"/>
    </xf>
    <xf numFmtId="49" fontId="18" fillId="0" borderId="0" xfId="0" applyNumberFormat="1" applyFont="1" applyAlignment="1">
      <alignment horizontal="center" vertical="center" wrapText="1"/>
    </xf>
    <xf numFmtId="0" fontId="17" fillId="0" borderId="0" xfId="0" applyFont="1" applyAlignment="1">
      <alignment horizontal="center" vertical="top" wrapText="1"/>
    </xf>
    <xf numFmtId="0" fontId="18" fillId="0" borderId="0" xfId="0" applyFont="1" applyAlignment="1">
      <alignment horizontal="left" vertical="top" wrapText="1"/>
    </xf>
    <xf numFmtId="0" fontId="15" fillId="0" borderId="0" xfId="0" applyFont="1" applyAlignment="1">
      <alignment horizontal="center" vertical="center"/>
    </xf>
    <xf numFmtId="49" fontId="15" fillId="0" borderId="0" xfId="0" applyNumberFormat="1" applyFont="1" applyAlignment="1">
      <alignment horizontal="justify" vertical="top" wrapText="1"/>
    </xf>
    <xf numFmtId="0" fontId="29" fillId="0" borderId="0" xfId="0" applyFont="1" applyAlignment="1">
      <alignment horizontal="center"/>
    </xf>
    <xf numFmtId="0" fontId="29" fillId="0" borderId="3" xfId="0" applyFont="1" applyBorder="1" applyAlignment="1">
      <alignment horizontal="justify" vertical="center" wrapText="1"/>
    </xf>
    <xf numFmtId="0" fontId="29" fillId="0" borderId="18" xfId="0" applyFont="1" applyBorder="1" applyAlignment="1">
      <alignment horizontal="justify" vertical="center" wrapText="1"/>
    </xf>
    <xf numFmtId="0" fontId="29" fillId="0" borderId="2" xfId="0" applyFont="1" applyBorder="1" applyAlignment="1">
      <alignment horizontal="justify" vertical="center" wrapText="1"/>
    </xf>
    <xf numFmtId="0" fontId="29" fillId="0" borderId="3" xfId="0" applyFont="1" applyBorder="1" applyAlignment="1">
      <alignment horizontal="justify" vertical="center"/>
    </xf>
    <xf numFmtId="0" fontId="29" fillId="0" borderId="2" xfId="0" applyFont="1" applyBorder="1" applyAlignment="1">
      <alignment horizontal="justify" vertical="center"/>
    </xf>
    <xf numFmtId="0" fontId="29" fillId="0" borderId="21" xfId="0" applyFont="1" applyBorder="1" applyAlignment="1">
      <alignment horizontal="justify" vertical="center"/>
    </xf>
    <xf numFmtId="0" fontId="29" fillId="0" borderId="17" xfId="0" applyFont="1" applyBorder="1" applyAlignment="1">
      <alignment horizontal="justify" vertical="center"/>
    </xf>
    <xf numFmtId="0" fontId="29" fillId="0" borderId="22" xfId="0" applyFont="1" applyBorder="1" applyAlignment="1">
      <alignment horizontal="justify" vertical="center"/>
    </xf>
    <xf numFmtId="0" fontId="29" fillId="0" borderId="20" xfId="0" applyFont="1" applyBorder="1" applyAlignment="1">
      <alignment horizontal="justify" vertical="center"/>
    </xf>
    <xf numFmtId="0" fontId="29" fillId="0" borderId="4" xfId="0" applyFont="1" applyBorder="1" applyAlignment="1">
      <alignment horizontal="justify" vertical="center"/>
    </xf>
    <xf numFmtId="0" fontId="29" fillId="0" borderId="23" xfId="0" applyFont="1" applyBorder="1" applyAlignment="1">
      <alignment horizontal="justify" vertical="center"/>
    </xf>
    <xf numFmtId="0" fontId="29" fillId="0" borderId="1" xfId="0" applyFont="1" applyBorder="1" applyAlignment="1">
      <alignment horizontal="justify" vertical="center" wrapText="1"/>
    </xf>
    <xf numFmtId="0" fontId="29" fillId="0" borderId="17" xfId="0" applyFont="1" applyBorder="1" applyAlignment="1">
      <alignment horizontal="justify" vertical="center" wrapText="1"/>
    </xf>
    <xf numFmtId="0" fontId="29" fillId="0" borderId="11" xfId="0" applyFont="1" applyBorder="1" applyAlignment="1">
      <alignment horizontal="justify"/>
    </xf>
    <xf numFmtId="0" fontId="29" fillId="0" borderId="0" xfId="0" applyFont="1" applyAlignment="1">
      <alignment horizontal="justify" vertical="center" wrapText="1"/>
    </xf>
    <xf numFmtId="0" fontId="9" fillId="0" borderId="0" xfId="0" applyFont="1" applyAlignment="1">
      <alignment horizontal="justify" vertical="top" wrapText="1"/>
    </xf>
    <xf numFmtId="0" fontId="10" fillId="0" borderId="0" xfId="0" applyFont="1" applyAlignment="1">
      <alignment horizontal="right" vertical="top" wrapText="1"/>
    </xf>
    <xf numFmtId="0" fontId="39" fillId="0" borderId="0" xfId="0" applyFont="1" applyAlignment="1">
      <alignment horizontal="justify" vertical="top" wrapText="1"/>
    </xf>
    <xf numFmtId="0" fontId="39" fillId="0" borderId="0" xfId="0" applyFont="1" applyAlignment="1">
      <alignment horizontal="justify" vertical="center" wrapText="1"/>
    </xf>
    <xf numFmtId="0" fontId="15" fillId="0" borderId="0" xfId="0" applyFont="1" applyAlignment="1">
      <alignment horizontal="left"/>
    </xf>
    <xf numFmtId="0" fontId="40" fillId="0" borderId="0" xfId="0" applyFont="1" applyAlignment="1">
      <alignment vertical="center" wrapText="1"/>
    </xf>
    <xf numFmtId="0" fontId="15" fillId="0" borderId="0" xfId="0" applyFont="1" applyAlignment="1">
      <alignment vertical="top" wrapText="1"/>
    </xf>
    <xf numFmtId="0" fontId="40" fillId="0" borderId="0" xfId="0" applyFont="1" applyAlignment="1">
      <alignment horizontal="justify" vertical="center" wrapText="1"/>
    </xf>
    <xf numFmtId="0" fontId="18" fillId="0" borderId="0" xfId="0" applyFont="1" applyAlignment="1">
      <alignment horizontal="left"/>
    </xf>
    <xf numFmtId="0" fontId="18" fillId="0" borderId="0" xfId="0" applyFont="1" applyAlignment="1">
      <alignment horizontal="justify" vertical="top" wrapText="1" readingOrder="1"/>
    </xf>
    <xf numFmtId="0" fontId="17" fillId="0" borderId="0" xfId="0" applyFont="1" applyAlignment="1">
      <alignment horizontal="center" wrapText="1"/>
    </xf>
    <xf numFmtId="0" fontId="42" fillId="0" borderId="0" xfId="0" applyFont="1" applyAlignment="1">
      <alignment horizontal="left" vertical="center" wrapText="1" readingOrder="1"/>
    </xf>
    <xf numFmtId="0" fontId="18" fillId="0" borderId="0" xfId="0" applyFont="1" applyAlignment="1">
      <alignment horizontal="left" wrapText="1"/>
    </xf>
    <xf numFmtId="0" fontId="17" fillId="0" borderId="4" xfId="0" applyFont="1" applyBorder="1" applyAlignment="1">
      <alignment horizontal="left" vertical="top"/>
    </xf>
    <xf numFmtId="0" fontId="17" fillId="8" borderId="3" xfId="0" applyFont="1" applyFill="1" applyBorder="1" applyAlignment="1">
      <alignment horizontal="center" vertical="center" wrapText="1"/>
    </xf>
    <xf numFmtId="0" fontId="17" fillId="8" borderId="2" xfId="0" applyFont="1" applyFill="1" applyBorder="1" applyAlignment="1">
      <alignment horizontal="center" vertical="center" wrapText="1"/>
    </xf>
    <xf numFmtId="0" fontId="18" fillId="0" borderId="1" xfId="0" applyFont="1" applyBorder="1" applyAlignment="1">
      <alignment horizontal="center" vertical="center" wrapText="1"/>
    </xf>
    <xf numFmtId="0" fontId="18" fillId="0" borderId="3" xfId="0" applyFont="1" applyBorder="1" applyAlignment="1">
      <alignment horizontal="center" vertical="center" wrapText="1"/>
    </xf>
    <xf numFmtId="0" fontId="18" fillId="0" borderId="2" xfId="0" applyFont="1" applyBorder="1" applyAlignment="1">
      <alignment horizontal="center" vertical="center" wrapText="1"/>
    </xf>
    <xf numFmtId="0" fontId="7" fillId="12" borderId="0" xfId="0" applyFont="1" applyFill="1"/>
    <xf numFmtId="0" fontId="7" fillId="12" borderId="1" xfId="0" applyFont="1" applyFill="1" applyBorder="1"/>
  </cellXfs>
  <cellStyles count="1786">
    <cellStyle name="Обычный" xfId="0" builtinId="0"/>
    <cellStyle name="Обычный 10" xfId="72" xr:uid="{00000000-0005-0000-0000-000001000000}"/>
    <cellStyle name="Обычный 10 2" xfId="208" xr:uid="{00000000-0005-0000-0000-000002000000}"/>
    <cellStyle name="Обычный 10 2 2" xfId="480" xr:uid="{00000000-0005-0000-0000-000003000000}"/>
    <cellStyle name="Обычный 10 2 2 2" xfId="591" xr:uid="{00000000-0005-0000-0000-000004000000}"/>
    <cellStyle name="Обычный 10 2 3" xfId="575" xr:uid="{00000000-0005-0000-0000-000005000000}"/>
    <cellStyle name="Обычный 10 2 4" xfId="1712" xr:uid="{00000000-0005-0000-0000-000006000000}"/>
    <cellStyle name="Обычный 10 3" xfId="344" xr:uid="{00000000-0005-0000-0000-000007000000}"/>
    <cellStyle name="Обычный 10 3 2" xfId="583" xr:uid="{00000000-0005-0000-0000-000008000000}"/>
    <cellStyle name="Обычный 10 4" xfId="601" xr:uid="{00000000-0005-0000-0000-000009000000}"/>
    <cellStyle name="Обычный 10 4 2" xfId="1055" xr:uid="{00000000-0005-0000-0000-00000A000000}"/>
    <cellStyle name="Обычный 10 5" xfId="567" xr:uid="{00000000-0005-0000-0000-00000B000000}"/>
    <cellStyle name="Обычный 10 6" xfId="1576" xr:uid="{00000000-0005-0000-0000-00000C000000}"/>
    <cellStyle name="Обычный 10 7" xfId="803" xr:uid="{00000000-0005-0000-0000-00000D000000}"/>
    <cellStyle name="Обычный 11" xfId="73" xr:uid="{00000000-0005-0000-0000-00000E000000}"/>
    <cellStyle name="Обычный 11 2" xfId="209" xr:uid="{00000000-0005-0000-0000-00000F000000}"/>
    <cellStyle name="Обычный 11 2 2" xfId="481" xr:uid="{00000000-0005-0000-0000-000010000000}"/>
    <cellStyle name="Обычный 11 2 2 2" xfId="592" xr:uid="{00000000-0005-0000-0000-000011000000}"/>
    <cellStyle name="Обычный 11 2 3" xfId="576" xr:uid="{00000000-0005-0000-0000-000012000000}"/>
    <cellStyle name="Обычный 11 2 4" xfId="1713" xr:uid="{00000000-0005-0000-0000-000013000000}"/>
    <cellStyle name="Обычный 11 3" xfId="345" xr:uid="{00000000-0005-0000-0000-000014000000}"/>
    <cellStyle name="Обычный 11 3 2" xfId="584" xr:uid="{00000000-0005-0000-0000-000015000000}"/>
    <cellStyle name="Обычный 11 4" xfId="617" xr:uid="{00000000-0005-0000-0000-000016000000}"/>
    <cellStyle name="Обычный 11 4 2" xfId="1056" xr:uid="{00000000-0005-0000-0000-000017000000}"/>
    <cellStyle name="Обычный 11 5" xfId="568" xr:uid="{00000000-0005-0000-0000-000018000000}"/>
    <cellStyle name="Обычный 11 6" xfId="1577" xr:uid="{00000000-0005-0000-0000-000019000000}"/>
    <cellStyle name="Обычный 11 7" xfId="804" xr:uid="{00000000-0005-0000-0000-00001A000000}"/>
    <cellStyle name="Обычный 12" xfId="593" xr:uid="{00000000-0005-0000-0000-00001B000000}"/>
    <cellStyle name="Обычный 2" xfId="63" xr:uid="{00000000-0005-0000-0000-00001C000000}"/>
    <cellStyle name="Обычный 2 2" xfId="615" xr:uid="{00000000-0005-0000-0000-00001D000000}"/>
    <cellStyle name="Обычный 3" xfId="64" xr:uid="{00000000-0005-0000-0000-00001E000000}"/>
    <cellStyle name="Обычный 3 2" xfId="600" xr:uid="{00000000-0005-0000-0000-00001F000000}"/>
    <cellStyle name="Обычный 4" xfId="66" xr:uid="{00000000-0005-0000-0000-000020000000}"/>
    <cellStyle name="Обычный 4 2" xfId="202" xr:uid="{00000000-0005-0000-0000-000021000000}"/>
    <cellStyle name="Обычный 4 2 2" xfId="474" xr:uid="{00000000-0005-0000-0000-000022000000}"/>
    <cellStyle name="Обычный 4 2 2 2" xfId="585" xr:uid="{00000000-0005-0000-0000-000023000000}"/>
    <cellStyle name="Обычный 4 2 3" xfId="569" xr:uid="{00000000-0005-0000-0000-000024000000}"/>
    <cellStyle name="Обычный 4 2 4" xfId="1706" xr:uid="{00000000-0005-0000-0000-000025000000}"/>
    <cellStyle name="Обычный 4 3" xfId="338" xr:uid="{00000000-0005-0000-0000-000026000000}"/>
    <cellStyle name="Обычный 4 3 2" xfId="577" xr:uid="{00000000-0005-0000-0000-000027000000}"/>
    <cellStyle name="Обычный 4 4" xfId="594" xr:uid="{00000000-0005-0000-0000-000028000000}"/>
    <cellStyle name="Обычный 4 4 2" xfId="1049" xr:uid="{00000000-0005-0000-0000-000029000000}"/>
    <cellStyle name="Обычный 4 5" xfId="561" xr:uid="{00000000-0005-0000-0000-00002A000000}"/>
    <cellStyle name="Обычный 4 6" xfId="1570" xr:uid="{00000000-0005-0000-0000-00002B000000}"/>
    <cellStyle name="Обычный 4 7" xfId="797" xr:uid="{00000000-0005-0000-0000-00002C000000}"/>
    <cellStyle name="Обычный 5" xfId="67" xr:uid="{00000000-0005-0000-0000-00002D000000}"/>
    <cellStyle name="Обычный 5 2" xfId="203" xr:uid="{00000000-0005-0000-0000-00002E000000}"/>
    <cellStyle name="Обычный 5 2 2" xfId="475" xr:uid="{00000000-0005-0000-0000-00002F000000}"/>
    <cellStyle name="Обычный 5 2 2 2" xfId="586" xr:uid="{00000000-0005-0000-0000-000030000000}"/>
    <cellStyle name="Обычный 5 2 3" xfId="570" xr:uid="{00000000-0005-0000-0000-000031000000}"/>
    <cellStyle name="Обычный 5 2 4" xfId="1707" xr:uid="{00000000-0005-0000-0000-000032000000}"/>
    <cellStyle name="Обычный 5 3" xfId="339" xr:uid="{00000000-0005-0000-0000-000033000000}"/>
    <cellStyle name="Обычный 5 3 2" xfId="578" xr:uid="{00000000-0005-0000-0000-000034000000}"/>
    <cellStyle name="Обычный 5 4" xfId="597" xr:uid="{00000000-0005-0000-0000-000035000000}"/>
    <cellStyle name="Обычный 5 4 2" xfId="1050" xr:uid="{00000000-0005-0000-0000-000036000000}"/>
    <cellStyle name="Обычный 5 5" xfId="562" xr:uid="{00000000-0005-0000-0000-000037000000}"/>
    <cellStyle name="Обычный 5 6" xfId="1571" xr:uid="{00000000-0005-0000-0000-000038000000}"/>
    <cellStyle name="Обычный 5 7" xfId="798" xr:uid="{00000000-0005-0000-0000-000039000000}"/>
    <cellStyle name="Обычный 6" xfId="68" xr:uid="{00000000-0005-0000-0000-00003A000000}"/>
    <cellStyle name="Обычный 6 2" xfId="204" xr:uid="{00000000-0005-0000-0000-00003B000000}"/>
    <cellStyle name="Обычный 6 2 2" xfId="476" xr:uid="{00000000-0005-0000-0000-00003C000000}"/>
    <cellStyle name="Обычный 6 2 2 2" xfId="587" xr:uid="{00000000-0005-0000-0000-00003D000000}"/>
    <cellStyle name="Обычный 6 2 3" xfId="571" xr:uid="{00000000-0005-0000-0000-00003E000000}"/>
    <cellStyle name="Обычный 6 2 4" xfId="1708" xr:uid="{00000000-0005-0000-0000-00003F000000}"/>
    <cellStyle name="Обычный 6 3" xfId="340" xr:uid="{00000000-0005-0000-0000-000040000000}"/>
    <cellStyle name="Обычный 6 3 2" xfId="579" xr:uid="{00000000-0005-0000-0000-000041000000}"/>
    <cellStyle name="Обычный 6 4" xfId="603" xr:uid="{00000000-0005-0000-0000-000042000000}"/>
    <cellStyle name="Обычный 6 4 2" xfId="1051" xr:uid="{00000000-0005-0000-0000-000043000000}"/>
    <cellStyle name="Обычный 6 5" xfId="563" xr:uid="{00000000-0005-0000-0000-000044000000}"/>
    <cellStyle name="Обычный 6 6" xfId="1572" xr:uid="{00000000-0005-0000-0000-000045000000}"/>
    <cellStyle name="Обычный 6 7" xfId="799" xr:uid="{00000000-0005-0000-0000-000046000000}"/>
    <cellStyle name="Обычный 7" xfId="69" xr:uid="{00000000-0005-0000-0000-000047000000}"/>
    <cellStyle name="Обычный 7 2" xfId="205" xr:uid="{00000000-0005-0000-0000-000048000000}"/>
    <cellStyle name="Обычный 7 2 2" xfId="477" xr:uid="{00000000-0005-0000-0000-000049000000}"/>
    <cellStyle name="Обычный 7 2 2 2" xfId="588" xr:uid="{00000000-0005-0000-0000-00004A000000}"/>
    <cellStyle name="Обычный 7 2 3" xfId="572" xr:uid="{00000000-0005-0000-0000-00004B000000}"/>
    <cellStyle name="Обычный 7 2 4" xfId="1709" xr:uid="{00000000-0005-0000-0000-00004C000000}"/>
    <cellStyle name="Обычный 7 3" xfId="341" xr:uid="{00000000-0005-0000-0000-00004D000000}"/>
    <cellStyle name="Обычный 7 3 2" xfId="580" xr:uid="{00000000-0005-0000-0000-00004E000000}"/>
    <cellStyle name="Обычный 7 4" xfId="604" xr:uid="{00000000-0005-0000-0000-00004F000000}"/>
    <cellStyle name="Обычный 7 4 2" xfId="1052" xr:uid="{00000000-0005-0000-0000-000050000000}"/>
    <cellStyle name="Обычный 7 5" xfId="564" xr:uid="{00000000-0005-0000-0000-000051000000}"/>
    <cellStyle name="Обычный 7 6" xfId="1573" xr:uid="{00000000-0005-0000-0000-000052000000}"/>
    <cellStyle name="Обычный 7 7" xfId="800" xr:uid="{00000000-0005-0000-0000-000053000000}"/>
    <cellStyle name="Обычный 8" xfId="70" xr:uid="{00000000-0005-0000-0000-000054000000}"/>
    <cellStyle name="Обычный 8 2" xfId="206" xr:uid="{00000000-0005-0000-0000-000055000000}"/>
    <cellStyle name="Обычный 8 2 2" xfId="478" xr:uid="{00000000-0005-0000-0000-000056000000}"/>
    <cellStyle name="Обычный 8 2 2 2" xfId="589" xr:uid="{00000000-0005-0000-0000-000057000000}"/>
    <cellStyle name="Обычный 8 2 3" xfId="573" xr:uid="{00000000-0005-0000-0000-000058000000}"/>
    <cellStyle name="Обычный 8 2 4" xfId="1710" xr:uid="{00000000-0005-0000-0000-000059000000}"/>
    <cellStyle name="Обычный 8 3" xfId="342" xr:uid="{00000000-0005-0000-0000-00005A000000}"/>
    <cellStyle name="Обычный 8 3 2" xfId="581" xr:uid="{00000000-0005-0000-0000-00005B000000}"/>
    <cellStyle name="Обычный 8 4" xfId="605" xr:uid="{00000000-0005-0000-0000-00005C000000}"/>
    <cellStyle name="Обычный 8 4 2" xfId="1053" xr:uid="{00000000-0005-0000-0000-00005D000000}"/>
    <cellStyle name="Обычный 8 5" xfId="565" xr:uid="{00000000-0005-0000-0000-00005E000000}"/>
    <cellStyle name="Обычный 8 6" xfId="1574" xr:uid="{00000000-0005-0000-0000-00005F000000}"/>
    <cellStyle name="Обычный 8 7" xfId="801" xr:uid="{00000000-0005-0000-0000-000060000000}"/>
    <cellStyle name="Обычный 9" xfId="71" xr:uid="{00000000-0005-0000-0000-000061000000}"/>
    <cellStyle name="Обычный 9 2" xfId="207" xr:uid="{00000000-0005-0000-0000-000062000000}"/>
    <cellStyle name="Обычный 9 2 2" xfId="479" xr:uid="{00000000-0005-0000-0000-000063000000}"/>
    <cellStyle name="Обычный 9 2 2 2" xfId="590" xr:uid="{00000000-0005-0000-0000-000064000000}"/>
    <cellStyle name="Обычный 9 2 3" xfId="574" xr:uid="{00000000-0005-0000-0000-000065000000}"/>
    <cellStyle name="Обычный 9 2 4" xfId="1711" xr:uid="{00000000-0005-0000-0000-000066000000}"/>
    <cellStyle name="Обычный 9 3" xfId="343" xr:uid="{00000000-0005-0000-0000-000067000000}"/>
    <cellStyle name="Обычный 9 3 2" xfId="582" xr:uid="{00000000-0005-0000-0000-000068000000}"/>
    <cellStyle name="Обычный 9 4" xfId="606" xr:uid="{00000000-0005-0000-0000-000069000000}"/>
    <cellStyle name="Обычный 9 4 2" xfId="1054" xr:uid="{00000000-0005-0000-0000-00006A000000}"/>
    <cellStyle name="Обычный 9 5" xfId="566" xr:uid="{00000000-0005-0000-0000-00006B000000}"/>
    <cellStyle name="Обычный 9 6" xfId="1575" xr:uid="{00000000-0005-0000-0000-00006C000000}"/>
    <cellStyle name="Обычный 9 7" xfId="802" xr:uid="{00000000-0005-0000-0000-00006D000000}"/>
    <cellStyle name="Процентный" xfId="559" builtinId="5"/>
    <cellStyle name="Процентный 2" xfId="732" xr:uid="{00000000-0005-0000-0000-00006F000000}"/>
    <cellStyle name="Финансовый" xfId="1" builtinId="3"/>
    <cellStyle name="Финансовый [0] 2" xfId="560" xr:uid="{00000000-0005-0000-0000-000071000000}"/>
    <cellStyle name="Финансовый 10" xfId="125" xr:uid="{00000000-0005-0000-0000-000072000000}"/>
    <cellStyle name="Финансовый 10 2" xfId="261" xr:uid="{00000000-0005-0000-0000-000073000000}"/>
    <cellStyle name="Финансовый 10 2 2" xfId="533" xr:uid="{00000000-0005-0000-0000-000074000000}"/>
    <cellStyle name="Финансовый 10 2 2 2" xfId="1492" xr:uid="{00000000-0005-0000-0000-000075000000}"/>
    <cellStyle name="Финансовый 10 2 3" xfId="1236" xr:uid="{00000000-0005-0000-0000-000076000000}"/>
    <cellStyle name="Финансовый 10 2 4" xfId="1765" xr:uid="{00000000-0005-0000-0000-000077000000}"/>
    <cellStyle name="Финансовый 10 3" xfId="397" xr:uid="{00000000-0005-0000-0000-000078000000}"/>
    <cellStyle name="Финансовый 10 3 2" xfId="1364" xr:uid="{00000000-0005-0000-0000-000079000000}"/>
    <cellStyle name="Финансовый 10 4" xfId="619" xr:uid="{00000000-0005-0000-0000-00007A000000}"/>
    <cellStyle name="Финансовый 10 4 2" xfId="1108" xr:uid="{00000000-0005-0000-0000-00007B000000}"/>
    <cellStyle name="Финансовый 10 5" xfId="984" xr:uid="{00000000-0005-0000-0000-00007C000000}"/>
    <cellStyle name="Финансовый 10 6" xfId="1629" xr:uid="{00000000-0005-0000-0000-00007D000000}"/>
    <cellStyle name="Финансовый 10 7" xfId="856" xr:uid="{00000000-0005-0000-0000-00007E000000}"/>
    <cellStyle name="Финансовый 11" xfId="61" xr:uid="{00000000-0005-0000-0000-00007F000000}"/>
    <cellStyle name="Финансовый 11 2" xfId="199" xr:uid="{00000000-0005-0000-0000-000080000000}"/>
    <cellStyle name="Финансовый 11 2 2" xfId="471" xr:uid="{00000000-0005-0000-0000-000081000000}"/>
    <cellStyle name="Финансовый 11 2 2 2" xfId="1438" xr:uid="{00000000-0005-0000-0000-000082000000}"/>
    <cellStyle name="Финансовый 11 2 3" xfId="1182" xr:uid="{00000000-0005-0000-0000-000083000000}"/>
    <cellStyle name="Финансовый 11 2 4" xfId="1703" xr:uid="{00000000-0005-0000-0000-000084000000}"/>
    <cellStyle name="Финансовый 11 3" xfId="335" xr:uid="{00000000-0005-0000-0000-000085000000}"/>
    <cellStyle name="Финансовый 11 3 2" xfId="1310" xr:uid="{00000000-0005-0000-0000-000086000000}"/>
    <cellStyle name="Финансовый 11 4" xfId="611" xr:uid="{00000000-0005-0000-0000-000087000000}"/>
    <cellStyle name="Финансовый 11 4 2" xfId="1046" xr:uid="{00000000-0005-0000-0000-000088000000}"/>
    <cellStyle name="Финансовый 11 5" xfId="930" xr:uid="{00000000-0005-0000-0000-000089000000}"/>
    <cellStyle name="Финансовый 11 6" xfId="1566" xr:uid="{00000000-0005-0000-0000-00008A000000}"/>
    <cellStyle name="Финансовый 11 7" xfId="793" xr:uid="{00000000-0005-0000-0000-00008B000000}"/>
    <cellStyle name="Финансовый 12" xfId="49" xr:uid="{00000000-0005-0000-0000-00008C000000}"/>
    <cellStyle name="Финансовый 12 2" xfId="187" xr:uid="{00000000-0005-0000-0000-00008D000000}"/>
    <cellStyle name="Финансовый 12 2 2" xfId="459" xr:uid="{00000000-0005-0000-0000-00008E000000}"/>
    <cellStyle name="Финансовый 12 2 2 2" xfId="1426" xr:uid="{00000000-0005-0000-0000-00008F000000}"/>
    <cellStyle name="Финансовый 12 2 3" xfId="1170" xr:uid="{00000000-0005-0000-0000-000090000000}"/>
    <cellStyle name="Финансовый 12 2 4" xfId="1691" xr:uid="{00000000-0005-0000-0000-000091000000}"/>
    <cellStyle name="Финансовый 12 3" xfId="323" xr:uid="{00000000-0005-0000-0000-000092000000}"/>
    <cellStyle name="Финансовый 12 3 2" xfId="1298" xr:uid="{00000000-0005-0000-0000-000093000000}"/>
    <cellStyle name="Финансовый 12 4" xfId="613" xr:uid="{00000000-0005-0000-0000-000094000000}"/>
    <cellStyle name="Финансовый 12 4 2" xfId="1034" xr:uid="{00000000-0005-0000-0000-000095000000}"/>
    <cellStyle name="Финансовый 12 5" xfId="918" xr:uid="{00000000-0005-0000-0000-000096000000}"/>
    <cellStyle name="Финансовый 12 6" xfId="1554" xr:uid="{00000000-0005-0000-0000-000097000000}"/>
    <cellStyle name="Финансовый 12 7" xfId="781" xr:uid="{00000000-0005-0000-0000-000098000000}"/>
    <cellStyle name="Финансовый 13" xfId="127" xr:uid="{00000000-0005-0000-0000-000099000000}"/>
    <cellStyle name="Финансовый 13 2" xfId="263" xr:uid="{00000000-0005-0000-0000-00009A000000}"/>
    <cellStyle name="Финансовый 13 2 2" xfId="535" xr:uid="{00000000-0005-0000-0000-00009B000000}"/>
    <cellStyle name="Финансовый 13 2 2 2" xfId="1494" xr:uid="{00000000-0005-0000-0000-00009C000000}"/>
    <cellStyle name="Финансовый 13 2 3" xfId="1238" xr:uid="{00000000-0005-0000-0000-00009D000000}"/>
    <cellStyle name="Финансовый 13 2 4" xfId="1767" xr:uid="{00000000-0005-0000-0000-00009E000000}"/>
    <cellStyle name="Финансовый 13 3" xfId="399" xr:uid="{00000000-0005-0000-0000-00009F000000}"/>
    <cellStyle name="Финансовый 13 3 2" xfId="1366" xr:uid="{00000000-0005-0000-0000-0000A0000000}"/>
    <cellStyle name="Финансовый 13 4" xfId="614" xr:uid="{00000000-0005-0000-0000-0000A1000000}"/>
    <cellStyle name="Финансовый 13 4 2" xfId="1110" xr:uid="{00000000-0005-0000-0000-0000A2000000}"/>
    <cellStyle name="Финансовый 13 5" xfId="986" xr:uid="{00000000-0005-0000-0000-0000A3000000}"/>
    <cellStyle name="Финансовый 13 6" xfId="1631" xr:uid="{00000000-0005-0000-0000-0000A4000000}"/>
    <cellStyle name="Финансовый 13 7" xfId="858" xr:uid="{00000000-0005-0000-0000-0000A5000000}"/>
    <cellStyle name="Финансовый 14" xfId="25" xr:uid="{00000000-0005-0000-0000-0000A6000000}"/>
    <cellStyle name="Финансовый 14 2" xfId="163" xr:uid="{00000000-0005-0000-0000-0000A7000000}"/>
    <cellStyle name="Финансовый 14 2 2" xfId="435" xr:uid="{00000000-0005-0000-0000-0000A8000000}"/>
    <cellStyle name="Финансовый 14 2 2 2" xfId="1402" xr:uid="{00000000-0005-0000-0000-0000A9000000}"/>
    <cellStyle name="Финансовый 14 2 3" xfId="1146" xr:uid="{00000000-0005-0000-0000-0000AA000000}"/>
    <cellStyle name="Финансовый 14 2 4" xfId="1667" xr:uid="{00000000-0005-0000-0000-0000AB000000}"/>
    <cellStyle name="Финансовый 14 3" xfId="299" xr:uid="{00000000-0005-0000-0000-0000AC000000}"/>
    <cellStyle name="Финансовый 14 3 2" xfId="1274" xr:uid="{00000000-0005-0000-0000-0000AD000000}"/>
    <cellStyle name="Финансовый 14 4" xfId="616" xr:uid="{00000000-0005-0000-0000-0000AE000000}"/>
    <cellStyle name="Финансовый 14 4 2" xfId="1010" xr:uid="{00000000-0005-0000-0000-0000AF000000}"/>
    <cellStyle name="Финансовый 14 5" xfId="894" xr:uid="{00000000-0005-0000-0000-0000B0000000}"/>
    <cellStyle name="Финансовый 14 6" xfId="1530" xr:uid="{00000000-0005-0000-0000-0000B1000000}"/>
    <cellStyle name="Финансовый 14 7" xfId="757" xr:uid="{00000000-0005-0000-0000-0000B2000000}"/>
    <cellStyle name="Финансовый 15" xfId="13" xr:uid="{00000000-0005-0000-0000-0000B3000000}"/>
    <cellStyle name="Финансовый 15 2" xfId="151" xr:uid="{00000000-0005-0000-0000-0000B4000000}"/>
    <cellStyle name="Финансовый 15 2 2" xfId="423" xr:uid="{00000000-0005-0000-0000-0000B5000000}"/>
    <cellStyle name="Финансовый 15 2 2 2" xfId="1390" xr:uid="{00000000-0005-0000-0000-0000B6000000}"/>
    <cellStyle name="Финансовый 15 2 3" xfId="1134" xr:uid="{00000000-0005-0000-0000-0000B7000000}"/>
    <cellStyle name="Финансовый 15 2 4" xfId="1655" xr:uid="{00000000-0005-0000-0000-0000B8000000}"/>
    <cellStyle name="Финансовый 15 3" xfId="287" xr:uid="{00000000-0005-0000-0000-0000B9000000}"/>
    <cellStyle name="Финансовый 15 3 2" xfId="1262" xr:uid="{00000000-0005-0000-0000-0000BA000000}"/>
    <cellStyle name="Финансовый 15 4" xfId="610" xr:uid="{00000000-0005-0000-0000-0000BB000000}"/>
    <cellStyle name="Финансовый 15 4 2" xfId="998" xr:uid="{00000000-0005-0000-0000-0000BC000000}"/>
    <cellStyle name="Финансовый 15 5" xfId="882" xr:uid="{00000000-0005-0000-0000-0000BD000000}"/>
    <cellStyle name="Финансовый 15 6" xfId="1518" xr:uid="{00000000-0005-0000-0000-0000BE000000}"/>
    <cellStyle name="Финансовый 15 7" xfId="745" xr:uid="{00000000-0005-0000-0000-0000BF000000}"/>
    <cellStyle name="Финансовый 16" xfId="139" xr:uid="{00000000-0005-0000-0000-0000C0000000}"/>
    <cellStyle name="Финансовый 16 2" xfId="411" xr:uid="{00000000-0005-0000-0000-0000C1000000}"/>
    <cellStyle name="Финансовый 16 2 2" xfId="1378" xr:uid="{00000000-0005-0000-0000-0000C2000000}"/>
    <cellStyle name="Финансовый 16 3" xfId="1122" xr:uid="{00000000-0005-0000-0000-0000C3000000}"/>
    <cellStyle name="Финансовый 16 4" xfId="1643" xr:uid="{00000000-0005-0000-0000-0000C4000000}"/>
    <cellStyle name="Финансовый 17" xfId="547" xr:uid="{00000000-0005-0000-0000-0000C5000000}"/>
    <cellStyle name="Финансовый 17 2" xfId="1250" xr:uid="{00000000-0005-0000-0000-0000C6000000}"/>
    <cellStyle name="Финансовый 18" xfId="275" xr:uid="{00000000-0005-0000-0000-0000C7000000}"/>
    <cellStyle name="Финансовый 19" xfId="596" xr:uid="{00000000-0005-0000-0000-0000C8000000}"/>
    <cellStyle name="Финансовый 19 2" xfId="870" xr:uid="{00000000-0005-0000-0000-0000C9000000}"/>
    <cellStyle name="Финансовый 2" xfId="2" xr:uid="{00000000-0005-0000-0000-0000CA000000}"/>
    <cellStyle name="Финансовый 2 10" xfId="62" xr:uid="{00000000-0005-0000-0000-0000CB000000}"/>
    <cellStyle name="Финансовый 2 10 2" xfId="200" xr:uid="{00000000-0005-0000-0000-0000CC000000}"/>
    <cellStyle name="Финансовый 2 10 2 2" xfId="472" xr:uid="{00000000-0005-0000-0000-0000CD000000}"/>
    <cellStyle name="Финансовый 2 10 2 2 2" xfId="1439" xr:uid="{00000000-0005-0000-0000-0000CE000000}"/>
    <cellStyle name="Финансовый 2 10 2 3" xfId="1183" xr:uid="{00000000-0005-0000-0000-0000CF000000}"/>
    <cellStyle name="Финансовый 2 10 2 4" xfId="1704" xr:uid="{00000000-0005-0000-0000-0000D0000000}"/>
    <cellStyle name="Финансовый 2 10 3" xfId="336" xr:uid="{00000000-0005-0000-0000-0000D1000000}"/>
    <cellStyle name="Финансовый 2 10 3 2" xfId="1311" xr:uid="{00000000-0005-0000-0000-0000D2000000}"/>
    <cellStyle name="Финансовый 2 10 4" xfId="623" xr:uid="{00000000-0005-0000-0000-0000D3000000}"/>
    <cellStyle name="Финансовый 2 10 4 2" xfId="1047" xr:uid="{00000000-0005-0000-0000-0000D4000000}"/>
    <cellStyle name="Финансовый 2 10 5" xfId="931" xr:uid="{00000000-0005-0000-0000-0000D5000000}"/>
    <cellStyle name="Финансовый 2 10 6" xfId="1567" xr:uid="{00000000-0005-0000-0000-0000D6000000}"/>
    <cellStyle name="Финансовый 2 10 7" xfId="794" xr:uid="{00000000-0005-0000-0000-0000D7000000}"/>
    <cellStyle name="Финансовый 2 11" xfId="50" xr:uid="{00000000-0005-0000-0000-0000D8000000}"/>
    <cellStyle name="Финансовый 2 11 2" xfId="188" xr:uid="{00000000-0005-0000-0000-0000D9000000}"/>
    <cellStyle name="Финансовый 2 11 2 2" xfId="460" xr:uid="{00000000-0005-0000-0000-0000DA000000}"/>
    <cellStyle name="Финансовый 2 11 2 2 2" xfId="1427" xr:uid="{00000000-0005-0000-0000-0000DB000000}"/>
    <cellStyle name="Финансовый 2 11 2 3" xfId="1171" xr:uid="{00000000-0005-0000-0000-0000DC000000}"/>
    <cellStyle name="Финансовый 2 11 2 4" xfId="1692" xr:uid="{00000000-0005-0000-0000-0000DD000000}"/>
    <cellStyle name="Финансовый 2 11 3" xfId="324" xr:uid="{00000000-0005-0000-0000-0000DE000000}"/>
    <cellStyle name="Финансовый 2 11 3 2" xfId="1299" xr:uid="{00000000-0005-0000-0000-0000DF000000}"/>
    <cellStyle name="Финансовый 2 11 4" xfId="609" xr:uid="{00000000-0005-0000-0000-0000E0000000}"/>
    <cellStyle name="Финансовый 2 11 4 2" xfId="1035" xr:uid="{00000000-0005-0000-0000-0000E1000000}"/>
    <cellStyle name="Финансовый 2 11 5" xfId="919" xr:uid="{00000000-0005-0000-0000-0000E2000000}"/>
    <cellStyle name="Финансовый 2 11 6" xfId="1555" xr:uid="{00000000-0005-0000-0000-0000E3000000}"/>
    <cellStyle name="Финансовый 2 11 7" xfId="782" xr:uid="{00000000-0005-0000-0000-0000E4000000}"/>
    <cellStyle name="Финансовый 2 12" xfId="128" xr:uid="{00000000-0005-0000-0000-0000E5000000}"/>
    <cellStyle name="Финансовый 2 12 2" xfId="264" xr:uid="{00000000-0005-0000-0000-0000E6000000}"/>
    <cellStyle name="Финансовый 2 12 2 2" xfId="536" xr:uid="{00000000-0005-0000-0000-0000E7000000}"/>
    <cellStyle name="Финансовый 2 12 2 2 2" xfId="1495" xr:uid="{00000000-0005-0000-0000-0000E8000000}"/>
    <cellStyle name="Финансовый 2 12 2 3" xfId="1239" xr:uid="{00000000-0005-0000-0000-0000E9000000}"/>
    <cellStyle name="Финансовый 2 12 2 4" xfId="1768" xr:uid="{00000000-0005-0000-0000-0000EA000000}"/>
    <cellStyle name="Финансовый 2 12 3" xfId="400" xr:uid="{00000000-0005-0000-0000-0000EB000000}"/>
    <cellStyle name="Финансовый 2 12 3 2" xfId="1367" xr:uid="{00000000-0005-0000-0000-0000EC000000}"/>
    <cellStyle name="Финансовый 2 12 4" xfId="625" xr:uid="{00000000-0005-0000-0000-0000ED000000}"/>
    <cellStyle name="Финансовый 2 12 4 2" xfId="1111" xr:uid="{00000000-0005-0000-0000-0000EE000000}"/>
    <cellStyle name="Финансовый 2 12 5" xfId="987" xr:uid="{00000000-0005-0000-0000-0000EF000000}"/>
    <cellStyle name="Финансовый 2 12 6" xfId="1632" xr:uid="{00000000-0005-0000-0000-0000F0000000}"/>
    <cellStyle name="Финансовый 2 12 7" xfId="859" xr:uid="{00000000-0005-0000-0000-0000F1000000}"/>
    <cellStyle name="Финансовый 2 13" xfId="26" xr:uid="{00000000-0005-0000-0000-0000F2000000}"/>
    <cellStyle name="Финансовый 2 13 2" xfId="164" xr:uid="{00000000-0005-0000-0000-0000F3000000}"/>
    <cellStyle name="Финансовый 2 13 2 2" xfId="436" xr:uid="{00000000-0005-0000-0000-0000F4000000}"/>
    <cellStyle name="Финансовый 2 13 2 2 2" xfId="1403" xr:uid="{00000000-0005-0000-0000-0000F5000000}"/>
    <cellStyle name="Финансовый 2 13 2 3" xfId="1147" xr:uid="{00000000-0005-0000-0000-0000F6000000}"/>
    <cellStyle name="Финансовый 2 13 2 4" xfId="1668" xr:uid="{00000000-0005-0000-0000-0000F7000000}"/>
    <cellStyle name="Финансовый 2 13 3" xfId="300" xr:uid="{00000000-0005-0000-0000-0000F8000000}"/>
    <cellStyle name="Финансовый 2 13 3 2" xfId="1275" xr:uid="{00000000-0005-0000-0000-0000F9000000}"/>
    <cellStyle name="Финансовый 2 13 4" xfId="626" xr:uid="{00000000-0005-0000-0000-0000FA000000}"/>
    <cellStyle name="Финансовый 2 13 4 2" xfId="1011" xr:uid="{00000000-0005-0000-0000-0000FB000000}"/>
    <cellStyle name="Финансовый 2 13 5" xfId="895" xr:uid="{00000000-0005-0000-0000-0000FC000000}"/>
    <cellStyle name="Финансовый 2 13 6" xfId="1531" xr:uid="{00000000-0005-0000-0000-0000FD000000}"/>
    <cellStyle name="Финансовый 2 13 7" xfId="758" xr:uid="{00000000-0005-0000-0000-0000FE000000}"/>
    <cellStyle name="Финансовый 2 14" xfId="14" xr:uid="{00000000-0005-0000-0000-0000FF000000}"/>
    <cellStyle name="Финансовый 2 14 2" xfId="152" xr:uid="{00000000-0005-0000-0000-000000010000}"/>
    <cellStyle name="Финансовый 2 14 2 2" xfId="424" xr:uid="{00000000-0005-0000-0000-000001010000}"/>
    <cellStyle name="Финансовый 2 14 2 2 2" xfId="1391" xr:uid="{00000000-0005-0000-0000-000002010000}"/>
    <cellStyle name="Финансовый 2 14 2 3" xfId="1135" xr:uid="{00000000-0005-0000-0000-000003010000}"/>
    <cellStyle name="Финансовый 2 14 2 4" xfId="1656" xr:uid="{00000000-0005-0000-0000-000004010000}"/>
    <cellStyle name="Финансовый 2 14 3" xfId="288" xr:uid="{00000000-0005-0000-0000-000005010000}"/>
    <cellStyle name="Финансовый 2 14 3 2" xfId="1263" xr:uid="{00000000-0005-0000-0000-000006010000}"/>
    <cellStyle name="Финансовый 2 14 4" xfId="627" xr:uid="{00000000-0005-0000-0000-000007010000}"/>
    <cellStyle name="Финансовый 2 14 4 2" xfId="999" xr:uid="{00000000-0005-0000-0000-000008010000}"/>
    <cellStyle name="Финансовый 2 14 5" xfId="883" xr:uid="{00000000-0005-0000-0000-000009010000}"/>
    <cellStyle name="Финансовый 2 14 6" xfId="1519" xr:uid="{00000000-0005-0000-0000-00000A010000}"/>
    <cellStyle name="Финансовый 2 14 7" xfId="746" xr:uid="{00000000-0005-0000-0000-00000B010000}"/>
    <cellStyle name="Финансовый 2 15" xfId="140" xr:uid="{00000000-0005-0000-0000-00000C010000}"/>
    <cellStyle name="Финансовый 2 15 2" xfId="412" xr:uid="{00000000-0005-0000-0000-00000D010000}"/>
    <cellStyle name="Финансовый 2 15 2 2" xfId="1379" xr:uid="{00000000-0005-0000-0000-00000E010000}"/>
    <cellStyle name="Финансовый 2 15 3" xfId="1123" xr:uid="{00000000-0005-0000-0000-00000F010000}"/>
    <cellStyle name="Финансовый 2 15 4" xfId="1644" xr:uid="{00000000-0005-0000-0000-000010010000}"/>
    <cellStyle name="Финансовый 2 16" xfId="548" xr:uid="{00000000-0005-0000-0000-000011010000}"/>
    <cellStyle name="Финансовый 2 16 2" xfId="1251" xr:uid="{00000000-0005-0000-0000-000012010000}"/>
    <cellStyle name="Финансовый 2 17" xfId="276" xr:uid="{00000000-0005-0000-0000-000013010000}"/>
    <cellStyle name="Финансовый 2 18" xfId="620" xr:uid="{00000000-0005-0000-0000-000014010000}"/>
    <cellStyle name="Финансовый 2 18 2" xfId="871" xr:uid="{00000000-0005-0000-0000-000015010000}"/>
    <cellStyle name="Финансовый 2 19" xfId="1507" xr:uid="{00000000-0005-0000-0000-000016010000}"/>
    <cellStyle name="Финансовый 2 2" xfId="4" xr:uid="{00000000-0005-0000-0000-000017010000}"/>
    <cellStyle name="Финансовый 2 2 10" xfId="28" xr:uid="{00000000-0005-0000-0000-000018010000}"/>
    <cellStyle name="Финансовый 2 2 10 2" xfId="166" xr:uid="{00000000-0005-0000-0000-000019010000}"/>
    <cellStyle name="Финансовый 2 2 10 2 2" xfId="438" xr:uid="{00000000-0005-0000-0000-00001A010000}"/>
    <cellStyle name="Финансовый 2 2 10 2 2 2" xfId="1405" xr:uid="{00000000-0005-0000-0000-00001B010000}"/>
    <cellStyle name="Финансовый 2 2 10 2 3" xfId="1149" xr:uid="{00000000-0005-0000-0000-00001C010000}"/>
    <cellStyle name="Финансовый 2 2 10 2 4" xfId="1670" xr:uid="{00000000-0005-0000-0000-00001D010000}"/>
    <cellStyle name="Финансовый 2 2 10 3" xfId="302" xr:uid="{00000000-0005-0000-0000-00001E010000}"/>
    <cellStyle name="Финансовый 2 2 10 3 2" xfId="1277" xr:uid="{00000000-0005-0000-0000-00001F010000}"/>
    <cellStyle name="Финансовый 2 2 10 4" xfId="630" xr:uid="{00000000-0005-0000-0000-000020010000}"/>
    <cellStyle name="Финансовый 2 2 10 4 2" xfId="1013" xr:uid="{00000000-0005-0000-0000-000021010000}"/>
    <cellStyle name="Финансовый 2 2 10 5" xfId="897" xr:uid="{00000000-0005-0000-0000-000022010000}"/>
    <cellStyle name="Финансовый 2 2 10 6" xfId="1533" xr:uid="{00000000-0005-0000-0000-000023010000}"/>
    <cellStyle name="Финансовый 2 2 10 7" xfId="760" xr:uid="{00000000-0005-0000-0000-000024010000}"/>
    <cellStyle name="Финансовый 2 2 11" xfId="16" xr:uid="{00000000-0005-0000-0000-000025010000}"/>
    <cellStyle name="Финансовый 2 2 11 2" xfId="154" xr:uid="{00000000-0005-0000-0000-000026010000}"/>
    <cellStyle name="Финансовый 2 2 11 2 2" xfId="426" xr:uid="{00000000-0005-0000-0000-000027010000}"/>
    <cellStyle name="Финансовый 2 2 11 2 2 2" xfId="1393" xr:uid="{00000000-0005-0000-0000-000028010000}"/>
    <cellStyle name="Финансовый 2 2 11 2 3" xfId="1137" xr:uid="{00000000-0005-0000-0000-000029010000}"/>
    <cellStyle name="Финансовый 2 2 11 2 4" xfId="1658" xr:uid="{00000000-0005-0000-0000-00002A010000}"/>
    <cellStyle name="Финансовый 2 2 11 3" xfId="290" xr:uid="{00000000-0005-0000-0000-00002B010000}"/>
    <cellStyle name="Финансовый 2 2 11 3 2" xfId="1265" xr:uid="{00000000-0005-0000-0000-00002C010000}"/>
    <cellStyle name="Финансовый 2 2 11 4" xfId="599" xr:uid="{00000000-0005-0000-0000-00002D010000}"/>
    <cellStyle name="Финансовый 2 2 11 4 2" xfId="1001" xr:uid="{00000000-0005-0000-0000-00002E010000}"/>
    <cellStyle name="Финансовый 2 2 11 5" xfId="885" xr:uid="{00000000-0005-0000-0000-00002F010000}"/>
    <cellStyle name="Финансовый 2 2 11 6" xfId="1521" xr:uid="{00000000-0005-0000-0000-000030010000}"/>
    <cellStyle name="Финансовый 2 2 11 7" xfId="748" xr:uid="{00000000-0005-0000-0000-000031010000}"/>
    <cellStyle name="Финансовый 2 2 12" xfId="142" xr:uid="{00000000-0005-0000-0000-000032010000}"/>
    <cellStyle name="Финансовый 2 2 12 2" xfId="414" xr:uid="{00000000-0005-0000-0000-000033010000}"/>
    <cellStyle name="Финансовый 2 2 12 2 2" xfId="1381" xr:uid="{00000000-0005-0000-0000-000034010000}"/>
    <cellStyle name="Финансовый 2 2 12 3" xfId="1125" xr:uid="{00000000-0005-0000-0000-000035010000}"/>
    <cellStyle name="Финансовый 2 2 12 4" xfId="1646" xr:uid="{00000000-0005-0000-0000-000036010000}"/>
    <cellStyle name="Финансовый 2 2 13" xfId="550" xr:uid="{00000000-0005-0000-0000-000037010000}"/>
    <cellStyle name="Финансовый 2 2 13 2" xfId="1253" xr:uid="{00000000-0005-0000-0000-000038010000}"/>
    <cellStyle name="Финансовый 2 2 14" xfId="278" xr:uid="{00000000-0005-0000-0000-000039010000}"/>
    <cellStyle name="Финансовый 2 2 15" xfId="629" xr:uid="{00000000-0005-0000-0000-00003A010000}"/>
    <cellStyle name="Финансовый 2 2 15 2" xfId="873" xr:uid="{00000000-0005-0000-0000-00003B010000}"/>
    <cellStyle name="Финансовый 2 2 16" xfId="1509" xr:uid="{00000000-0005-0000-0000-00003C010000}"/>
    <cellStyle name="Финансовый 2 2 17" xfId="736" xr:uid="{00000000-0005-0000-0000-00003D010000}"/>
    <cellStyle name="Финансовый 2 2 2" xfId="10" xr:uid="{00000000-0005-0000-0000-00003E010000}"/>
    <cellStyle name="Финансовый 2 2 2 10" xfId="556" xr:uid="{00000000-0005-0000-0000-00003F010000}"/>
    <cellStyle name="Финансовый 2 2 2 10 2" xfId="1259" xr:uid="{00000000-0005-0000-0000-000040010000}"/>
    <cellStyle name="Финансовый 2 2 2 11" xfId="284" xr:uid="{00000000-0005-0000-0000-000041010000}"/>
    <cellStyle name="Финансовый 2 2 2 12" xfId="632" xr:uid="{00000000-0005-0000-0000-000042010000}"/>
    <cellStyle name="Финансовый 2 2 2 12 2" xfId="879" xr:uid="{00000000-0005-0000-0000-000043010000}"/>
    <cellStyle name="Финансовый 2 2 2 13" xfId="1515" xr:uid="{00000000-0005-0000-0000-000044010000}"/>
    <cellStyle name="Финансовый 2 2 2 14" xfId="742" xr:uid="{00000000-0005-0000-0000-000045010000}"/>
    <cellStyle name="Финансовый 2 2 2 2" xfId="46" xr:uid="{00000000-0005-0000-0000-000046010000}"/>
    <cellStyle name="Финансовый 2 2 2 2 2" xfId="104" xr:uid="{00000000-0005-0000-0000-000047010000}"/>
    <cellStyle name="Финансовый 2 2 2 2 2 2" xfId="240" xr:uid="{00000000-0005-0000-0000-000048010000}"/>
    <cellStyle name="Финансовый 2 2 2 2 2 2 2" xfId="512" xr:uid="{00000000-0005-0000-0000-000049010000}"/>
    <cellStyle name="Финансовый 2 2 2 2 2 2 2 2" xfId="1471" xr:uid="{00000000-0005-0000-0000-00004A010000}"/>
    <cellStyle name="Финансовый 2 2 2 2 2 2 3" xfId="1215" xr:uid="{00000000-0005-0000-0000-00004B010000}"/>
    <cellStyle name="Финансовый 2 2 2 2 2 2 4" xfId="1744" xr:uid="{00000000-0005-0000-0000-00004C010000}"/>
    <cellStyle name="Финансовый 2 2 2 2 2 3" xfId="376" xr:uid="{00000000-0005-0000-0000-00004D010000}"/>
    <cellStyle name="Финансовый 2 2 2 2 2 3 2" xfId="1343" xr:uid="{00000000-0005-0000-0000-00004E010000}"/>
    <cellStyle name="Финансовый 2 2 2 2 2 4" xfId="635" xr:uid="{00000000-0005-0000-0000-00004F010000}"/>
    <cellStyle name="Финансовый 2 2 2 2 2 4 2" xfId="1087" xr:uid="{00000000-0005-0000-0000-000050010000}"/>
    <cellStyle name="Финансовый 2 2 2 2 2 5" xfId="963" xr:uid="{00000000-0005-0000-0000-000051010000}"/>
    <cellStyle name="Финансовый 2 2 2 2 2 6" xfId="1608" xr:uid="{00000000-0005-0000-0000-000052010000}"/>
    <cellStyle name="Финансовый 2 2 2 2 2 7" xfId="835" xr:uid="{00000000-0005-0000-0000-000053010000}"/>
    <cellStyle name="Финансовый 2 2 2 2 3" xfId="184" xr:uid="{00000000-0005-0000-0000-000054010000}"/>
    <cellStyle name="Финансовый 2 2 2 2 3 2" xfId="456" xr:uid="{00000000-0005-0000-0000-000055010000}"/>
    <cellStyle name="Финансовый 2 2 2 2 3 2 2" xfId="1423" xr:uid="{00000000-0005-0000-0000-000056010000}"/>
    <cellStyle name="Финансовый 2 2 2 2 3 3" xfId="1167" xr:uid="{00000000-0005-0000-0000-000057010000}"/>
    <cellStyle name="Финансовый 2 2 2 2 3 4" xfId="1688" xr:uid="{00000000-0005-0000-0000-000058010000}"/>
    <cellStyle name="Финансовый 2 2 2 2 4" xfId="320" xr:uid="{00000000-0005-0000-0000-000059010000}"/>
    <cellStyle name="Финансовый 2 2 2 2 4 2" xfId="1295" xr:uid="{00000000-0005-0000-0000-00005A010000}"/>
    <cellStyle name="Финансовый 2 2 2 2 5" xfId="633" xr:uid="{00000000-0005-0000-0000-00005B010000}"/>
    <cellStyle name="Финансовый 2 2 2 2 5 2" xfId="1031" xr:uid="{00000000-0005-0000-0000-00005C010000}"/>
    <cellStyle name="Финансовый 2 2 2 2 6" xfId="915" xr:uid="{00000000-0005-0000-0000-00005D010000}"/>
    <cellStyle name="Финансовый 2 2 2 2 7" xfId="1551" xr:uid="{00000000-0005-0000-0000-00005E010000}"/>
    <cellStyle name="Финансовый 2 2 2 2 8" xfId="778" xr:uid="{00000000-0005-0000-0000-00005F010000}"/>
    <cellStyle name="Финансовый 2 2 2 3" xfId="116" xr:uid="{00000000-0005-0000-0000-000060010000}"/>
    <cellStyle name="Финансовый 2 2 2 3 2" xfId="252" xr:uid="{00000000-0005-0000-0000-000061010000}"/>
    <cellStyle name="Финансовый 2 2 2 3 2 2" xfId="524" xr:uid="{00000000-0005-0000-0000-000062010000}"/>
    <cellStyle name="Финансовый 2 2 2 3 2 2 2" xfId="1483" xr:uid="{00000000-0005-0000-0000-000063010000}"/>
    <cellStyle name="Финансовый 2 2 2 3 2 3" xfId="1227" xr:uid="{00000000-0005-0000-0000-000064010000}"/>
    <cellStyle name="Финансовый 2 2 2 3 2 4" xfId="1756" xr:uid="{00000000-0005-0000-0000-000065010000}"/>
    <cellStyle name="Финансовый 2 2 2 3 3" xfId="388" xr:uid="{00000000-0005-0000-0000-000066010000}"/>
    <cellStyle name="Финансовый 2 2 2 3 3 2" xfId="1355" xr:uid="{00000000-0005-0000-0000-000067010000}"/>
    <cellStyle name="Финансовый 2 2 2 3 4" xfId="636" xr:uid="{00000000-0005-0000-0000-000068010000}"/>
    <cellStyle name="Финансовый 2 2 2 3 4 2" xfId="1099" xr:uid="{00000000-0005-0000-0000-000069010000}"/>
    <cellStyle name="Финансовый 2 2 2 3 5" xfId="975" xr:uid="{00000000-0005-0000-0000-00006A010000}"/>
    <cellStyle name="Финансовый 2 2 2 3 6" xfId="1620" xr:uid="{00000000-0005-0000-0000-00006B010000}"/>
    <cellStyle name="Финансовый 2 2 2 3 7" xfId="847" xr:uid="{00000000-0005-0000-0000-00006C010000}"/>
    <cellStyle name="Финансовый 2 2 2 4" xfId="80" xr:uid="{00000000-0005-0000-0000-00006D010000}"/>
    <cellStyle name="Финансовый 2 2 2 4 2" xfId="216" xr:uid="{00000000-0005-0000-0000-00006E010000}"/>
    <cellStyle name="Финансовый 2 2 2 4 2 2" xfId="488" xr:uid="{00000000-0005-0000-0000-00006F010000}"/>
    <cellStyle name="Финансовый 2 2 2 4 2 2 2" xfId="1447" xr:uid="{00000000-0005-0000-0000-000070010000}"/>
    <cellStyle name="Финансовый 2 2 2 4 2 3" xfId="1191" xr:uid="{00000000-0005-0000-0000-000071010000}"/>
    <cellStyle name="Финансовый 2 2 2 4 2 4" xfId="1720" xr:uid="{00000000-0005-0000-0000-000072010000}"/>
    <cellStyle name="Финансовый 2 2 2 4 3" xfId="352" xr:uid="{00000000-0005-0000-0000-000073010000}"/>
    <cellStyle name="Финансовый 2 2 2 4 3 2" xfId="1319" xr:uid="{00000000-0005-0000-0000-000074010000}"/>
    <cellStyle name="Финансовый 2 2 2 4 4" xfId="637" xr:uid="{00000000-0005-0000-0000-000075010000}"/>
    <cellStyle name="Финансовый 2 2 2 4 4 2" xfId="1063" xr:uid="{00000000-0005-0000-0000-000076010000}"/>
    <cellStyle name="Финансовый 2 2 2 4 5" xfId="939" xr:uid="{00000000-0005-0000-0000-000077010000}"/>
    <cellStyle name="Финансовый 2 2 2 4 6" xfId="1584" xr:uid="{00000000-0005-0000-0000-000078010000}"/>
    <cellStyle name="Финансовый 2 2 2 4 7" xfId="811" xr:uid="{00000000-0005-0000-0000-000079010000}"/>
    <cellStyle name="Финансовый 2 2 2 5" xfId="58" xr:uid="{00000000-0005-0000-0000-00007A010000}"/>
    <cellStyle name="Финансовый 2 2 2 5 2" xfId="196" xr:uid="{00000000-0005-0000-0000-00007B010000}"/>
    <cellStyle name="Финансовый 2 2 2 5 2 2" xfId="468" xr:uid="{00000000-0005-0000-0000-00007C010000}"/>
    <cellStyle name="Финансовый 2 2 2 5 2 2 2" xfId="1435" xr:uid="{00000000-0005-0000-0000-00007D010000}"/>
    <cellStyle name="Финансовый 2 2 2 5 2 3" xfId="1179" xr:uid="{00000000-0005-0000-0000-00007E010000}"/>
    <cellStyle name="Финансовый 2 2 2 5 2 4" xfId="1700" xr:uid="{00000000-0005-0000-0000-00007F010000}"/>
    <cellStyle name="Финансовый 2 2 2 5 3" xfId="332" xr:uid="{00000000-0005-0000-0000-000080010000}"/>
    <cellStyle name="Финансовый 2 2 2 5 3 2" xfId="1307" xr:uid="{00000000-0005-0000-0000-000081010000}"/>
    <cellStyle name="Финансовый 2 2 2 5 4" xfId="638" xr:uid="{00000000-0005-0000-0000-000082010000}"/>
    <cellStyle name="Финансовый 2 2 2 5 4 2" xfId="1043" xr:uid="{00000000-0005-0000-0000-000083010000}"/>
    <cellStyle name="Финансовый 2 2 2 5 5" xfId="927" xr:uid="{00000000-0005-0000-0000-000084010000}"/>
    <cellStyle name="Финансовый 2 2 2 5 6" xfId="1563" xr:uid="{00000000-0005-0000-0000-000085010000}"/>
    <cellStyle name="Финансовый 2 2 2 5 7" xfId="790" xr:uid="{00000000-0005-0000-0000-000086010000}"/>
    <cellStyle name="Финансовый 2 2 2 6" xfId="136" xr:uid="{00000000-0005-0000-0000-000087010000}"/>
    <cellStyle name="Финансовый 2 2 2 6 2" xfId="272" xr:uid="{00000000-0005-0000-0000-000088010000}"/>
    <cellStyle name="Финансовый 2 2 2 6 2 2" xfId="544" xr:uid="{00000000-0005-0000-0000-000089010000}"/>
    <cellStyle name="Финансовый 2 2 2 6 2 2 2" xfId="1503" xr:uid="{00000000-0005-0000-0000-00008A010000}"/>
    <cellStyle name="Финансовый 2 2 2 6 2 3" xfId="1247" xr:uid="{00000000-0005-0000-0000-00008B010000}"/>
    <cellStyle name="Финансовый 2 2 2 6 2 4" xfId="1776" xr:uid="{00000000-0005-0000-0000-00008C010000}"/>
    <cellStyle name="Финансовый 2 2 2 6 3" xfId="408" xr:uid="{00000000-0005-0000-0000-00008D010000}"/>
    <cellStyle name="Финансовый 2 2 2 6 3 2" xfId="1375" xr:uid="{00000000-0005-0000-0000-00008E010000}"/>
    <cellStyle name="Финансовый 2 2 2 6 4" xfId="639" xr:uid="{00000000-0005-0000-0000-00008F010000}"/>
    <cellStyle name="Финансовый 2 2 2 6 4 2" xfId="1119" xr:uid="{00000000-0005-0000-0000-000090010000}"/>
    <cellStyle name="Финансовый 2 2 2 6 5" xfId="995" xr:uid="{00000000-0005-0000-0000-000091010000}"/>
    <cellStyle name="Финансовый 2 2 2 6 6" xfId="1640" xr:uid="{00000000-0005-0000-0000-000092010000}"/>
    <cellStyle name="Финансовый 2 2 2 6 7" xfId="867" xr:uid="{00000000-0005-0000-0000-000093010000}"/>
    <cellStyle name="Финансовый 2 2 2 7" xfId="34" xr:uid="{00000000-0005-0000-0000-000094010000}"/>
    <cellStyle name="Финансовый 2 2 2 7 2" xfId="172" xr:uid="{00000000-0005-0000-0000-000095010000}"/>
    <cellStyle name="Финансовый 2 2 2 7 2 2" xfId="444" xr:uid="{00000000-0005-0000-0000-000096010000}"/>
    <cellStyle name="Финансовый 2 2 2 7 2 2 2" xfId="1411" xr:uid="{00000000-0005-0000-0000-000097010000}"/>
    <cellStyle name="Финансовый 2 2 2 7 2 3" xfId="1155" xr:uid="{00000000-0005-0000-0000-000098010000}"/>
    <cellStyle name="Финансовый 2 2 2 7 2 4" xfId="1676" xr:uid="{00000000-0005-0000-0000-000099010000}"/>
    <cellStyle name="Финансовый 2 2 2 7 3" xfId="308" xr:uid="{00000000-0005-0000-0000-00009A010000}"/>
    <cellStyle name="Финансовый 2 2 2 7 3 2" xfId="1283" xr:uid="{00000000-0005-0000-0000-00009B010000}"/>
    <cellStyle name="Финансовый 2 2 2 7 4" xfId="640" xr:uid="{00000000-0005-0000-0000-00009C010000}"/>
    <cellStyle name="Финансовый 2 2 2 7 4 2" xfId="1019" xr:uid="{00000000-0005-0000-0000-00009D010000}"/>
    <cellStyle name="Финансовый 2 2 2 7 5" xfId="903" xr:uid="{00000000-0005-0000-0000-00009E010000}"/>
    <cellStyle name="Финансовый 2 2 2 7 6" xfId="1539" xr:uid="{00000000-0005-0000-0000-00009F010000}"/>
    <cellStyle name="Финансовый 2 2 2 7 7" xfId="766" xr:uid="{00000000-0005-0000-0000-0000A0010000}"/>
    <cellStyle name="Финансовый 2 2 2 8" xfId="22" xr:uid="{00000000-0005-0000-0000-0000A1010000}"/>
    <cellStyle name="Финансовый 2 2 2 8 2" xfId="160" xr:uid="{00000000-0005-0000-0000-0000A2010000}"/>
    <cellStyle name="Финансовый 2 2 2 8 2 2" xfId="432" xr:uid="{00000000-0005-0000-0000-0000A3010000}"/>
    <cellStyle name="Финансовый 2 2 2 8 2 2 2" xfId="1399" xr:uid="{00000000-0005-0000-0000-0000A4010000}"/>
    <cellStyle name="Финансовый 2 2 2 8 2 3" xfId="1143" xr:uid="{00000000-0005-0000-0000-0000A5010000}"/>
    <cellStyle name="Финансовый 2 2 2 8 2 4" xfId="1664" xr:uid="{00000000-0005-0000-0000-0000A6010000}"/>
    <cellStyle name="Финансовый 2 2 2 8 3" xfId="296" xr:uid="{00000000-0005-0000-0000-0000A7010000}"/>
    <cellStyle name="Финансовый 2 2 2 8 3 2" xfId="1271" xr:uid="{00000000-0005-0000-0000-0000A8010000}"/>
    <cellStyle name="Финансовый 2 2 2 8 4" xfId="641" xr:uid="{00000000-0005-0000-0000-0000A9010000}"/>
    <cellStyle name="Финансовый 2 2 2 8 4 2" xfId="1007" xr:uid="{00000000-0005-0000-0000-0000AA010000}"/>
    <cellStyle name="Финансовый 2 2 2 8 5" xfId="891" xr:uid="{00000000-0005-0000-0000-0000AB010000}"/>
    <cellStyle name="Финансовый 2 2 2 8 6" xfId="1527" xr:uid="{00000000-0005-0000-0000-0000AC010000}"/>
    <cellStyle name="Финансовый 2 2 2 8 7" xfId="754" xr:uid="{00000000-0005-0000-0000-0000AD010000}"/>
    <cellStyle name="Финансовый 2 2 2 9" xfId="148" xr:uid="{00000000-0005-0000-0000-0000AE010000}"/>
    <cellStyle name="Финансовый 2 2 2 9 2" xfId="420" xr:uid="{00000000-0005-0000-0000-0000AF010000}"/>
    <cellStyle name="Финансовый 2 2 2 9 2 2" xfId="1387" xr:uid="{00000000-0005-0000-0000-0000B0010000}"/>
    <cellStyle name="Финансовый 2 2 2 9 3" xfId="1131" xr:uid="{00000000-0005-0000-0000-0000B1010000}"/>
    <cellStyle name="Финансовый 2 2 2 9 4" xfId="1652" xr:uid="{00000000-0005-0000-0000-0000B2010000}"/>
    <cellStyle name="Финансовый 2 2 3" xfId="40" xr:uid="{00000000-0005-0000-0000-0000B3010000}"/>
    <cellStyle name="Финансовый 2 2 3 2" xfId="122" xr:uid="{00000000-0005-0000-0000-0000B4010000}"/>
    <cellStyle name="Финансовый 2 2 3 2 2" xfId="258" xr:uid="{00000000-0005-0000-0000-0000B5010000}"/>
    <cellStyle name="Финансовый 2 2 3 2 2 2" xfId="530" xr:uid="{00000000-0005-0000-0000-0000B6010000}"/>
    <cellStyle name="Финансовый 2 2 3 2 2 2 2" xfId="1489" xr:uid="{00000000-0005-0000-0000-0000B7010000}"/>
    <cellStyle name="Финансовый 2 2 3 2 2 3" xfId="1233" xr:uid="{00000000-0005-0000-0000-0000B8010000}"/>
    <cellStyle name="Финансовый 2 2 3 2 2 4" xfId="1762" xr:uid="{00000000-0005-0000-0000-0000B9010000}"/>
    <cellStyle name="Финансовый 2 2 3 2 3" xfId="394" xr:uid="{00000000-0005-0000-0000-0000BA010000}"/>
    <cellStyle name="Финансовый 2 2 3 2 3 2" xfId="1361" xr:uid="{00000000-0005-0000-0000-0000BB010000}"/>
    <cellStyle name="Финансовый 2 2 3 2 4" xfId="644" xr:uid="{00000000-0005-0000-0000-0000BC010000}"/>
    <cellStyle name="Финансовый 2 2 3 2 4 2" xfId="1105" xr:uid="{00000000-0005-0000-0000-0000BD010000}"/>
    <cellStyle name="Финансовый 2 2 3 2 5" xfId="981" xr:uid="{00000000-0005-0000-0000-0000BE010000}"/>
    <cellStyle name="Финансовый 2 2 3 2 6" xfId="1626" xr:uid="{00000000-0005-0000-0000-0000BF010000}"/>
    <cellStyle name="Финансовый 2 2 3 2 7" xfId="853" xr:uid="{00000000-0005-0000-0000-0000C0010000}"/>
    <cellStyle name="Финансовый 2 2 3 3" xfId="86" xr:uid="{00000000-0005-0000-0000-0000C1010000}"/>
    <cellStyle name="Финансовый 2 2 3 3 2" xfId="222" xr:uid="{00000000-0005-0000-0000-0000C2010000}"/>
    <cellStyle name="Финансовый 2 2 3 3 2 2" xfId="494" xr:uid="{00000000-0005-0000-0000-0000C3010000}"/>
    <cellStyle name="Финансовый 2 2 3 3 2 2 2" xfId="1453" xr:uid="{00000000-0005-0000-0000-0000C4010000}"/>
    <cellStyle name="Финансовый 2 2 3 3 2 3" xfId="1197" xr:uid="{00000000-0005-0000-0000-0000C5010000}"/>
    <cellStyle name="Финансовый 2 2 3 3 2 4" xfId="1726" xr:uid="{00000000-0005-0000-0000-0000C6010000}"/>
    <cellStyle name="Финансовый 2 2 3 3 3" xfId="358" xr:uid="{00000000-0005-0000-0000-0000C7010000}"/>
    <cellStyle name="Финансовый 2 2 3 3 3 2" xfId="1325" xr:uid="{00000000-0005-0000-0000-0000C8010000}"/>
    <cellStyle name="Финансовый 2 2 3 3 4" xfId="645" xr:uid="{00000000-0005-0000-0000-0000C9010000}"/>
    <cellStyle name="Финансовый 2 2 3 3 4 2" xfId="1069" xr:uid="{00000000-0005-0000-0000-0000CA010000}"/>
    <cellStyle name="Финансовый 2 2 3 3 5" xfId="945" xr:uid="{00000000-0005-0000-0000-0000CB010000}"/>
    <cellStyle name="Финансовый 2 2 3 3 6" xfId="1590" xr:uid="{00000000-0005-0000-0000-0000CC010000}"/>
    <cellStyle name="Финансовый 2 2 3 3 7" xfId="817" xr:uid="{00000000-0005-0000-0000-0000CD010000}"/>
    <cellStyle name="Финансовый 2 2 3 4" xfId="178" xr:uid="{00000000-0005-0000-0000-0000CE010000}"/>
    <cellStyle name="Финансовый 2 2 3 4 2" xfId="450" xr:uid="{00000000-0005-0000-0000-0000CF010000}"/>
    <cellStyle name="Финансовый 2 2 3 4 2 2" xfId="1417" xr:uid="{00000000-0005-0000-0000-0000D0010000}"/>
    <cellStyle name="Финансовый 2 2 3 4 3" xfId="1161" xr:uid="{00000000-0005-0000-0000-0000D1010000}"/>
    <cellStyle name="Финансовый 2 2 3 4 4" xfId="1682" xr:uid="{00000000-0005-0000-0000-0000D2010000}"/>
    <cellStyle name="Финансовый 2 2 3 5" xfId="314" xr:uid="{00000000-0005-0000-0000-0000D3010000}"/>
    <cellStyle name="Финансовый 2 2 3 5 2" xfId="1289" xr:uid="{00000000-0005-0000-0000-0000D4010000}"/>
    <cellStyle name="Финансовый 2 2 3 6" xfId="643" xr:uid="{00000000-0005-0000-0000-0000D5010000}"/>
    <cellStyle name="Финансовый 2 2 3 6 2" xfId="1025" xr:uid="{00000000-0005-0000-0000-0000D6010000}"/>
    <cellStyle name="Финансовый 2 2 3 7" xfId="909" xr:uid="{00000000-0005-0000-0000-0000D7010000}"/>
    <cellStyle name="Финансовый 2 2 3 8" xfId="1545" xr:uid="{00000000-0005-0000-0000-0000D8010000}"/>
    <cellStyle name="Финансовый 2 2 3 9" xfId="772" xr:uid="{00000000-0005-0000-0000-0000D9010000}"/>
    <cellStyle name="Финансовый 2 2 4" xfId="92" xr:uid="{00000000-0005-0000-0000-0000DA010000}"/>
    <cellStyle name="Финансовый 2 2 4 2" xfId="228" xr:uid="{00000000-0005-0000-0000-0000DB010000}"/>
    <cellStyle name="Финансовый 2 2 4 2 2" xfId="500" xr:uid="{00000000-0005-0000-0000-0000DC010000}"/>
    <cellStyle name="Финансовый 2 2 4 2 2 2" xfId="1459" xr:uid="{00000000-0005-0000-0000-0000DD010000}"/>
    <cellStyle name="Финансовый 2 2 4 2 3" xfId="1203" xr:uid="{00000000-0005-0000-0000-0000DE010000}"/>
    <cellStyle name="Финансовый 2 2 4 2 4" xfId="1732" xr:uid="{00000000-0005-0000-0000-0000DF010000}"/>
    <cellStyle name="Финансовый 2 2 4 3" xfId="364" xr:uid="{00000000-0005-0000-0000-0000E0010000}"/>
    <cellStyle name="Финансовый 2 2 4 3 2" xfId="1331" xr:uid="{00000000-0005-0000-0000-0000E1010000}"/>
    <cellStyle name="Финансовый 2 2 4 4" xfId="646" xr:uid="{00000000-0005-0000-0000-0000E2010000}"/>
    <cellStyle name="Финансовый 2 2 4 4 2" xfId="1075" xr:uid="{00000000-0005-0000-0000-0000E3010000}"/>
    <cellStyle name="Финансовый 2 2 4 5" xfId="951" xr:uid="{00000000-0005-0000-0000-0000E4010000}"/>
    <cellStyle name="Финансовый 2 2 4 6" xfId="1596" xr:uid="{00000000-0005-0000-0000-0000E5010000}"/>
    <cellStyle name="Финансовый 2 2 4 7" xfId="823" xr:uid="{00000000-0005-0000-0000-0000E6010000}"/>
    <cellStyle name="Финансовый 2 2 5" xfId="98" xr:uid="{00000000-0005-0000-0000-0000E7010000}"/>
    <cellStyle name="Финансовый 2 2 5 2" xfId="234" xr:uid="{00000000-0005-0000-0000-0000E8010000}"/>
    <cellStyle name="Финансовый 2 2 5 2 2" xfId="506" xr:uid="{00000000-0005-0000-0000-0000E9010000}"/>
    <cellStyle name="Финансовый 2 2 5 2 2 2" xfId="1465" xr:uid="{00000000-0005-0000-0000-0000EA010000}"/>
    <cellStyle name="Финансовый 2 2 5 2 3" xfId="1209" xr:uid="{00000000-0005-0000-0000-0000EB010000}"/>
    <cellStyle name="Финансовый 2 2 5 2 4" xfId="1738" xr:uid="{00000000-0005-0000-0000-0000EC010000}"/>
    <cellStyle name="Финансовый 2 2 5 3" xfId="370" xr:uid="{00000000-0005-0000-0000-0000ED010000}"/>
    <cellStyle name="Финансовый 2 2 5 3 2" xfId="1337" xr:uid="{00000000-0005-0000-0000-0000EE010000}"/>
    <cellStyle name="Финансовый 2 2 5 4" xfId="647" xr:uid="{00000000-0005-0000-0000-0000EF010000}"/>
    <cellStyle name="Финансовый 2 2 5 4 2" xfId="1081" xr:uid="{00000000-0005-0000-0000-0000F0010000}"/>
    <cellStyle name="Финансовый 2 2 5 5" xfId="957" xr:uid="{00000000-0005-0000-0000-0000F1010000}"/>
    <cellStyle name="Финансовый 2 2 5 6" xfId="1602" xr:uid="{00000000-0005-0000-0000-0000F2010000}"/>
    <cellStyle name="Финансовый 2 2 5 7" xfId="829" xr:uid="{00000000-0005-0000-0000-0000F3010000}"/>
    <cellStyle name="Финансовый 2 2 6" xfId="110" xr:uid="{00000000-0005-0000-0000-0000F4010000}"/>
    <cellStyle name="Финансовый 2 2 6 2" xfId="246" xr:uid="{00000000-0005-0000-0000-0000F5010000}"/>
    <cellStyle name="Финансовый 2 2 6 2 2" xfId="518" xr:uid="{00000000-0005-0000-0000-0000F6010000}"/>
    <cellStyle name="Финансовый 2 2 6 2 2 2" xfId="1477" xr:uid="{00000000-0005-0000-0000-0000F7010000}"/>
    <cellStyle name="Финансовый 2 2 6 2 3" xfId="1221" xr:uid="{00000000-0005-0000-0000-0000F8010000}"/>
    <cellStyle name="Финансовый 2 2 6 2 4" xfId="1750" xr:uid="{00000000-0005-0000-0000-0000F9010000}"/>
    <cellStyle name="Финансовый 2 2 6 3" xfId="382" xr:uid="{00000000-0005-0000-0000-0000FA010000}"/>
    <cellStyle name="Финансовый 2 2 6 3 2" xfId="1349" xr:uid="{00000000-0005-0000-0000-0000FB010000}"/>
    <cellStyle name="Финансовый 2 2 6 4" xfId="634" xr:uid="{00000000-0005-0000-0000-0000FC010000}"/>
    <cellStyle name="Финансовый 2 2 6 4 2" xfId="1093" xr:uid="{00000000-0005-0000-0000-0000FD010000}"/>
    <cellStyle name="Финансовый 2 2 6 5" xfId="969" xr:uid="{00000000-0005-0000-0000-0000FE010000}"/>
    <cellStyle name="Финансовый 2 2 6 6" xfId="1614" xr:uid="{00000000-0005-0000-0000-0000FF010000}"/>
    <cellStyle name="Финансовый 2 2 6 7" xfId="841" xr:uid="{00000000-0005-0000-0000-000000020000}"/>
    <cellStyle name="Финансовый 2 2 7" xfId="65" xr:uid="{00000000-0005-0000-0000-000001020000}"/>
    <cellStyle name="Финансовый 2 2 7 2" xfId="201" xr:uid="{00000000-0005-0000-0000-000002020000}"/>
    <cellStyle name="Финансовый 2 2 7 2 2" xfId="473" xr:uid="{00000000-0005-0000-0000-000003020000}"/>
    <cellStyle name="Финансовый 2 2 7 2 2 2" xfId="1440" xr:uid="{00000000-0005-0000-0000-000004020000}"/>
    <cellStyle name="Финансовый 2 2 7 2 3" xfId="1184" xr:uid="{00000000-0005-0000-0000-000005020000}"/>
    <cellStyle name="Финансовый 2 2 7 2 4" xfId="1705" xr:uid="{00000000-0005-0000-0000-000006020000}"/>
    <cellStyle name="Финансовый 2 2 7 3" xfId="337" xr:uid="{00000000-0005-0000-0000-000007020000}"/>
    <cellStyle name="Финансовый 2 2 7 3 2" xfId="1312" xr:uid="{00000000-0005-0000-0000-000008020000}"/>
    <cellStyle name="Финансовый 2 2 7 4" xfId="648" xr:uid="{00000000-0005-0000-0000-000009020000}"/>
    <cellStyle name="Финансовый 2 2 7 4 2" xfId="1048" xr:uid="{00000000-0005-0000-0000-00000A020000}"/>
    <cellStyle name="Финансовый 2 2 7 5" xfId="932" xr:uid="{00000000-0005-0000-0000-00000B020000}"/>
    <cellStyle name="Финансовый 2 2 7 6" xfId="1569" xr:uid="{00000000-0005-0000-0000-00000C020000}"/>
    <cellStyle name="Финансовый 2 2 7 7" xfId="796" xr:uid="{00000000-0005-0000-0000-00000D020000}"/>
    <cellStyle name="Финансовый 2 2 8" xfId="52" xr:uid="{00000000-0005-0000-0000-00000E020000}"/>
    <cellStyle name="Финансовый 2 2 8 2" xfId="190" xr:uid="{00000000-0005-0000-0000-00000F020000}"/>
    <cellStyle name="Финансовый 2 2 8 2 2" xfId="462" xr:uid="{00000000-0005-0000-0000-000010020000}"/>
    <cellStyle name="Финансовый 2 2 8 2 2 2" xfId="1429" xr:uid="{00000000-0005-0000-0000-000011020000}"/>
    <cellStyle name="Финансовый 2 2 8 2 3" xfId="1173" xr:uid="{00000000-0005-0000-0000-000012020000}"/>
    <cellStyle name="Финансовый 2 2 8 2 4" xfId="1694" xr:uid="{00000000-0005-0000-0000-000013020000}"/>
    <cellStyle name="Финансовый 2 2 8 3" xfId="326" xr:uid="{00000000-0005-0000-0000-000014020000}"/>
    <cellStyle name="Финансовый 2 2 8 3 2" xfId="1301" xr:uid="{00000000-0005-0000-0000-000015020000}"/>
    <cellStyle name="Финансовый 2 2 8 4" xfId="649" xr:uid="{00000000-0005-0000-0000-000016020000}"/>
    <cellStyle name="Финансовый 2 2 8 4 2" xfId="1037" xr:uid="{00000000-0005-0000-0000-000017020000}"/>
    <cellStyle name="Финансовый 2 2 8 5" xfId="921" xr:uid="{00000000-0005-0000-0000-000018020000}"/>
    <cellStyle name="Финансовый 2 2 8 6" xfId="1557" xr:uid="{00000000-0005-0000-0000-000019020000}"/>
    <cellStyle name="Финансовый 2 2 8 7" xfId="784" xr:uid="{00000000-0005-0000-0000-00001A020000}"/>
    <cellStyle name="Финансовый 2 2 9" xfId="130" xr:uid="{00000000-0005-0000-0000-00001B020000}"/>
    <cellStyle name="Финансовый 2 2 9 2" xfId="266" xr:uid="{00000000-0005-0000-0000-00001C020000}"/>
    <cellStyle name="Финансовый 2 2 9 2 2" xfId="538" xr:uid="{00000000-0005-0000-0000-00001D020000}"/>
    <cellStyle name="Финансовый 2 2 9 2 2 2" xfId="1497" xr:uid="{00000000-0005-0000-0000-00001E020000}"/>
    <cellStyle name="Финансовый 2 2 9 2 3" xfId="1241" xr:uid="{00000000-0005-0000-0000-00001F020000}"/>
    <cellStyle name="Финансовый 2 2 9 2 4" xfId="1770" xr:uid="{00000000-0005-0000-0000-000020020000}"/>
    <cellStyle name="Финансовый 2 2 9 3" xfId="402" xr:uid="{00000000-0005-0000-0000-000021020000}"/>
    <cellStyle name="Финансовый 2 2 9 3 2" xfId="1369" xr:uid="{00000000-0005-0000-0000-000022020000}"/>
    <cellStyle name="Финансовый 2 2 9 4" xfId="650" xr:uid="{00000000-0005-0000-0000-000023020000}"/>
    <cellStyle name="Финансовый 2 2 9 4 2" xfId="1113" xr:uid="{00000000-0005-0000-0000-000024020000}"/>
    <cellStyle name="Финансовый 2 2 9 5" xfId="989" xr:uid="{00000000-0005-0000-0000-000025020000}"/>
    <cellStyle name="Финансовый 2 2 9 6" xfId="1634" xr:uid="{00000000-0005-0000-0000-000026020000}"/>
    <cellStyle name="Финансовый 2 2 9 7" xfId="861" xr:uid="{00000000-0005-0000-0000-000027020000}"/>
    <cellStyle name="Финансовый 2 20" xfId="734" xr:uid="{00000000-0005-0000-0000-000028020000}"/>
    <cellStyle name="Финансовый 2 3" xfId="6" xr:uid="{00000000-0005-0000-0000-000029020000}"/>
    <cellStyle name="Финансовый 2 3 10" xfId="30" xr:uid="{00000000-0005-0000-0000-00002A020000}"/>
    <cellStyle name="Финансовый 2 3 10 2" xfId="168" xr:uid="{00000000-0005-0000-0000-00002B020000}"/>
    <cellStyle name="Финансовый 2 3 10 2 2" xfId="440" xr:uid="{00000000-0005-0000-0000-00002C020000}"/>
    <cellStyle name="Финансовый 2 3 10 2 2 2" xfId="1407" xr:uid="{00000000-0005-0000-0000-00002D020000}"/>
    <cellStyle name="Финансовый 2 3 10 2 3" xfId="1151" xr:uid="{00000000-0005-0000-0000-00002E020000}"/>
    <cellStyle name="Финансовый 2 3 10 2 4" xfId="1672" xr:uid="{00000000-0005-0000-0000-00002F020000}"/>
    <cellStyle name="Финансовый 2 3 10 3" xfId="304" xr:uid="{00000000-0005-0000-0000-000030020000}"/>
    <cellStyle name="Финансовый 2 3 10 3 2" xfId="1279" xr:uid="{00000000-0005-0000-0000-000031020000}"/>
    <cellStyle name="Финансовый 2 3 10 4" xfId="654" xr:uid="{00000000-0005-0000-0000-000032020000}"/>
    <cellStyle name="Финансовый 2 3 10 4 2" xfId="1015" xr:uid="{00000000-0005-0000-0000-000033020000}"/>
    <cellStyle name="Финансовый 2 3 10 5" xfId="899" xr:uid="{00000000-0005-0000-0000-000034020000}"/>
    <cellStyle name="Финансовый 2 3 10 6" xfId="1535" xr:uid="{00000000-0005-0000-0000-000035020000}"/>
    <cellStyle name="Финансовый 2 3 10 7" xfId="762" xr:uid="{00000000-0005-0000-0000-000036020000}"/>
    <cellStyle name="Финансовый 2 3 11" xfId="18" xr:uid="{00000000-0005-0000-0000-000037020000}"/>
    <cellStyle name="Финансовый 2 3 11 2" xfId="156" xr:uid="{00000000-0005-0000-0000-000038020000}"/>
    <cellStyle name="Финансовый 2 3 11 2 2" xfId="428" xr:uid="{00000000-0005-0000-0000-000039020000}"/>
    <cellStyle name="Финансовый 2 3 11 2 2 2" xfId="1395" xr:uid="{00000000-0005-0000-0000-00003A020000}"/>
    <cellStyle name="Финансовый 2 3 11 2 3" xfId="1139" xr:uid="{00000000-0005-0000-0000-00003B020000}"/>
    <cellStyle name="Финансовый 2 3 11 2 4" xfId="1660" xr:uid="{00000000-0005-0000-0000-00003C020000}"/>
    <cellStyle name="Финансовый 2 3 11 3" xfId="292" xr:uid="{00000000-0005-0000-0000-00003D020000}"/>
    <cellStyle name="Финансовый 2 3 11 3 2" xfId="1267" xr:uid="{00000000-0005-0000-0000-00003E020000}"/>
    <cellStyle name="Финансовый 2 3 11 4" xfId="622" xr:uid="{00000000-0005-0000-0000-00003F020000}"/>
    <cellStyle name="Финансовый 2 3 11 4 2" xfId="1003" xr:uid="{00000000-0005-0000-0000-000040020000}"/>
    <cellStyle name="Финансовый 2 3 11 5" xfId="887" xr:uid="{00000000-0005-0000-0000-000041020000}"/>
    <cellStyle name="Финансовый 2 3 11 6" xfId="1523" xr:uid="{00000000-0005-0000-0000-000042020000}"/>
    <cellStyle name="Финансовый 2 3 11 7" xfId="750" xr:uid="{00000000-0005-0000-0000-000043020000}"/>
    <cellStyle name="Финансовый 2 3 12" xfId="144" xr:uid="{00000000-0005-0000-0000-000044020000}"/>
    <cellStyle name="Финансовый 2 3 12 2" xfId="416" xr:uid="{00000000-0005-0000-0000-000045020000}"/>
    <cellStyle name="Финансовый 2 3 12 2 2" xfId="1383" xr:uid="{00000000-0005-0000-0000-000046020000}"/>
    <cellStyle name="Финансовый 2 3 12 3" xfId="1127" xr:uid="{00000000-0005-0000-0000-000047020000}"/>
    <cellStyle name="Финансовый 2 3 12 4" xfId="1648" xr:uid="{00000000-0005-0000-0000-000048020000}"/>
    <cellStyle name="Финансовый 2 3 13" xfId="552" xr:uid="{00000000-0005-0000-0000-000049020000}"/>
    <cellStyle name="Финансовый 2 3 13 2" xfId="1255" xr:uid="{00000000-0005-0000-0000-00004A020000}"/>
    <cellStyle name="Финансовый 2 3 14" xfId="280" xr:uid="{00000000-0005-0000-0000-00004B020000}"/>
    <cellStyle name="Финансовый 2 3 15" xfId="652" xr:uid="{00000000-0005-0000-0000-00004C020000}"/>
    <cellStyle name="Финансовый 2 3 15 2" xfId="875" xr:uid="{00000000-0005-0000-0000-00004D020000}"/>
    <cellStyle name="Финансовый 2 3 16" xfId="1511" xr:uid="{00000000-0005-0000-0000-00004E020000}"/>
    <cellStyle name="Финансовый 2 3 17" xfId="738" xr:uid="{00000000-0005-0000-0000-00004F020000}"/>
    <cellStyle name="Финансовый 2 3 2" xfId="12" xr:uid="{00000000-0005-0000-0000-000050020000}"/>
    <cellStyle name="Финансовый 2 3 2 10" xfId="558" xr:uid="{00000000-0005-0000-0000-000051020000}"/>
    <cellStyle name="Финансовый 2 3 2 10 2" xfId="1261" xr:uid="{00000000-0005-0000-0000-000052020000}"/>
    <cellStyle name="Финансовый 2 3 2 11" xfId="286" xr:uid="{00000000-0005-0000-0000-000053020000}"/>
    <cellStyle name="Финансовый 2 3 2 12" xfId="655" xr:uid="{00000000-0005-0000-0000-000054020000}"/>
    <cellStyle name="Финансовый 2 3 2 12 2" xfId="881" xr:uid="{00000000-0005-0000-0000-000055020000}"/>
    <cellStyle name="Финансовый 2 3 2 13" xfId="1517" xr:uid="{00000000-0005-0000-0000-000056020000}"/>
    <cellStyle name="Финансовый 2 3 2 14" xfId="744" xr:uid="{00000000-0005-0000-0000-000057020000}"/>
    <cellStyle name="Финансовый 2 3 2 2" xfId="48" xr:uid="{00000000-0005-0000-0000-000058020000}"/>
    <cellStyle name="Финансовый 2 3 2 2 2" xfId="106" xr:uid="{00000000-0005-0000-0000-000059020000}"/>
    <cellStyle name="Финансовый 2 3 2 2 2 2" xfId="242" xr:uid="{00000000-0005-0000-0000-00005A020000}"/>
    <cellStyle name="Финансовый 2 3 2 2 2 2 2" xfId="514" xr:uid="{00000000-0005-0000-0000-00005B020000}"/>
    <cellStyle name="Финансовый 2 3 2 2 2 2 2 2" xfId="1473" xr:uid="{00000000-0005-0000-0000-00005C020000}"/>
    <cellStyle name="Финансовый 2 3 2 2 2 2 3" xfId="1217" xr:uid="{00000000-0005-0000-0000-00005D020000}"/>
    <cellStyle name="Финансовый 2 3 2 2 2 2 4" xfId="1746" xr:uid="{00000000-0005-0000-0000-00005E020000}"/>
    <cellStyle name="Финансовый 2 3 2 2 2 3" xfId="378" xr:uid="{00000000-0005-0000-0000-00005F020000}"/>
    <cellStyle name="Финансовый 2 3 2 2 2 3 2" xfId="1345" xr:uid="{00000000-0005-0000-0000-000060020000}"/>
    <cellStyle name="Финансовый 2 3 2 2 2 4" xfId="657" xr:uid="{00000000-0005-0000-0000-000061020000}"/>
    <cellStyle name="Финансовый 2 3 2 2 2 4 2" xfId="1089" xr:uid="{00000000-0005-0000-0000-000062020000}"/>
    <cellStyle name="Финансовый 2 3 2 2 2 5" xfId="965" xr:uid="{00000000-0005-0000-0000-000063020000}"/>
    <cellStyle name="Финансовый 2 3 2 2 2 6" xfId="1610" xr:uid="{00000000-0005-0000-0000-000064020000}"/>
    <cellStyle name="Финансовый 2 3 2 2 2 7" xfId="837" xr:uid="{00000000-0005-0000-0000-000065020000}"/>
    <cellStyle name="Финансовый 2 3 2 2 3" xfId="186" xr:uid="{00000000-0005-0000-0000-000066020000}"/>
    <cellStyle name="Финансовый 2 3 2 2 3 2" xfId="458" xr:uid="{00000000-0005-0000-0000-000067020000}"/>
    <cellStyle name="Финансовый 2 3 2 2 3 2 2" xfId="1425" xr:uid="{00000000-0005-0000-0000-000068020000}"/>
    <cellStyle name="Финансовый 2 3 2 2 3 3" xfId="1169" xr:uid="{00000000-0005-0000-0000-000069020000}"/>
    <cellStyle name="Финансовый 2 3 2 2 3 4" xfId="1690" xr:uid="{00000000-0005-0000-0000-00006A020000}"/>
    <cellStyle name="Финансовый 2 3 2 2 4" xfId="322" xr:uid="{00000000-0005-0000-0000-00006B020000}"/>
    <cellStyle name="Финансовый 2 3 2 2 4 2" xfId="1297" xr:uid="{00000000-0005-0000-0000-00006C020000}"/>
    <cellStyle name="Финансовый 2 3 2 2 5" xfId="656" xr:uid="{00000000-0005-0000-0000-00006D020000}"/>
    <cellStyle name="Финансовый 2 3 2 2 5 2" xfId="1033" xr:uid="{00000000-0005-0000-0000-00006E020000}"/>
    <cellStyle name="Финансовый 2 3 2 2 6" xfId="917" xr:uid="{00000000-0005-0000-0000-00006F020000}"/>
    <cellStyle name="Финансовый 2 3 2 2 7" xfId="1553" xr:uid="{00000000-0005-0000-0000-000070020000}"/>
    <cellStyle name="Финансовый 2 3 2 2 8" xfId="780" xr:uid="{00000000-0005-0000-0000-000071020000}"/>
    <cellStyle name="Финансовый 2 3 2 3" xfId="118" xr:uid="{00000000-0005-0000-0000-000072020000}"/>
    <cellStyle name="Финансовый 2 3 2 3 2" xfId="254" xr:uid="{00000000-0005-0000-0000-000073020000}"/>
    <cellStyle name="Финансовый 2 3 2 3 2 2" xfId="526" xr:uid="{00000000-0005-0000-0000-000074020000}"/>
    <cellStyle name="Финансовый 2 3 2 3 2 2 2" xfId="1485" xr:uid="{00000000-0005-0000-0000-000075020000}"/>
    <cellStyle name="Финансовый 2 3 2 3 2 3" xfId="1229" xr:uid="{00000000-0005-0000-0000-000076020000}"/>
    <cellStyle name="Финансовый 2 3 2 3 2 4" xfId="1758" xr:uid="{00000000-0005-0000-0000-000077020000}"/>
    <cellStyle name="Финансовый 2 3 2 3 3" xfId="390" xr:uid="{00000000-0005-0000-0000-000078020000}"/>
    <cellStyle name="Финансовый 2 3 2 3 3 2" xfId="1357" xr:uid="{00000000-0005-0000-0000-000079020000}"/>
    <cellStyle name="Финансовый 2 3 2 3 4" xfId="658" xr:uid="{00000000-0005-0000-0000-00007A020000}"/>
    <cellStyle name="Финансовый 2 3 2 3 4 2" xfId="1101" xr:uid="{00000000-0005-0000-0000-00007B020000}"/>
    <cellStyle name="Финансовый 2 3 2 3 5" xfId="977" xr:uid="{00000000-0005-0000-0000-00007C020000}"/>
    <cellStyle name="Финансовый 2 3 2 3 6" xfId="1622" xr:uid="{00000000-0005-0000-0000-00007D020000}"/>
    <cellStyle name="Финансовый 2 3 2 3 7" xfId="849" xr:uid="{00000000-0005-0000-0000-00007E020000}"/>
    <cellStyle name="Финансовый 2 3 2 4" xfId="82" xr:uid="{00000000-0005-0000-0000-00007F020000}"/>
    <cellStyle name="Финансовый 2 3 2 4 2" xfId="218" xr:uid="{00000000-0005-0000-0000-000080020000}"/>
    <cellStyle name="Финансовый 2 3 2 4 2 2" xfId="490" xr:uid="{00000000-0005-0000-0000-000081020000}"/>
    <cellStyle name="Финансовый 2 3 2 4 2 2 2" xfId="1449" xr:uid="{00000000-0005-0000-0000-000082020000}"/>
    <cellStyle name="Финансовый 2 3 2 4 2 3" xfId="1193" xr:uid="{00000000-0005-0000-0000-000083020000}"/>
    <cellStyle name="Финансовый 2 3 2 4 2 4" xfId="1722" xr:uid="{00000000-0005-0000-0000-000084020000}"/>
    <cellStyle name="Финансовый 2 3 2 4 3" xfId="354" xr:uid="{00000000-0005-0000-0000-000085020000}"/>
    <cellStyle name="Финансовый 2 3 2 4 3 2" xfId="1321" xr:uid="{00000000-0005-0000-0000-000086020000}"/>
    <cellStyle name="Финансовый 2 3 2 4 4" xfId="659" xr:uid="{00000000-0005-0000-0000-000087020000}"/>
    <cellStyle name="Финансовый 2 3 2 4 4 2" xfId="1065" xr:uid="{00000000-0005-0000-0000-000088020000}"/>
    <cellStyle name="Финансовый 2 3 2 4 5" xfId="941" xr:uid="{00000000-0005-0000-0000-000089020000}"/>
    <cellStyle name="Финансовый 2 3 2 4 6" xfId="1586" xr:uid="{00000000-0005-0000-0000-00008A020000}"/>
    <cellStyle name="Финансовый 2 3 2 4 7" xfId="813" xr:uid="{00000000-0005-0000-0000-00008B020000}"/>
    <cellStyle name="Финансовый 2 3 2 5" xfId="60" xr:uid="{00000000-0005-0000-0000-00008C020000}"/>
    <cellStyle name="Финансовый 2 3 2 5 2" xfId="198" xr:uid="{00000000-0005-0000-0000-00008D020000}"/>
    <cellStyle name="Финансовый 2 3 2 5 2 2" xfId="470" xr:uid="{00000000-0005-0000-0000-00008E020000}"/>
    <cellStyle name="Финансовый 2 3 2 5 2 2 2" xfId="1437" xr:uid="{00000000-0005-0000-0000-00008F020000}"/>
    <cellStyle name="Финансовый 2 3 2 5 2 3" xfId="1181" xr:uid="{00000000-0005-0000-0000-000090020000}"/>
    <cellStyle name="Финансовый 2 3 2 5 2 4" xfId="1702" xr:uid="{00000000-0005-0000-0000-000091020000}"/>
    <cellStyle name="Финансовый 2 3 2 5 3" xfId="334" xr:uid="{00000000-0005-0000-0000-000092020000}"/>
    <cellStyle name="Финансовый 2 3 2 5 3 2" xfId="1309" xr:uid="{00000000-0005-0000-0000-000093020000}"/>
    <cellStyle name="Финансовый 2 3 2 5 4" xfId="660" xr:uid="{00000000-0005-0000-0000-000094020000}"/>
    <cellStyle name="Финансовый 2 3 2 5 4 2" xfId="1045" xr:uid="{00000000-0005-0000-0000-000095020000}"/>
    <cellStyle name="Финансовый 2 3 2 5 5" xfId="929" xr:uid="{00000000-0005-0000-0000-000096020000}"/>
    <cellStyle name="Финансовый 2 3 2 5 6" xfId="1565" xr:uid="{00000000-0005-0000-0000-000097020000}"/>
    <cellStyle name="Финансовый 2 3 2 5 7" xfId="792" xr:uid="{00000000-0005-0000-0000-000098020000}"/>
    <cellStyle name="Финансовый 2 3 2 6" xfId="138" xr:uid="{00000000-0005-0000-0000-000099020000}"/>
    <cellStyle name="Финансовый 2 3 2 6 2" xfId="274" xr:uid="{00000000-0005-0000-0000-00009A020000}"/>
    <cellStyle name="Финансовый 2 3 2 6 2 2" xfId="546" xr:uid="{00000000-0005-0000-0000-00009B020000}"/>
    <cellStyle name="Финансовый 2 3 2 6 2 2 2" xfId="1505" xr:uid="{00000000-0005-0000-0000-00009C020000}"/>
    <cellStyle name="Финансовый 2 3 2 6 2 3" xfId="1249" xr:uid="{00000000-0005-0000-0000-00009D020000}"/>
    <cellStyle name="Финансовый 2 3 2 6 2 4" xfId="1778" xr:uid="{00000000-0005-0000-0000-00009E020000}"/>
    <cellStyle name="Финансовый 2 3 2 6 3" xfId="410" xr:uid="{00000000-0005-0000-0000-00009F020000}"/>
    <cellStyle name="Финансовый 2 3 2 6 3 2" xfId="1377" xr:uid="{00000000-0005-0000-0000-0000A0020000}"/>
    <cellStyle name="Финансовый 2 3 2 6 4" xfId="661" xr:uid="{00000000-0005-0000-0000-0000A1020000}"/>
    <cellStyle name="Финансовый 2 3 2 6 4 2" xfId="1121" xr:uid="{00000000-0005-0000-0000-0000A2020000}"/>
    <cellStyle name="Финансовый 2 3 2 6 5" xfId="997" xr:uid="{00000000-0005-0000-0000-0000A3020000}"/>
    <cellStyle name="Финансовый 2 3 2 6 6" xfId="1642" xr:uid="{00000000-0005-0000-0000-0000A4020000}"/>
    <cellStyle name="Финансовый 2 3 2 6 7" xfId="869" xr:uid="{00000000-0005-0000-0000-0000A5020000}"/>
    <cellStyle name="Финансовый 2 3 2 7" xfId="36" xr:uid="{00000000-0005-0000-0000-0000A6020000}"/>
    <cellStyle name="Финансовый 2 3 2 7 2" xfId="174" xr:uid="{00000000-0005-0000-0000-0000A7020000}"/>
    <cellStyle name="Финансовый 2 3 2 7 2 2" xfId="446" xr:uid="{00000000-0005-0000-0000-0000A8020000}"/>
    <cellStyle name="Финансовый 2 3 2 7 2 2 2" xfId="1413" xr:uid="{00000000-0005-0000-0000-0000A9020000}"/>
    <cellStyle name="Финансовый 2 3 2 7 2 3" xfId="1157" xr:uid="{00000000-0005-0000-0000-0000AA020000}"/>
    <cellStyle name="Финансовый 2 3 2 7 2 4" xfId="1678" xr:uid="{00000000-0005-0000-0000-0000AB020000}"/>
    <cellStyle name="Финансовый 2 3 2 7 3" xfId="310" xr:uid="{00000000-0005-0000-0000-0000AC020000}"/>
    <cellStyle name="Финансовый 2 3 2 7 3 2" xfId="1285" xr:uid="{00000000-0005-0000-0000-0000AD020000}"/>
    <cellStyle name="Финансовый 2 3 2 7 4" xfId="631" xr:uid="{00000000-0005-0000-0000-0000AE020000}"/>
    <cellStyle name="Финансовый 2 3 2 7 4 2" xfId="1021" xr:uid="{00000000-0005-0000-0000-0000AF020000}"/>
    <cellStyle name="Финансовый 2 3 2 7 5" xfId="905" xr:uid="{00000000-0005-0000-0000-0000B0020000}"/>
    <cellStyle name="Финансовый 2 3 2 7 6" xfId="1541" xr:uid="{00000000-0005-0000-0000-0000B1020000}"/>
    <cellStyle name="Финансовый 2 3 2 7 7" xfId="768" xr:uid="{00000000-0005-0000-0000-0000B2020000}"/>
    <cellStyle name="Финансовый 2 3 2 8" xfId="24" xr:uid="{00000000-0005-0000-0000-0000B3020000}"/>
    <cellStyle name="Финансовый 2 3 2 8 2" xfId="162" xr:uid="{00000000-0005-0000-0000-0000B4020000}"/>
    <cellStyle name="Финансовый 2 3 2 8 2 2" xfId="434" xr:uid="{00000000-0005-0000-0000-0000B5020000}"/>
    <cellStyle name="Финансовый 2 3 2 8 2 2 2" xfId="1401" xr:uid="{00000000-0005-0000-0000-0000B6020000}"/>
    <cellStyle name="Финансовый 2 3 2 8 2 3" xfId="1145" xr:uid="{00000000-0005-0000-0000-0000B7020000}"/>
    <cellStyle name="Финансовый 2 3 2 8 2 4" xfId="1666" xr:uid="{00000000-0005-0000-0000-0000B8020000}"/>
    <cellStyle name="Финансовый 2 3 2 8 3" xfId="298" xr:uid="{00000000-0005-0000-0000-0000B9020000}"/>
    <cellStyle name="Финансовый 2 3 2 8 3 2" xfId="1273" xr:uid="{00000000-0005-0000-0000-0000BA020000}"/>
    <cellStyle name="Финансовый 2 3 2 8 4" xfId="642" xr:uid="{00000000-0005-0000-0000-0000BB020000}"/>
    <cellStyle name="Финансовый 2 3 2 8 4 2" xfId="1009" xr:uid="{00000000-0005-0000-0000-0000BC020000}"/>
    <cellStyle name="Финансовый 2 3 2 8 5" xfId="893" xr:uid="{00000000-0005-0000-0000-0000BD020000}"/>
    <cellStyle name="Финансовый 2 3 2 8 6" xfId="1529" xr:uid="{00000000-0005-0000-0000-0000BE020000}"/>
    <cellStyle name="Финансовый 2 3 2 8 7" xfId="756" xr:uid="{00000000-0005-0000-0000-0000BF020000}"/>
    <cellStyle name="Финансовый 2 3 2 9" xfId="150" xr:uid="{00000000-0005-0000-0000-0000C0020000}"/>
    <cellStyle name="Финансовый 2 3 2 9 2" xfId="422" xr:uid="{00000000-0005-0000-0000-0000C1020000}"/>
    <cellStyle name="Финансовый 2 3 2 9 2 2" xfId="1389" xr:uid="{00000000-0005-0000-0000-0000C2020000}"/>
    <cellStyle name="Финансовый 2 3 2 9 3" xfId="1133" xr:uid="{00000000-0005-0000-0000-0000C3020000}"/>
    <cellStyle name="Финансовый 2 3 2 9 4" xfId="1654" xr:uid="{00000000-0005-0000-0000-0000C4020000}"/>
    <cellStyle name="Финансовый 2 3 3" xfId="42" xr:uid="{00000000-0005-0000-0000-0000C5020000}"/>
    <cellStyle name="Финансовый 2 3 3 2" xfId="124" xr:uid="{00000000-0005-0000-0000-0000C6020000}"/>
    <cellStyle name="Финансовый 2 3 3 2 2" xfId="260" xr:uid="{00000000-0005-0000-0000-0000C7020000}"/>
    <cellStyle name="Финансовый 2 3 3 2 2 2" xfId="532" xr:uid="{00000000-0005-0000-0000-0000C8020000}"/>
    <cellStyle name="Финансовый 2 3 3 2 2 2 2" xfId="1491" xr:uid="{00000000-0005-0000-0000-0000C9020000}"/>
    <cellStyle name="Финансовый 2 3 3 2 2 3" xfId="1235" xr:uid="{00000000-0005-0000-0000-0000CA020000}"/>
    <cellStyle name="Финансовый 2 3 3 2 2 4" xfId="1764" xr:uid="{00000000-0005-0000-0000-0000CB020000}"/>
    <cellStyle name="Финансовый 2 3 3 2 3" xfId="396" xr:uid="{00000000-0005-0000-0000-0000CC020000}"/>
    <cellStyle name="Финансовый 2 3 3 2 3 2" xfId="1363" xr:uid="{00000000-0005-0000-0000-0000CD020000}"/>
    <cellStyle name="Финансовый 2 3 3 2 4" xfId="663" xr:uid="{00000000-0005-0000-0000-0000CE020000}"/>
    <cellStyle name="Финансовый 2 3 3 2 4 2" xfId="1107" xr:uid="{00000000-0005-0000-0000-0000CF020000}"/>
    <cellStyle name="Финансовый 2 3 3 2 5" xfId="983" xr:uid="{00000000-0005-0000-0000-0000D0020000}"/>
    <cellStyle name="Финансовый 2 3 3 2 6" xfId="1628" xr:uid="{00000000-0005-0000-0000-0000D1020000}"/>
    <cellStyle name="Финансовый 2 3 3 2 7" xfId="855" xr:uid="{00000000-0005-0000-0000-0000D2020000}"/>
    <cellStyle name="Финансовый 2 3 3 3" xfId="88" xr:uid="{00000000-0005-0000-0000-0000D3020000}"/>
    <cellStyle name="Финансовый 2 3 3 3 2" xfId="224" xr:uid="{00000000-0005-0000-0000-0000D4020000}"/>
    <cellStyle name="Финансовый 2 3 3 3 2 2" xfId="496" xr:uid="{00000000-0005-0000-0000-0000D5020000}"/>
    <cellStyle name="Финансовый 2 3 3 3 2 2 2" xfId="1455" xr:uid="{00000000-0005-0000-0000-0000D6020000}"/>
    <cellStyle name="Финансовый 2 3 3 3 2 3" xfId="1199" xr:uid="{00000000-0005-0000-0000-0000D7020000}"/>
    <cellStyle name="Финансовый 2 3 3 3 2 4" xfId="1728" xr:uid="{00000000-0005-0000-0000-0000D8020000}"/>
    <cellStyle name="Финансовый 2 3 3 3 3" xfId="360" xr:uid="{00000000-0005-0000-0000-0000D9020000}"/>
    <cellStyle name="Финансовый 2 3 3 3 3 2" xfId="1327" xr:uid="{00000000-0005-0000-0000-0000DA020000}"/>
    <cellStyle name="Финансовый 2 3 3 3 4" xfId="664" xr:uid="{00000000-0005-0000-0000-0000DB020000}"/>
    <cellStyle name="Финансовый 2 3 3 3 4 2" xfId="1071" xr:uid="{00000000-0005-0000-0000-0000DC020000}"/>
    <cellStyle name="Финансовый 2 3 3 3 5" xfId="947" xr:uid="{00000000-0005-0000-0000-0000DD020000}"/>
    <cellStyle name="Финансовый 2 3 3 3 6" xfId="1592" xr:uid="{00000000-0005-0000-0000-0000DE020000}"/>
    <cellStyle name="Финансовый 2 3 3 3 7" xfId="819" xr:uid="{00000000-0005-0000-0000-0000DF020000}"/>
    <cellStyle name="Финансовый 2 3 3 4" xfId="180" xr:uid="{00000000-0005-0000-0000-0000E0020000}"/>
    <cellStyle name="Финансовый 2 3 3 4 2" xfId="452" xr:uid="{00000000-0005-0000-0000-0000E1020000}"/>
    <cellStyle name="Финансовый 2 3 3 4 2 2" xfId="1419" xr:uid="{00000000-0005-0000-0000-0000E2020000}"/>
    <cellStyle name="Финансовый 2 3 3 4 3" xfId="1163" xr:uid="{00000000-0005-0000-0000-0000E3020000}"/>
    <cellStyle name="Финансовый 2 3 3 4 4" xfId="1684" xr:uid="{00000000-0005-0000-0000-0000E4020000}"/>
    <cellStyle name="Финансовый 2 3 3 5" xfId="316" xr:uid="{00000000-0005-0000-0000-0000E5020000}"/>
    <cellStyle name="Финансовый 2 3 3 5 2" xfId="1291" xr:uid="{00000000-0005-0000-0000-0000E6020000}"/>
    <cellStyle name="Финансовый 2 3 3 6" xfId="662" xr:uid="{00000000-0005-0000-0000-0000E7020000}"/>
    <cellStyle name="Финансовый 2 3 3 6 2" xfId="1027" xr:uid="{00000000-0005-0000-0000-0000E8020000}"/>
    <cellStyle name="Финансовый 2 3 3 7" xfId="911" xr:uid="{00000000-0005-0000-0000-0000E9020000}"/>
    <cellStyle name="Финансовый 2 3 3 8" xfId="1547" xr:uid="{00000000-0005-0000-0000-0000EA020000}"/>
    <cellStyle name="Финансовый 2 3 3 9" xfId="774" xr:uid="{00000000-0005-0000-0000-0000EB020000}"/>
    <cellStyle name="Финансовый 2 3 4" xfId="94" xr:uid="{00000000-0005-0000-0000-0000EC020000}"/>
    <cellStyle name="Финансовый 2 3 4 2" xfId="230" xr:uid="{00000000-0005-0000-0000-0000ED020000}"/>
    <cellStyle name="Финансовый 2 3 4 2 2" xfId="502" xr:uid="{00000000-0005-0000-0000-0000EE020000}"/>
    <cellStyle name="Финансовый 2 3 4 2 2 2" xfId="1461" xr:uid="{00000000-0005-0000-0000-0000EF020000}"/>
    <cellStyle name="Финансовый 2 3 4 2 3" xfId="1205" xr:uid="{00000000-0005-0000-0000-0000F0020000}"/>
    <cellStyle name="Финансовый 2 3 4 2 4" xfId="1734" xr:uid="{00000000-0005-0000-0000-0000F1020000}"/>
    <cellStyle name="Финансовый 2 3 4 3" xfId="366" xr:uid="{00000000-0005-0000-0000-0000F2020000}"/>
    <cellStyle name="Финансовый 2 3 4 3 2" xfId="1333" xr:uid="{00000000-0005-0000-0000-0000F3020000}"/>
    <cellStyle name="Финансовый 2 3 4 4" xfId="665" xr:uid="{00000000-0005-0000-0000-0000F4020000}"/>
    <cellStyle name="Финансовый 2 3 4 4 2" xfId="1077" xr:uid="{00000000-0005-0000-0000-0000F5020000}"/>
    <cellStyle name="Финансовый 2 3 4 5" xfId="953" xr:uid="{00000000-0005-0000-0000-0000F6020000}"/>
    <cellStyle name="Финансовый 2 3 4 6" xfId="1598" xr:uid="{00000000-0005-0000-0000-0000F7020000}"/>
    <cellStyle name="Финансовый 2 3 4 7" xfId="825" xr:uid="{00000000-0005-0000-0000-0000F8020000}"/>
    <cellStyle name="Финансовый 2 3 5" xfId="100" xr:uid="{00000000-0005-0000-0000-0000F9020000}"/>
    <cellStyle name="Финансовый 2 3 5 2" xfId="236" xr:uid="{00000000-0005-0000-0000-0000FA020000}"/>
    <cellStyle name="Финансовый 2 3 5 2 2" xfId="508" xr:uid="{00000000-0005-0000-0000-0000FB020000}"/>
    <cellStyle name="Финансовый 2 3 5 2 2 2" xfId="1467" xr:uid="{00000000-0005-0000-0000-0000FC020000}"/>
    <cellStyle name="Финансовый 2 3 5 2 3" xfId="1211" xr:uid="{00000000-0005-0000-0000-0000FD020000}"/>
    <cellStyle name="Финансовый 2 3 5 2 4" xfId="1740" xr:uid="{00000000-0005-0000-0000-0000FE020000}"/>
    <cellStyle name="Финансовый 2 3 5 3" xfId="372" xr:uid="{00000000-0005-0000-0000-0000FF020000}"/>
    <cellStyle name="Финансовый 2 3 5 3 2" xfId="1339" xr:uid="{00000000-0005-0000-0000-000000030000}"/>
    <cellStyle name="Финансовый 2 3 5 4" xfId="666" xr:uid="{00000000-0005-0000-0000-000001030000}"/>
    <cellStyle name="Финансовый 2 3 5 4 2" xfId="1083" xr:uid="{00000000-0005-0000-0000-000002030000}"/>
    <cellStyle name="Финансовый 2 3 5 5" xfId="959" xr:uid="{00000000-0005-0000-0000-000003030000}"/>
    <cellStyle name="Финансовый 2 3 5 6" xfId="1604" xr:uid="{00000000-0005-0000-0000-000004030000}"/>
    <cellStyle name="Финансовый 2 3 5 7" xfId="831" xr:uid="{00000000-0005-0000-0000-000005030000}"/>
    <cellStyle name="Финансовый 2 3 6" xfId="112" xr:uid="{00000000-0005-0000-0000-000006030000}"/>
    <cellStyle name="Финансовый 2 3 6 2" xfId="248" xr:uid="{00000000-0005-0000-0000-000007030000}"/>
    <cellStyle name="Финансовый 2 3 6 2 2" xfId="520" xr:uid="{00000000-0005-0000-0000-000008030000}"/>
    <cellStyle name="Финансовый 2 3 6 2 2 2" xfId="1479" xr:uid="{00000000-0005-0000-0000-000009030000}"/>
    <cellStyle name="Финансовый 2 3 6 2 3" xfId="1223" xr:uid="{00000000-0005-0000-0000-00000A030000}"/>
    <cellStyle name="Финансовый 2 3 6 2 4" xfId="1752" xr:uid="{00000000-0005-0000-0000-00000B030000}"/>
    <cellStyle name="Финансовый 2 3 6 3" xfId="384" xr:uid="{00000000-0005-0000-0000-00000C030000}"/>
    <cellStyle name="Финансовый 2 3 6 3 2" xfId="1351" xr:uid="{00000000-0005-0000-0000-00000D030000}"/>
    <cellStyle name="Финансовый 2 3 6 4" xfId="667" xr:uid="{00000000-0005-0000-0000-00000E030000}"/>
    <cellStyle name="Финансовый 2 3 6 4 2" xfId="1095" xr:uid="{00000000-0005-0000-0000-00000F030000}"/>
    <cellStyle name="Финансовый 2 3 6 5" xfId="971" xr:uid="{00000000-0005-0000-0000-000010030000}"/>
    <cellStyle name="Финансовый 2 3 6 6" xfId="1616" xr:uid="{00000000-0005-0000-0000-000011030000}"/>
    <cellStyle name="Финансовый 2 3 6 7" xfId="843" xr:uid="{00000000-0005-0000-0000-000012030000}"/>
    <cellStyle name="Финансовый 2 3 7" xfId="76" xr:uid="{00000000-0005-0000-0000-000013030000}"/>
    <cellStyle name="Финансовый 2 3 7 2" xfId="212" xr:uid="{00000000-0005-0000-0000-000014030000}"/>
    <cellStyle name="Финансовый 2 3 7 2 2" xfId="484" xr:uid="{00000000-0005-0000-0000-000015030000}"/>
    <cellStyle name="Финансовый 2 3 7 2 2 2" xfId="1443" xr:uid="{00000000-0005-0000-0000-000016030000}"/>
    <cellStyle name="Финансовый 2 3 7 2 3" xfId="1187" xr:uid="{00000000-0005-0000-0000-000017030000}"/>
    <cellStyle name="Финансовый 2 3 7 2 4" xfId="1716" xr:uid="{00000000-0005-0000-0000-000018030000}"/>
    <cellStyle name="Финансовый 2 3 7 3" xfId="348" xr:uid="{00000000-0005-0000-0000-000019030000}"/>
    <cellStyle name="Финансовый 2 3 7 3 2" xfId="1315" xr:uid="{00000000-0005-0000-0000-00001A030000}"/>
    <cellStyle name="Финансовый 2 3 7 4" xfId="668" xr:uid="{00000000-0005-0000-0000-00001B030000}"/>
    <cellStyle name="Финансовый 2 3 7 4 2" xfId="1059" xr:uid="{00000000-0005-0000-0000-00001C030000}"/>
    <cellStyle name="Финансовый 2 3 7 5" xfId="935" xr:uid="{00000000-0005-0000-0000-00001D030000}"/>
    <cellStyle name="Финансовый 2 3 7 6" xfId="1580" xr:uid="{00000000-0005-0000-0000-00001E030000}"/>
    <cellStyle name="Финансовый 2 3 7 7" xfId="807" xr:uid="{00000000-0005-0000-0000-00001F030000}"/>
    <cellStyle name="Финансовый 2 3 8" xfId="54" xr:uid="{00000000-0005-0000-0000-000020030000}"/>
    <cellStyle name="Финансовый 2 3 8 2" xfId="192" xr:uid="{00000000-0005-0000-0000-000021030000}"/>
    <cellStyle name="Финансовый 2 3 8 2 2" xfId="464" xr:uid="{00000000-0005-0000-0000-000022030000}"/>
    <cellStyle name="Финансовый 2 3 8 2 2 2" xfId="1431" xr:uid="{00000000-0005-0000-0000-000023030000}"/>
    <cellStyle name="Финансовый 2 3 8 2 3" xfId="1175" xr:uid="{00000000-0005-0000-0000-000024030000}"/>
    <cellStyle name="Финансовый 2 3 8 2 4" xfId="1696" xr:uid="{00000000-0005-0000-0000-000025030000}"/>
    <cellStyle name="Финансовый 2 3 8 3" xfId="328" xr:uid="{00000000-0005-0000-0000-000026030000}"/>
    <cellStyle name="Финансовый 2 3 8 3 2" xfId="1303" xr:uid="{00000000-0005-0000-0000-000027030000}"/>
    <cellStyle name="Финансовый 2 3 8 4" xfId="669" xr:uid="{00000000-0005-0000-0000-000028030000}"/>
    <cellStyle name="Финансовый 2 3 8 4 2" xfId="1039" xr:uid="{00000000-0005-0000-0000-000029030000}"/>
    <cellStyle name="Финансовый 2 3 8 5" xfId="923" xr:uid="{00000000-0005-0000-0000-00002A030000}"/>
    <cellStyle name="Финансовый 2 3 8 6" xfId="1559" xr:uid="{00000000-0005-0000-0000-00002B030000}"/>
    <cellStyle name="Финансовый 2 3 8 7" xfId="786" xr:uid="{00000000-0005-0000-0000-00002C030000}"/>
    <cellStyle name="Финансовый 2 3 9" xfId="132" xr:uid="{00000000-0005-0000-0000-00002D030000}"/>
    <cellStyle name="Финансовый 2 3 9 2" xfId="268" xr:uid="{00000000-0005-0000-0000-00002E030000}"/>
    <cellStyle name="Финансовый 2 3 9 2 2" xfId="540" xr:uid="{00000000-0005-0000-0000-00002F030000}"/>
    <cellStyle name="Финансовый 2 3 9 2 2 2" xfId="1499" xr:uid="{00000000-0005-0000-0000-000030030000}"/>
    <cellStyle name="Финансовый 2 3 9 2 3" xfId="1243" xr:uid="{00000000-0005-0000-0000-000031030000}"/>
    <cellStyle name="Финансовый 2 3 9 2 4" xfId="1772" xr:uid="{00000000-0005-0000-0000-000032030000}"/>
    <cellStyle name="Финансовый 2 3 9 3" xfId="404" xr:uid="{00000000-0005-0000-0000-000033030000}"/>
    <cellStyle name="Финансовый 2 3 9 3 2" xfId="1371" xr:uid="{00000000-0005-0000-0000-000034030000}"/>
    <cellStyle name="Финансовый 2 3 9 4" xfId="670" xr:uid="{00000000-0005-0000-0000-000035030000}"/>
    <cellStyle name="Финансовый 2 3 9 4 2" xfId="1115" xr:uid="{00000000-0005-0000-0000-000036030000}"/>
    <cellStyle name="Финансовый 2 3 9 5" xfId="991" xr:uid="{00000000-0005-0000-0000-000037030000}"/>
    <cellStyle name="Финансовый 2 3 9 6" xfId="1636" xr:uid="{00000000-0005-0000-0000-000038030000}"/>
    <cellStyle name="Финансовый 2 3 9 7" xfId="863" xr:uid="{00000000-0005-0000-0000-000039030000}"/>
    <cellStyle name="Финансовый 2 4" xfId="8" xr:uid="{00000000-0005-0000-0000-00003A030000}"/>
    <cellStyle name="Финансовый 2 4 10" xfId="554" xr:uid="{00000000-0005-0000-0000-00003B030000}"/>
    <cellStyle name="Финансовый 2 4 10 2" xfId="1257" xr:uid="{00000000-0005-0000-0000-00003C030000}"/>
    <cellStyle name="Финансовый 2 4 11" xfId="282" xr:uid="{00000000-0005-0000-0000-00003D030000}"/>
    <cellStyle name="Финансовый 2 4 12" xfId="672" xr:uid="{00000000-0005-0000-0000-00003E030000}"/>
    <cellStyle name="Финансовый 2 4 12 2" xfId="877" xr:uid="{00000000-0005-0000-0000-00003F030000}"/>
    <cellStyle name="Финансовый 2 4 13" xfId="1513" xr:uid="{00000000-0005-0000-0000-000040030000}"/>
    <cellStyle name="Финансовый 2 4 14" xfId="740" xr:uid="{00000000-0005-0000-0000-000041030000}"/>
    <cellStyle name="Финансовый 2 4 2" xfId="44" xr:uid="{00000000-0005-0000-0000-000042030000}"/>
    <cellStyle name="Финансовый 2 4 2 2" xfId="102" xr:uid="{00000000-0005-0000-0000-000043030000}"/>
    <cellStyle name="Финансовый 2 4 2 2 2" xfId="238" xr:uid="{00000000-0005-0000-0000-000044030000}"/>
    <cellStyle name="Финансовый 2 4 2 2 2 2" xfId="510" xr:uid="{00000000-0005-0000-0000-000045030000}"/>
    <cellStyle name="Финансовый 2 4 2 2 2 2 2" xfId="1469" xr:uid="{00000000-0005-0000-0000-000046030000}"/>
    <cellStyle name="Финансовый 2 4 2 2 2 3" xfId="1213" xr:uid="{00000000-0005-0000-0000-000047030000}"/>
    <cellStyle name="Финансовый 2 4 2 2 2 4" xfId="1742" xr:uid="{00000000-0005-0000-0000-000048030000}"/>
    <cellStyle name="Финансовый 2 4 2 2 3" xfId="374" xr:uid="{00000000-0005-0000-0000-000049030000}"/>
    <cellStyle name="Финансовый 2 4 2 2 3 2" xfId="1341" xr:uid="{00000000-0005-0000-0000-00004A030000}"/>
    <cellStyle name="Финансовый 2 4 2 2 4" xfId="674" xr:uid="{00000000-0005-0000-0000-00004B030000}"/>
    <cellStyle name="Финансовый 2 4 2 2 4 2" xfId="1085" xr:uid="{00000000-0005-0000-0000-00004C030000}"/>
    <cellStyle name="Финансовый 2 4 2 2 5" xfId="961" xr:uid="{00000000-0005-0000-0000-00004D030000}"/>
    <cellStyle name="Финансовый 2 4 2 2 6" xfId="1606" xr:uid="{00000000-0005-0000-0000-00004E030000}"/>
    <cellStyle name="Финансовый 2 4 2 2 7" xfId="833" xr:uid="{00000000-0005-0000-0000-00004F030000}"/>
    <cellStyle name="Финансовый 2 4 2 3" xfId="182" xr:uid="{00000000-0005-0000-0000-000050030000}"/>
    <cellStyle name="Финансовый 2 4 2 3 2" xfId="454" xr:uid="{00000000-0005-0000-0000-000051030000}"/>
    <cellStyle name="Финансовый 2 4 2 3 2 2" xfId="1421" xr:uid="{00000000-0005-0000-0000-000052030000}"/>
    <cellStyle name="Финансовый 2 4 2 3 3" xfId="1165" xr:uid="{00000000-0005-0000-0000-000053030000}"/>
    <cellStyle name="Финансовый 2 4 2 3 4" xfId="1686" xr:uid="{00000000-0005-0000-0000-000054030000}"/>
    <cellStyle name="Финансовый 2 4 2 4" xfId="318" xr:uid="{00000000-0005-0000-0000-000055030000}"/>
    <cellStyle name="Финансовый 2 4 2 4 2" xfId="1293" xr:uid="{00000000-0005-0000-0000-000056030000}"/>
    <cellStyle name="Финансовый 2 4 2 5" xfId="673" xr:uid="{00000000-0005-0000-0000-000057030000}"/>
    <cellStyle name="Финансовый 2 4 2 5 2" xfId="1029" xr:uid="{00000000-0005-0000-0000-000058030000}"/>
    <cellStyle name="Финансовый 2 4 2 6" xfId="913" xr:uid="{00000000-0005-0000-0000-000059030000}"/>
    <cellStyle name="Финансовый 2 4 2 7" xfId="1549" xr:uid="{00000000-0005-0000-0000-00005A030000}"/>
    <cellStyle name="Финансовый 2 4 2 8" xfId="776" xr:uid="{00000000-0005-0000-0000-00005B030000}"/>
    <cellStyle name="Финансовый 2 4 3" xfId="114" xr:uid="{00000000-0005-0000-0000-00005C030000}"/>
    <cellStyle name="Финансовый 2 4 3 2" xfId="250" xr:uid="{00000000-0005-0000-0000-00005D030000}"/>
    <cellStyle name="Финансовый 2 4 3 2 2" xfId="522" xr:uid="{00000000-0005-0000-0000-00005E030000}"/>
    <cellStyle name="Финансовый 2 4 3 2 2 2" xfId="1481" xr:uid="{00000000-0005-0000-0000-00005F030000}"/>
    <cellStyle name="Финансовый 2 4 3 2 3" xfId="1225" xr:uid="{00000000-0005-0000-0000-000060030000}"/>
    <cellStyle name="Финансовый 2 4 3 2 4" xfId="1754" xr:uid="{00000000-0005-0000-0000-000061030000}"/>
    <cellStyle name="Финансовый 2 4 3 3" xfId="386" xr:uid="{00000000-0005-0000-0000-000062030000}"/>
    <cellStyle name="Финансовый 2 4 3 3 2" xfId="1353" xr:uid="{00000000-0005-0000-0000-000063030000}"/>
    <cellStyle name="Финансовый 2 4 3 4" xfId="675" xr:uid="{00000000-0005-0000-0000-000064030000}"/>
    <cellStyle name="Финансовый 2 4 3 4 2" xfId="1097" xr:uid="{00000000-0005-0000-0000-000065030000}"/>
    <cellStyle name="Финансовый 2 4 3 5" xfId="973" xr:uid="{00000000-0005-0000-0000-000066030000}"/>
    <cellStyle name="Финансовый 2 4 3 6" xfId="1618" xr:uid="{00000000-0005-0000-0000-000067030000}"/>
    <cellStyle name="Финансовый 2 4 3 7" xfId="845" xr:uid="{00000000-0005-0000-0000-000068030000}"/>
    <cellStyle name="Финансовый 2 4 4" xfId="78" xr:uid="{00000000-0005-0000-0000-000069030000}"/>
    <cellStyle name="Финансовый 2 4 4 2" xfId="214" xr:uid="{00000000-0005-0000-0000-00006A030000}"/>
    <cellStyle name="Финансовый 2 4 4 2 2" xfId="486" xr:uid="{00000000-0005-0000-0000-00006B030000}"/>
    <cellStyle name="Финансовый 2 4 4 2 2 2" xfId="1445" xr:uid="{00000000-0005-0000-0000-00006C030000}"/>
    <cellStyle name="Финансовый 2 4 4 2 3" xfId="1189" xr:uid="{00000000-0005-0000-0000-00006D030000}"/>
    <cellStyle name="Финансовый 2 4 4 2 4" xfId="1718" xr:uid="{00000000-0005-0000-0000-00006E030000}"/>
    <cellStyle name="Финансовый 2 4 4 3" xfId="350" xr:uid="{00000000-0005-0000-0000-00006F030000}"/>
    <cellStyle name="Финансовый 2 4 4 3 2" xfId="1317" xr:uid="{00000000-0005-0000-0000-000070030000}"/>
    <cellStyle name="Финансовый 2 4 4 4" xfId="676" xr:uid="{00000000-0005-0000-0000-000071030000}"/>
    <cellStyle name="Финансовый 2 4 4 4 2" xfId="1061" xr:uid="{00000000-0005-0000-0000-000072030000}"/>
    <cellStyle name="Финансовый 2 4 4 5" xfId="937" xr:uid="{00000000-0005-0000-0000-000073030000}"/>
    <cellStyle name="Финансовый 2 4 4 6" xfId="1582" xr:uid="{00000000-0005-0000-0000-000074030000}"/>
    <cellStyle name="Финансовый 2 4 4 7" xfId="809" xr:uid="{00000000-0005-0000-0000-000075030000}"/>
    <cellStyle name="Финансовый 2 4 5" xfId="56" xr:uid="{00000000-0005-0000-0000-000076030000}"/>
    <cellStyle name="Финансовый 2 4 5 2" xfId="194" xr:uid="{00000000-0005-0000-0000-000077030000}"/>
    <cellStyle name="Финансовый 2 4 5 2 2" xfId="466" xr:uid="{00000000-0005-0000-0000-000078030000}"/>
    <cellStyle name="Финансовый 2 4 5 2 2 2" xfId="1433" xr:uid="{00000000-0005-0000-0000-000079030000}"/>
    <cellStyle name="Финансовый 2 4 5 2 3" xfId="1177" xr:uid="{00000000-0005-0000-0000-00007A030000}"/>
    <cellStyle name="Финансовый 2 4 5 2 4" xfId="1698" xr:uid="{00000000-0005-0000-0000-00007B030000}"/>
    <cellStyle name="Финансовый 2 4 5 3" xfId="330" xr:uid="{00000000-0005-0000-0000-00007C030000}"/>
    <cellStyle name="Финансовый 2 4 5 3 2" xfId="1305" xr:uid="{00000000-0005-0000-0000-00007D030000}"/>
    <cellStyle name="Финансовый 2 4 5 4" xfId="677" xr:uid="{00000000-0005-0000-0000-00007E030000}"/>
    <cellStyle name="Финансовый 2 4 5 4 2" xfId="1041" xr:uid="{00000000-0005-0000-0000-00007F030000}"/>
    <cellStyle name="Финансовый 2 4 5 5" xfId="925" xr:uid="{00000000-0005-0000-0000-000080030000}"/>
    <cellStyle name="Финансовый 2 4 5 6" xfId="1561" xr:uid="{00000000-0005-0000-0000-000081030000}"/>
    <cellStyle name="Финансовый 2 4 5 7" xfId="788" xr:uid="{00000000-0005-0000-0000-000082030000}"/>
    <cellStyle name="Финансовый 2 4 6" xfId="134" xr:uid="{00000000-0005-0000-0000-000083030000}"/>
    <cellStyle name="Финансовый 2 4 6 2" xfId="270" xr:uid="{00000000-0005-0000-0000-000084030000}"/>
    <cellStyle name="Финансовый 2 4 6 2 2" xfId="542" xr:uid="{00000000-0005-0000-0000-000085030000}"/>
    <cellStyle name="Финансовый 2 4 6 2 2 2" xfId="1501" xr:uid="{00000000-0005-0000-0000-000086030000}"/>
    <cellStyle name="Финансовый 2 4 6 2 3" xfId="1245" xr:uid="{00000000-0005-0000-0000-000087030000}"/>
    <cellStyle name="Финансовый 2 4 6 2 4" xfId="1774" xr:uid="{00000000-0005-0000-0000-000088030000}"/>
    <cellStyle name="Финансовый 2 4 6 3" xfId="406" xr:uid="{00000000-0005-0000-0000-000089030000}"/>
    <cellStyle name="Финансовый 2 4 6 3 2" xfId="1373" xr:uid="{00000000-0005-0000-0000-00008A030000}"/>
    <cellStyle name="Финансовый 2 4 6 4" xfId="678" xr:uid="{00000000-0005-0000-0000-00008B030000}"/>
    <cellStyle name="Финансовый 2 4 6 4 2" xfId="1117" xr:uid="{00000000-0005-0000-0000-00008C030000}"/>
    <cellStyle name="Финансовый 2 4 6 5" xfId="993" xr:uid="{00000000-0005-0000-0000-00008D030000}"/>
    <cellStyle name="Финансовый 2 4 6 6" xfId="1638" xr:uid="{00000000-0005-0000-0000-00008E030000}"/>
    <cellStyle name="Финансовый 2 4 6 7" xfId="865" xr:uid="{00000000-0005-0000-0000-00008F030000}"/>
    <cellStyle name="Финансовый 2 4 7" xfId="32" xr:uid="{00000000-0005-0000-0000-000090030000}"/>
    <cellStyle name="Финансовый 2 4 7 2" xfId="170" xr:uid="{00000000-0005-0000-0000-000091030000}"/>
    <cellStyle name="Финансовый 2 4 7 2 2" xfId="442" xr:uid="{00000000-0005-0000-0000-000092030000}"/>
    <cellStyle name="Финансовый 2 4 7 2 2 2" xfId="1409" xr:uid="{00000000-0005-0000-0000-000093030000}"/>
    <cellStyle name="Финансовый 2 4 7 2 3" xfId="1153" xr:uid="{00000000-0005-0000-0000-000094030000}"/>
    <cellStyle name="Финансовый 2 4 7 2 4" xfId="1674" xr:uid="{00000000-0005-0000-0000-000095030000}"/>
    <cellStyle name="Финансовый 2 4 7 3" xfId="306" xr:uid="{00000000-0005-0000-0000-000096030000}"/>
    <cellStyle name="Финансовый 2 4 7 3 2" xfId="1281" xr:uid="{00000000-0005-0000-0000-000097030000}"/>
    <cellStyle name="Финансовый 2 4 7 4" xfId="679" xr:uid="{00000000-0005-0000-0000-000098030000}"/>
    <cellStyle name="Финансовый 2 4 7 4 2" xfId="1017" xr:uid="{00000000-0005-0000-0000-000099030000}"/>
    <cellStyle name="Финансовый 2 4 7 5" xfId="901" xr:uid="{00000000-0005-0000-0000-00009A030000}"/>
    <cellStyle name="Финансовый 2 4 7 6" xfId="1537" xr:uid="{00000000-0005-0000-0000-00009B030000}"/>
    <cellStyle name="Финансовый 2 4 7 7" xfId="764" xr:uid="{00000000-0005-0000-0000-00009C030000}"/>
    <cellStyle name="Финансовый 2 4 8" xfId="20" xr:uid="{00000000-0005-0000-0000-00009D030000}"/>
    <cellStyle name="Финансовый 2 4 8 2" xfId="158" xr:uid="{00000000-0005-0000-0000-00009E030000}"/>
    <cellStyle name="Финансовый 2 4 8 2 2" xfId="430" xr:uid="{00000000-0005-0000-0000-00009F030000}"/>
    <cellStyle name="Финансовый 2 4 8 2 2 2" xfId="1397" xr:uid="{00000000-0005-0000-0000-0000A0030000}"/>
    <cellStyle name="Финансовый 2 4 8 2 3" xfId="1141" xr:uid="{00000000-0005-0000-0000-0000A1030000}"/>
    <cellStyle name="Финансовый 2 4 8 2 4" xfId="1662" xr:uid="{00000000-0005-0000-0000-0000A2030000}"/>
    <cellStyle name="Финансовый 2 4 8 3" xfId="294" xr:uid="{00000000-0005-0000-0000-0000A3030000}"/>
    <cellStyle name="Финансовый 2 4 8 3 2" xfId="1269" xr:uid="{00000000-0005-0000-0000-0000A4030000}"/>
    <cellStyle name="Финансовый 2 4 8 4" xfId="680" xr:uid="{00000000-0005-0000-0000-0000A5030000}"/>
    <cellStyle name="Финансовый 2 4 8 4 2" xfId="1005" xr:uid="{00000000-0005-0000-0000-0000A6030000}"/>
    <cellStyle name="Финансовый 2 4 8 5" xfId="889" xr:uid="{00000000-0005-0000-0000-0000A7030000}"/>
    <cellStyle name="Финансовый 2 4 8 6" xfId="1525" xr:uid="{00000000-0005-0000-0000-0000A8030000}"/>
    <cellStyle name="Финансовый 2 4 8 7" xfId="752" xr:uid="{00000000-0005-0000-0000-0000A9030000}"/>
    <cellStyle name="Финансовый 2 4 9" xfId="146" xr:uid="{00000000-0005-0000-0000-0000AA030000}"/>
    <cellStyle name="Финансовый 2 4 9 2" xfId="418" xr:uid="{00000000-0005-0000-0000-0000AB030000}"/>
    <cellStyle name="Финансовый 2 4 9 2 2" xfId="1385" xr:uid="{00000000-0005-0000-0000-0000AC030000}"/>
    <cellStyle name="Финансовый 2 4 9 3" xfId="1129" xr:uid="{00000000-0005-0000-0000-0000AD030000}"/>
    <cellStyle name="Финансовый 2 4 9 4" xfId="1650" xr:uid="{00000000-0005-0000-0000-0000AE030000}"/>
    <cellStyle name="Финансовый 2 5" xfId="38" xr:uid="{00000000-0005-0000-0000-0000AF030000}"/>
    <cellStyle name="Финансовый 2 5 2" xfId="120" xr:uid="{00000000-0005-0000-0000-0000B0030000}"/>
    <cellStyle name="Финансовый 2 5 2 2" xfId="256" xr:uid="{00000000-0005-0000-0000-0000B1030000}"/>
    <cellStyle name="Финансовый 2 5 2 2 2" xfId="528" xr:uid="{00000000-0005-0000-0000-0000B2030000}"/>
    <cellStyle name="Финансовый 2 5 2 2 2 2" xfId="1487" xr:uid="{00000000-0005-0000-0000-0000B3030000}"/>
    <cellStyle name="Финансовый 2 5 2 2 3" xfId="1231" xr:uid="{00000000-0005-0000-0000-0000B4030000}"/>
    <cellStyle name="Финансовый 2 5 2 2 4" xfId="1760" xr:uid="{00000000-0005-0000-0000-0000B5030000}"/>
    <cellStyle name="Финансовый 2 5 2 3" xfId="392" xr:uid="{00000000-0005-0000-0000-0000B6030000}"/>
    <cellStyle name="Финансовый 2 5 2 3 2" xfId="1359" xr:uid="{00000000-0005-0000-0000-0000B7030000}"/>
    <cellStyle name="Финансовый 2 5 2 4" xfId="682" xr:uid="{00000000-0005-0000-0000-0000B8030000}"/>
    <cellStyle name="Финансовый 2 5 2 4 2" xfId="1103" xr:uid="{00000000-0005-0000-0000-0000B9030000}"/>
    <cellStyle name="Финансовый 2 5 2 5" xfId="979" xr:uid="{00000000-0005-0000-0000-0000BA030000}"/>
    <cellStyle name="Финансовый 2 5 2 6" xfId="1624" xr:uid="{00000000-0005-0000-0000-0000BB030000}"/>
    <cellStyle name="Финансовый 2 5 2 7" xfId="851" xr:uid="{00000000-0005-0000-0000-0000BC030000}"/>
    <cellStyle name="Финансовый 2 5 3" xfId="84" xr:uid="{00000000-0005-0000-0000-0000BD030000}"/>
    <cellStyle name="Финансовый 2 5 3 2" xfId="220" xr:uid="{00000000-0005-0000-0000-0000BE030000}"/>
    <cellStyle name="Финансовый 2 5 3 2 2" xfId="492" xr:uid="{00000000-0005-0000-0000-0000BF030000}"/>
    <cellStyle name="Финансовый 2 5 3 2 2 2" xfId="1451" xr:uid="{00000000-0005-0000-0000-0000C0030000}"/>
    <cellStyle name="Финансовый 2 5 3 2 3" xfId="1195" xr:uid="{00000000-0005-0000-0000-0000C1030000}"/>
    <cellStyle name="Финансовый 2 5 3 2 4" xfId="1724" xr:uid="{00000000-0005-0000-0000-0000C2030000}"/>
    <cellStyle name="Финансовый 2 5 3 3" xfId="356" xr:uid="{00000000-0005-0000-0000-0000C3030000}"/>
    <cellStyle name="Финансовый 2 5 3 3 2" xfId="1323" xr:uid="{00000000-0005-0000-0000-0000C4030000}"/>
    <cellStyle name="Финансовый 2 5 3 4" xfId="612" xr:uid="{00000000-0005-0000-0000-0000C5030000}"/>
    <cellStyle name="Финансовый 2 5 3 4 2" xfId="1067" xr:uid="{00000000-0005-0000-0000-0000C6030000}"/>
    <cellStyle name="Финансовый 2 5 3 5" xfId="943" xr:uid="{00000000-0005-0000-0000-0000C7030000}"/>
    <cellStyle name="Финансовый 2 5 3 6" xfId="1588" xr:uid="{00000000-0005-0000-0000-0000C8030000}"/>
    <cellStyle name="Финансовый 2 5 3 7" xfId="815" xr:uid="{00000000-0005-0000-0000-0000C9030000}"/>
    <cellStyle name="Финансовый 2 5 4" xfId="176" xr:uid="{00000000-0005-0000-0000-0000CA030000}"/>
    <cellStyle name="Финансовый 2 5 4 2" xfId="448" xr:uid="{00000000-0005-0000-0000-0000CB030000}"/>
    <cellStyle name="Финансовый 2 5 4 2 2" xfId="1415" xr:uid="{00000000-0005-0000-0000-0000CC030000}"/>
    <cellStyle name="Финансовый 2 5 4 3" xfId="1159" xr:uid="{00000000-0005-0000-0000-0000CD030000}"/>
    <cellStyle name="Финансовый 2 5 4 4" xfId="1680" xr:uid="{00000000-0005-0000-0000-0000CE030000}"/>
    <cellStyle name="Финансовый 2 5 5" xfId="312" xr:uid="{00000000-0005-0000-0000-0000CF030000}"/>
    <cellStyle name="Финансовый 2 5 5 2" xfId="1287" xr:uid="{00000000-0005-0000-0000-0000D0030000}"/>
    <cellStyle name="Финансовый 2 5 6" xfId="681" xr:uid="{00000000-0005-0000-0000-0000D1030000}"/>
    <cellStyle name="Финансовый 2 5 6 2" xfId="1023" xr:uid="{00000000-0005-0000-0000-0000D2030000}"/>
    <cellStyle name="Финансовый 2 5 7" xfId="907" xr:uid="{00000000-0005-0000-0000-0000D3030000}"/>
    <cellStyle name="Финансовый 2 5 8" xfId="1543" xr:uid="{00000000-0005-0000-0000-0000D4030000}"/>
    <cellStyle name="Финансовый 2 5 9" xfId="770" xr:uid="{00000000-0005-0000-0000-0000D5030000}"/>
    <cellStyle name="Финансовый 2 6" xfId="90" xr:uid="{00000000-0005-0000-0000-0000D6030000}"/>
    <cellStyle name="Финансовый 2 6 2" xfId="226" xr:uid="{00000000-0005-0000-0000-0000D7030000}"/>
    <cellStyle name="Финансовый 2 6 2 2" xfId="498" xr:uid="{00000000-0005-0000-0000-0000D8030000}"/>
    <cellStyle name="Финансовый 2 6 2 2 2" xfId="1457" xr:uid="{00000000-0005-0000-0000-0000D9030000}"/>
    <cellStyle name="Финансовый 2 6 2 3" xfId="1201" xr:uid="{00000000-0005-0000-0000-0000DA030000}"/>
    <cellStyle name="Финансовый 2 6 2 4" xfId="1730" xr:uid="{00000000-0005-0000-0000-0000DB030000}"/>
    <cellStyle name="Финансовый 2 6 3" xfId="362" xr:uid="{00000000-0005-0000-0000-0000DC030000}"/>
    <cellStyle name="Финансовый 2 6 3 2" xfId="1329" xr:uid="{00000000-0005-0000-0000-0000DD030000}"/>
    <cellStyle name="Финансовый 2 6 4" xfId="683" xr:uid="{00000000-0005-0000-0000-0000DE030000}"/>
    <cellStyle name="Финансовый 2 6 4 2" xfId="1073" xr:uid="{00000000-0005-0000-0000-0000DF030000}"/>
    <cellStyle name="Финансовый 2 6 5" xfId="949" xr:uid="{00000000-0005-0000-0000-0000E0030000}"/>
    <cellStyle name="Финансовый 2 6 6" xfId="1594" xr:uid="{00000000-0005-0000-0000-0000E1030000}"/>
    <cellStyle name="Финансовый 2 6 7" xfId="821" xr:uid="{00000000-0005-0000-0000-0000E2030000}"/>
    <cellStyle name="Финансовый 2 7" xfId="96" xr:uid="{00000000-0005-0000-0000-0000E3030000}"/>
    <cellStyle name="Финансовый 2 7 2" xfId="232" xr:uid="{00000000-0005-0000-0000-0000E4030000}"/>
    <cellStyle name="Финансовый 2 7 2 2" xfId="504" xr:uid="{00000000-0005-0000-0000-0000E5030000}"/>
    <cellStyle name="Финансовый 2 7 2 2 2" xfId="1463" xr:uid="{00000000-0005-0000-0000-0000E6030000}"/>
    <cellStyle name="Финансовый 2 7 2 3" xfId="1207" xr:uid="{00000000-0005-0000-0000-0000E7030000}"/>
    <cellStyle name="Финансовый 2 7 2 4" xfId="1736" xr:uid="{00000000-0005-0000-0000-0000E8030000}"/>
    <cellStyle name="Финансовый 2 7 3" xfId="368" xr:uid="{00000000-0005-0000-0000-0000E9030000}"/>
    <cellStyle name="Финансовый 2 7 3 2" xfId="1335" xr:uid="{00000000-0005-0000-0000-0000EA030000}"/>
    <cellStyle name="Финансовый 2 7 4" xfId="684" xr:uid="{00000000-0005-0000-0000-0000EB030000}"/>
    <cellStyle name="Финансовый 2 7 4 2" xfId="1079" xr:uid="{00000000-0005-0000-0000-0000EC030000}"/>
    <cellStyle name="Финансовый 2 7 5" xfId="955" xr:uid="{00000000-0005-0000-0000-0000ED030000}"/>
    <cellStyle name="Финансовый 2 7 6" xfId="1600" xr:uid="{00000000-0005-0000-0000-0000EE030000}"/>
    <cellStyle name="Финансовый 2 7 7" xfId="827" xr:uid="{00000000-0005-0000-0000-0000EF030000}"/>
    <cellStyle name="Финансовый 2 8" xfId="108" xr:uid="{00000000-0005-0000-0000-0000F0030000}"/>
    <cellStyle name="Финансовый 2 8 2" xfId="244" xr:uid="{00000000-0005-0000-0000-0000F1030000}"/>
    <cellStyle name="Финансовый 2 8 2 2" xfId="516" xr:uid="{00000000-0005-0000-0000-0000F2030000}"/>
    <cellStyle name="Финансовый 2 8 2 2 2" xfId="1475" xr:uid="{00000000-0005-0000-0000-0000F3030000}"/>
    <cellStyle name="Финансовый 2 8 2 3" xfId="1219" xr:uid="{00000000-0005-0000-0000-0000F4030000}"/>
    <cellStyle name="Финансовый 2 8 2 4" xfId="1748" xr:uid="{00000000-0005-0000-0000-0000F5030000}"/>
    <cellStyle name="Финансовый 2 8 3" xfId="380" xr:uid="{00000000-0005-0000-0000-0000F6030000}"/>
    <cellStyle name="Финансовый 2 8 3 2" xfId="1347" xr:uid="{00000000-0005-0000-0000-0000F7030000}"/>
    <cellStyle name="Финансовый 2 8 4" xfId="685" xr:uid="{00000000-0005-0000-0000-0000F8030000}"/>
    <cellStyle name="Финансовый 2 8 4 2" xfId="1091" xr:uid="{00000000-0005-0000-0000-0000F9030000}"/>
    <cellStyle name="Финансовый 2 8 5" xfId="967" xr:uid="{00000000-0005-0000-0000-0000FA030000}"/>
    <cellStyle name="Финансовый 2 8 6" xfId="1612" xr:uid="{00000000-0005-0000-0000-0000FB030000}"/>
    <cellStyle name="Финансовый 2 8 7" xfId="839" xr:uid="{00000000-0005-0000-0000-0000FC030000}"/>
    <cellStyle name="Финансовый 2 9" xfId="126" xr:uid="{00000000-0005-0000-0000-0000FD030000}"/>
    <cellStyle name="Финансовый 2 9 2" xfId="262" xr:uid="{00000000-0005-0000-0000-0000FE030000}"/>
    <cellStyle name="Финансовый 2 9 2 2" xfId="534" xr:uid="{00000000-0005-0000-0000-0000FF030000}"/>
    <cellStyle name="Финансовый 2 9 2 2 2" xfId="1493" xr:uid="{00000000-0005-0000-0000-000000040000}"/>
    <cellStyle name="Финансовый 2 9 2 3" xfId="1237" xr:uid="{00000000-0005-0000-0000-000001040000}"/>
    <cellStyle name="Финансовый 2 9 2 4" xfId="1766" xr:uid="{00000000-0005-0000-0000-000002040000}"/>
    <cellStyle name="Финансовый 2 9 3" xfId="398" xr:uid="{00000000-0005-0000-0000-000003040000}"/>
    <cellStyle name="Финансовый 2 9 3 2" xfId="1365" xr:uid="{00000000-0005-0000-0000-000004040000}"/>
    <cellStyle name="Финансовый 2 9 4" xfId="686" xr:uid="{00000000-0005-0000-0000-000005040000}"/>
    <cellStyle name="Финансовый 2 9 4 2" xfId="1109" xr:uid="{00000000-0005-0000-0000-000006040000}"/>
    <cellStyle name="Финансовый 2 9 5" xfId="985" xr:uid="{00000000-0005-0000-0000-000007040000}"/>
    <cellStyle name="Финансовый 2 9 6" xfId="1630" xr:uid="{00000000-0005-0000-0000-000008040000}"/>
    <cellStyle name="Финансовый 2 9 7" xfId="857" xr:uid="{00000000-0005-0000-0000-000009040000}"/>
    <cellStyle name="Финансовый 20" xfId="1506" xr:uid="{00000000-0005-0000-0000-00000A040000}"/>
    <cellStyle name="Финансовый 21" xfId="1568" xr:uid="{00000000-0005-0000-0000-00000B040000}"/>
    <cellStyle name="Финансовый 22" xfId="1781" xr:uid="{00000000-0005-0000-0000-00000C040000}"/>
    <cellStyle name="Финансовый 23" xfId="1779" xr:uid="{00000000-0005-0000-0000-00000D040000}"/>
    <cellStyle name="Финансовый 24" xfId="1785" xr:uid="{00000000-0005-0000-0000-00000E040000}"/>
    <cellStyle name="Финансовый 25" xfId="1783" xr:uid="{00000000-0005-0000-0000-00000F040000}"/>
    <cellStyle name="Финансовый 26" xfId="1782" xr:uid="{00000000-0005-0000-0000-000010040000}"/>
    <cellStyle name="Финансовый 27" xfId="1780" xr:uid="{00000000-0005-0000-0000-000011040000}"/>
    <cellStyle name="Финансовый 28" xfId="1784" xr:uid="{00000000-0005-0000-0000-000012040000}"/>
    <cellStyle name="Финансовый 29" xfId="733" xr:uid="{00000000-0005-0000-0000-000013040000}"/>
    <cellStyle name="Финансовый 3" xfId="3" xr:uid="{00000000-0005-0000-0000-000014040000}"/>
    <cellStyle name="Финансовый 3 10" xfId="27" xr:uid="{00000000-0005-0000-0000-000015040000}"/>
    <cellStyle name="Финансовый 3 10 2" xfId="165" xr:uid="{00000000-0005-0000-0000-000016040000}"/>
    <cellStyle name="Финансовый 3 10 2 2" xfId="437" xr:uid="{00000000-0005-0000-0000-000017040000}"/>
    <cellStyle name="Финансовый 3 10 2 2 2" xfId="1404" xr:uid="{00000000-0005-0000-0000-000018040000}"/>
    <cellStyle name="Финансовый 3 10 2 3" xfId="1148" xr:uid="{00000000-0005-0000-0000-000019040000}"/>
    <cellStyle name="Финансовый 3 10 2 4" xfId="1669" xr:uid="{00000000-0005-0000-0000-00001A040000}"/>
    <cellStyle name="Финансовый 3 10 3" xfId="301" xr:uid="{00000000-0005-0000-0000-00001B040000}"/>
    <cellStyle name="Финансовый 3 10 3 2" xfId="1276" xr:uid="{00000000-0005-0000-0000-00001C040000}"/>
    <cellStyle name="Финансовый 3 10 4" xfId="688" xr:uid="{00000000-0005-0000-0000-00001D040000}"/>
    <cellStyle name="Финансовый 3 10 4 2" xfId="1012" xr:uid="{00000000-0005-0000-0000-00001E040000}"/>
    <cellStyle name="Финансовый 3 10 5" xfId="896" xr:uid="{00000000-0005-0000-0000-00001F040000}"/>
    <cellStyle name="Финансовый 3 10 6" xfId="1532" xr:uid="{00000000-0005-0000-0000-000020040000}"/>
    <cellStyle name="Финансовый 3 10 7" xfId="759" xr:uid="{00000000-0005-0000-0000-000021040000}"/>
    <cellStyle name="Финансовый 3 11" xfId="15" xr:uid="{00000000-0005-0000-0000-000022040000}"/>
    <cellStyle name="Финансовый 3 11 2" xfId="153" xr:uid="{00000000-0005-0000-0000-000023040000}"/>
    <cellStyle name="Финансовый 3 11 2 2" xfId="425" xr:uid="{00000000-0005-0000-0000-000024040000}"/>
    <cellStyle name="Финансовый 3 11 2 2 2" xfId="1392" xr:uid="{00000000-0005-0000-0000-000025040000}"/>
    <cellStyle name="Финансовый 3 11 2 3" xfId="1136" xr:uid="{00000000-0005-0000-0000-000026040000}"/>
    <cellStyle name="Финансовый 3 11 2 4" xfId="1657" xr:uid="{00000000-0005-0000-0000-000027040000}"/>
    <cellStyle name="Финансовый 3 11 3" xfId="289" xr:uid="{00000000-0005-0000-0000-000028040000}"/>
    <cellStyle name="Финансовый 3 11 3 2" xfId="1264" xr:uid="{00000000-0005-0000-0000-000029040000}"/>
    <cellStyle name="Финансовый 3 11 4" xfId="689" xr:uid="{00000000-0005-0000-0000-00002A040000}"/>
    <cellStyle name="Финансовый 3 11 4 2" xfId="1000" xr:uid="{00000000-0005-0000-0000-00002B040000}"/>
    <cellStyle name="Финансовый 3 11 5" xfId="884" xr:uid="{00000000-0005-0000-0000-00002C040000}"/>
    <cellStyle name="Финансовый 3 11 6" xfId="1520" xr:uid="{00000000-0005-0000-0000-00002D040000}"/>
    <cellStyle name="Финансовый 3 11 7" xfId="747" xr:uid="{00000000-0005-0000-0000-00002E040000}"/>
    <cellStyle name="Финансовый 3 12" xfId="141" xr:uid="{00000000-0005-0000-0000-00002F040000}"/>
    <cellStyle name="Финансовый 3 12 2" xfId="413" xr:uid="{00000000-0005-0000-0000-000030040000}"/>
    <cellStyle name="Финансовый 3 12 2 2" xfId="1380" xr:uid="{00000000-0005-0000-0000-000031040000}"/>
    <cellStyle name="Финансовый 3 12 3" xfId="1124" xr:uid="{00000000-0005-0000-0000-000032040000}"/>
    <cellStyle name="Финансовый 3 12 4" xfId="1645" xr:uid="{00000000-0005-0000-0000-000033040000}"/>
    <cellStyle name="Финансовый 3 13" xfId="549" xr:uid="{00000000-0005-0000-0000-000034040000}"/>
    <cellStyle name="Финансовый 3 13 2" xfId="1252" xr:uid="{00000000-0005-0000-0000-000035040000}"/>
    <cellStyle name="Финансовый 3 14" xfId="277" xr:uid="{00000000-0005-0000-0000-000036040000}"/>
    <cellStyle name="Финансовый 3 15" xfId="687" xr:uid="{00000000-0005-0000-0000-000037040000}"/>
    <cellStyle name="Финансовый 3 15 2" xfId="872" xr:uid="{00000000-0005-0000-0000-000038040000}"/>
    <cellStyle name="Финансовый 3 16" xfId="1508" xr:uid="{00000000-0005-0000-0000-000039040000}"/>
    <cellStyle name="Финансовый 3 17" xfId="735" xr:uid="{00000000-0005-0000-0000-00003A040000}"/>
    <cellStyle name="Финансовый 3 2" xfId="9" xr:uid="{00000000-0005-0000-0000-00003B040000}"/>
    <cellStyle name="Финансовый 3 2 10" xfId="555" xr:uid="{00000000-0005-0000-0000-00003C040000}"/>
    <cellStyle name="Финансовый 3 2 10 2" xfId="1258" xr:uid="{00000000-0005-0000-0000-00003D040000}"/>
    <cellStyle name="Финансовый 3 2 11" xfId="283" xr:uid="{00000000-0005-0000-0000-00003E040000}"/>
    <cellStyle name="Финансовый 3 2 12" xfId="690" xr:uid="{00000000-0005-0000-0000-00003F040000}"/>
    <cellStyle name="Финансовый 3 2 12 2" xfId="878" xr:uid="{00000000-0005-0000-0000-000040040000}"/>
    <cellStyle name="Финансовый 3 2 13" xfId="1514" xr:uid="{00000000-0005-0000-0000-000041040000}"/>
    <cellStyle name="Финансовый 3 2 14" xfId="741" xr:uid="{00000000-0005-0000-0000-000042040000}"/>
    <cellStyle name="Финансовый 3 2 2" xfId="45" xr:uid="{00000000-0005-0000-0000-000043040000}"/>
    <cellStyle name="Финансовый 3 2 2 2" xfId="103" xr:uid="{00000000-0005-0000-0000-000044040000}"/>
    <cellStyle name="Финансовый 3 2 2 2 2" xfId="239" xr:uid="{00000000-0005-0000-0000-000045040000}"/>
    <cellStyle name="Финансовый 3 2 2 2 2 2" xfId="511" xr:uid="{00000000-0005-0000-0000-000046040000}"/>
    <cellStyle name="Финансовый 3 2 2 2 2 2 2" xfId="1470" xr:uid="{00000000-0005-0000-0000-000047040000}"/>
    <cellStyle name="Финансовый 3 2 2 2 2 3" xfId="1214" xr:uid="{00000000-0005-0000-0000-000048040000}"/>
    <cellStyle name="Финансовый 3 2 2 2 2 4" xfId="1743" xr:uid="{00000000-0005-0000-0000-000049040000}"/>
    <cellStyle name="Финансовый 3 2 2 2 3" xfId="375" xr:uid="{00000000-0005-0000-0000-00004A040000}"/>
    <cellStyle name="Финансовый 3 2 2 2 3 2" xfId="1342" xr:uid="{00000000-0005-0000-0000-00004B040000}"/>
    <cellStyle name="Финансовый 3 2 2 2 4" xfId="692" xr:uid="{00000000-0005-0000-0000-00004C040000}"/>
    <cellStyle name="Финансовый 3 2 2 2 4 2" xfId="1086" xr:uid="{00000000-0005-0000-0000-00004D040000}"/>
    <cellStyle name="Финансовый 3 2 2 2 5" xfId="962" xr:uid="{00000000-0005-0000-0000-00004E040000}"/>
    <cellStyle name="Финансовый 3 2 2 2 6" xfId="1607" xr:uid="{00000000-0005-0000-0000-00004F040000}"/>
    <cellStyle name="Финансовый 3 2 2 2 7" xfId="834" xr:uid="{00000000-0005-0000-0000-000050040000}"/>
    <cellStyle name="Финансовый 3 2 2 3" xfId="183" xr:uid="{00000000-0005-0000-0000-000051040000}"/>
    <cellStyle name="Финансовый 3 2 2 3 2" xfId="455" xr:uid="{00000000-0005-0000-0000-000052040000}"/>
    <cellStyle name="Финансовый 3 2 2 3 2 2" xfId="1422" xr:uid="{00000000-0005-0000-0000-000053040000}"/>
    <cellStyle name="Финансовый 3 2 2 3 3" xfId="1166" xr:uid="{00000000-0005-0000-0000-000054040000}"/>
    <cellStyle name="Финансовый 3 2 2 3 4" xfId="1687" xr:uid="{00000000-0005-0000-0000-000055040000}"/>
    <cellStyle name="Финансовый 3 2 2 4" xfId="319" xr:uid="{00000000-0005-0000-0000-000056040000}"/>
    <cellStyle name="Финансовый 3 2 2 4 2" xfId="1294" xr:uid="{00000000-0005-0000-0000-000057040000}"/>
    <cellStyle name="Финансовый 3 2 2 5" xfId="691" xr:uid="{00000000-0005-0000-0000-000058040000}"/>
    <cellStyle name="Финансовый 3 2 2 5 2" xfId="1030" xr:uid="{00000000-0005-0000-0000-000059040000}"/>
    <cellStyle name="Финансовый 3 2 2 6" xfId="914" xr:uid="{00000000-0005-0000-0000-00005A040000}"/>
    <cellStyle name="Финансовый 3 2 2 7" xfId="1550" xr:uid="{00000000-0005-0000-0000-00005B040000}"/>
    <cellStyle name="Финансовый 3 2 2 8" xfId="777" xr:uid="{00000000-0005-0000-0000-00005C040000}"/>
    <cellStyle name="Финансовый 3 2 3" xfId="115" xr:uid="{00000000-0005-0000-0000-00005D040000}"/>
    <cellStyle name="Финансовый 3 2 3 2" xfId="251" xr:uid="{00000000-0005-0000-0000-00005E040000}"/>
    <cellStyle name="Финансовый 3 2 3 2 2" xfId="523" xr:uid="{00000000-0005-0000-0000-00005F040000}"/>
    <cellStyle name="Финансовый 3 2 3 2 2 2" xfId="1482" xr:uid="{00000000-0005-0000-0000-000060040000}"/>
    <cellStyle name="Финансовый 3 2 3 2 3" xfId="1226" xr:uid="{00000000-0005-0000-0000-000061040000}"/>
    <cellStyle name="Финансовый 3 2 3 2 4" xfId="1755" xr:uid="{00000000-0005-0000-0000-000062040000}"/>
    <cellStyle name="Финансовый 3 2 3 3" xfId="387" xr:uid="{00000000-0005-0000-0000-000063040000}"/>
    <cellStyle name="Финансовый 3 2 3 3 2" xfId="1354" xr:uid="{00000000-0005-0000-0000-000064040000}"/>
    <cellStyle name="Финансовый 3 2 3 4" xfId="693" xr:uid="{00000000-0005-0000-0000-000065040000}"/>
    <cellStyle name="Финансовый 3 2 3 4 2" xfId="1098" xr:uid="{00000000-0005-0000-0000-000066040000}"/>
    <cellStyle name="Финансовый 3 2 3 5" xfId="974" xr:uid="{00000000-0005-0000-0000-000067040000}"/>
    <cellStyle name="Финансовый 3 2 3 6" xfId="1619" xr:uid="{00000000-0005-0000-0000-000068040000}"/>
    <cellStyle name="Финансовый 3 2 3 7" xfId="846" xr:uid="{00000000-0005-0000-0000-000069040000}"/>
    <cellStyle name="Финансовый 3 2 4" xfId="79" xr:uid="{00000000-0005-0000-0000-00006A040000}"/>
    <cellStyle name="Финансовый 3 2 4 2" xfId="215" xr:uid="{00000000-0005-0000-0000-00006B040000}"/>
    <cellStyle name="Финансовый 3 2 4 2 2" xfId="487" xr:uid="{00000000-0005-0000-0000-00006C040000}"/>
    <cellStyle name="Финансовый 3 2 4 2 2 2" xfId="1446" xr:uid="{00000000-0005-0000-0000-00006D040000}"/>
    <cellStyle name="Финансовый 3 2 4 2 3" xfId="1190" xr:uid="{00000000-0005-0000-0000-00006E040000}"/>
    <cellStyle name="Финансовый 3 2 4 2 4" xfId="1719" xr:uid="{00000000-0005-0000-0000-00006F040000}"/>
    <cellStyle name="Финансовый 3 2 4 3" xfId="351" xr:uid="{00000000-0005-0000-0000-000070040000}"/>
    <cellStyle name="Финансовый 3 2 4 3 2" xfId="1318" xr:uid="{00000000-0005-0000-0000-000071040000}"/>
    <cellStyle name="Финансовый 3 2 4 4" xfId="694" xr:uid="{00000000-0005-0000-0000-000072040000}"/>
    <cellStyle name="Финансовый 3 2 4 4 2" xfId="1062" xr:uid="{00000000-0005-0000-0000-000073040000}"/>
    <cellStyle name="Финансовый 3 2 4 5" xfId="938" xr:uid="{00000000-0005-0000-0000-000074040000}"/>
    <cellStyle name="Финансовый 3 2 4 6" xfId="1583" xr:uid="{00000000-0005-0000-0000-000075040000}"/>
    <cellStyle name="Финансовый 3 2 4 7" xfId="810" xr:uid="{00000000-0005-0000-0000-000076040000}"/>
    <cellStyle name="Финансовый 3 2 5" xfId="57" xr:uid="{00000000-0005-0000-0000-000077040000}"/>
    <cellStyle name="Финансовый 3 2 5 2" xfId="195" xr:uid="{00000000-0005-0000-0000-000078040000}"/>
    <cellStyle name="Финансовый 3 2 5 2 2" xfId="467" xr:uid="{00000000-0005-0000-0000-000079040000}"/>
    <cellStyle name="Финансовый 3 2 5 2 2 2" xfId="1434" xr:uid="{00000000-0005-0000-0000-00007A040000}"/>
    <cellStyle name="Финансовый 3 2 5 2 3" xfId="1178" xr:uid="{00000000-0005-0000-0000-00007B040000}"/>
    <cellStyle name="Финансовый 3 2 5 2 4" xfId="1699" xr:uid="{00000000-0005-0000-0000-00007C040000}"/>
    <cellStyle name="Финансовый 3 2 5 3" xfId="331" xr:uid="{00000000-0005-0000-0000-00007D040000}"/>
    <cellStyle name="Финансовый 3 2 5 3 2" xfId="1306" xr:uid="{00000000-0005-0000-0000-00007E040000}"/>
    <cellStyle name="Финансовый 3 2 5 4" xfId="695" xr:uid="{00000000-0005-0000-0000-00007F040000}"/>
    <cellStyle name="Финансовый 3 2 5 4 2" xfId="1042" xr:uid="{00000000-0005-0000-0000-000080040000}"/>
    <cellStyle name="Финансовый 3 2 5 5" xfId="926" xr:uid="{00000000-0005-0000-0000-000081040000}"/>
    <cellStyle name="Финансовый 3 2 5 6" xfId="1562" xr:uid="{00000000-0005-0000-0000-000082040000}"/>
    <cellStyle name="Финансовый 3 2 5 7" xfId="789" xr:uid="{00000000-0005-0000-0000-000083040000}"/>
    <cellStyle name="Финансовый 3 2 6" xfId="135" xr:uid="{00000000-0005-0000-0000-000084040000}"/>
    <cellStyle name="Финансовый 3 2 6 2" xfId="271" xr:uid="{00000000-0005-0000-0000-000085040000}"/>
    <cellStyle name="Финансовый 3 2 6 2 2" xfId="543" xr:uid="{00000000-0005-0000-0000-000086040000}"/>
    <cellStyle name="Финансовый 3 2 6 2 2 2" xfId="1502" xr:uid="{00000000-0005-0000-0000-000087040000}"/>
    <cellStyle name="Финансовый 3 2 6 2 3" xfId="1246" xr:uid="{00000000-0005-0000-0000-000088040000}"/>
    <cellStyle name="Финансовый 3 2 6 2 4" xfId="1775" xr:uid="{00000000-0005-0000-0000-000089040000}"/>
    <cellStyle name="Финансовый 3 2 6 3" xfId="407" xr:uid="{00000000-0005-0000-0000-00008A040000}"/>
    <cellStyle name="Финансовый 3 2 6 3 2" xfId="1374" xr:uid="{00000000-0005-0000-0000-00008B040000}"/>
    <cellStyle name="Финансовый 3 2 6 4" xfId="696" xr:uid="{00000000-0005-0000-0000-00008C040000}"/>
    <cellStyle name="Финансовый 3 2 6 4 2" xfId="1118" xr:uid="{00000000-0005-0000-0000-00008D040000}"/>
    <cellStyle name="Финансовый 3 2 6 5" xfId="994" xr:uid="{00000000-0005-0000-0000-00008E040000}"/>
    <cellStyle name="Финансовый 3 2 6 6" xfId="1639" xr:uid="{00000000-0005-0000-0000-00008F040000}"/>
    <cellStyle name="Финансовый 3 2 6 7" xfId="866" xr:uid="{00000000-0005-0000-0000-000090040000}"/>
    <cellStyle name="Финансовый 3 2 7" xfId="33" xr:uid="{00000000-0005-0000-0000-000091040000}"/>
    <cellStyle name="Финансовый 3 2 7 2" xfId="171" xr:uid="{00000000-0005-0000-0000-000092040000}"/>
    <cellStyle name="Финансовый 3 2 7 2 2" xfId="443" xr:uid="{00000000-0005-0000-0000-000093040000}"/>
    <cellStyle name="Финансовый 3 2 7 2 2 2" xfId="1410" xr:uid="{00000000-0005-0000-0000-000094040000}"/>
    <cellStyle name="Финансовый 3 2 7 2 3" xfId="1154" xr:uid="{00000000-0005-0000-0000-000095040000}"/>
    <cellStyle name="Финансовый 3 2 7 2 4" xfId="1675" xr:uid="{00000000-0005-0000-0000-000096040000}"/>
    <cellStyle name="Финансовый 3 2 7 3" xfId="307" xr:uid="{00000000-0005-0000-0000-000097040000}"/>
    <cellStyle name="Финансовый 3 2 7 3 2" xfId="1282" xr:uid="{00000000-0005-0000-0000-000098040000}"/>
    <cellStyle name="Финансовый 3 2 7 4" xfId="697" xr:uid="{00000000-0005-0000-0000-000099040000}"/>
    <cellStyle name="Финансовый 3 2 7 4 2" xfId="1018" xr:uid="{00000000-0005-0000-0000-00009A040000}"/>
    <cellStyle name="Финансовый 3 2 7 5" xfId="902" xr:uid="{00000000-0005-0000-0000-00009B040000}"/>
    <cellStyle name="Финансовый 3 2 7 6" xfId="1538" xr:uid="{00000000-0005-0000-0000-00009C040000}"/>
    <cellStyle name="Финансовый 3 2 7 7" xfId="765" xr:uid="{00000000-0005-0000-0000-00009D040000}"/>
    <cellStyle name="Финансовый 3 2 8" xfId="21" xr:uid="{00000000-0005-0000-0000-00009E040000}"/>
    <cellStyle name="Финансовый 3 2 8 2" xfId="159" xr:uid="{00000000-0005-0000-0000-00009F040000}"/>
    <cellStyle name="Финансовый 3 2 8 2 2" xfId="431" xr:uid="{00000000-0005-0000-0000-0000A0040000}"/>
    <cellStyle name="Финансовый 3 2 8 2 2 2" xfId="1398" xr:uid="{00000000-0005-0000-0000-0000A1040000}"/>
    <cellStyle name="Финансовый 3 2 8 2 3" xfId="1142" xr:uid="{00000000-0005-0000-0000-0000A2040000}"/>
    <cellStyle name="Финансовый 3 2 8 2 4" xfId="1663" xr:uid="{00000000-0005-0000-0000-0000A3040000}"/>
    <cellStyle name="Финансовый 3 2 8 3" xfId="295" xr:uid="{00000000-0005-0000-0000-0000A4040000}"/>
    <cellStyle name="Финансовый 3 2 8 3 2" xfId="1270" xr:uid="{00000000-0005-0000-0000-0000A5040000}"/>
    <cellStyle name="Финансовый 3 2 8 4" xfId="698" xr:uid="{00000000-0005-0000-0000-0000A6040000}"/>
    <cellStyle name="Финансовый 3 2 8 4 2" xfId="1006" xr:uid="{00000000-0005-0000-0000-0000A7040000}"/>
    <cellStyle name="Финансовый 3 2 8 5" xfId="890" xr:uid="{00000000-0005-0000-0000-0000A8040000}"/>
    <cellStyle name="Финансовый 3 2 8 6" xfId="1526" xr:uid="{00000000-0005-0000-0000-0000A9040000}"/>
    <cellStyle name="Финансовый 3 2 8 7" xfId="753" xr:uid="{00000000-0005-0000-0000-0000AA040000}"/>
    <cellStyle name="Финансовый 3 2 9" xfId="147" xr:uid="{00000000-0005-0000-0000-0000AB040000}"/>
    <cellStyle name="Финансовый 3 2 9 2" xfId="419" xr:uid="{00000000-0005-0000-0000-0000AC040000}"/>
    <cellStyle name="Финансовый 3 2 9 2 2" xfId="1386" xr:uid="{00000000-0005-0000-0000-0000AD040000}"/>
    <cellStyle name="Финансовый 3 2 9 3" xfId="1130" xr:uid="{00000000-0005-0000-0000-0000AE040000}"/>
    <cellStyle name="Финансовый 3 2 9 4" xfId="1651" xr:uid="{00000000-0005-0000-0000-0000AF040000}"/>
    <cellStyle name="Финансовый 3 3" xfId="39" xr:uid="{00000000-0005-0000-0000-0000B0040000}"/>
    <cellStyle name="Финансовый 3 3 2" xfId="121" xr:uid="{00000000-0005-0000-0000-0000B1040000}"/>
    <cellStyle name="Финансовый 3 3 2 2" xfId="257" xr:uid="{00000000-0005-0000-0000-0000B2040000}"/>
    <cellStyle name="Финансовый 3 3 2 2 2" xfId="529" xr:uid="{00000000-0005-0000-0000-0000B3040000}"/>
    <cellStyle name="Финансовый 3 3 2 2 2 2" xfId="1488" xr:uid="{00000000-0005-0000-0000-0000B4040000}"/>
    <cellStyle name="Финансовый 3 3 2 2 3" xfId="1232" xr:uid="{00000000-0005-0000-0000-0000B5040000}"/>
    <cellStyle name="Финансовый 3 3 2 2 4" xfId="1761" xr:uid="{00000000-0005-0000-0000-0000B6040000}"/>
    <cellStyle name="Финансовый 3 3 2 3" xfId="393" xr:uid="{00000000-0005-0000-0000-0000B7040000}"/>
    <cellStyle name="Финансовый 3 3 2 3 2" xfId="1360" xr:uid="{00000000-0005-0000-0000-0000B8040000}"/>
    <cellStyle name="Финансовый 3 3 2 4" xfId="700" xr:uid="{00000000-0005-0000-0000-0000B9040000}"/>
    <cellStyle name="Финансовый 3 3 2 4 2" xfId="1104" xr:uid="{00000000-0005-0000-0000-0000BA040000}"/>
    <cellStyle name="Финансовый 3 3 2 5" xfId="980" xr:uid="{00000000-0005-0000-0000-0000BB040000}"/>
    <cellStyle name="Финансовый 3 3 2 6" xfId="1625" xr:uid="{00000000-0005-0000-0000-0000BC040000}"/>
    <cellStyle name="Финансовый 3 3 2 7" xfId="852" xr:uid="{00000000-0005-0000-0000-0000BD040000}"/>
    <cellStyle name="Финансовый 3 3 3" xfId="85" xr:uid="{00000000-0005-0000-0000-0000BE040000}"/>
    <cellStyle name="Финансовый 3 3 3 2" xfId="221" xr:uid="{00000000-0005-0000-0000-0000BF040000}"/>
    <cellStyle name="Финансовый 3 3 3 2 2" xfId="493" xr:uid="{00000000-0005-0000-0000-0000C0040000}"/>
    <cellStyle name="Финансовый 3 3 3 2 2 2" xfId="1452" xr:uid="{00000000-0005-0000-0000-0000C1040000}"/>
    <cellStyle name="Финансовый 3 3 3 2 3" xfId="1196" xr:uid="{00000000-0005-0000-0000-0000C2040000}"/>
    <cellStyle name="Финансовый 3 3 3 2 4" xfId="1725" xr:uid="{00000000-0005-0000-0000-0000C3040000}"/>
    <cellStyle name="Финансовый 3 3 3 3" xfId="357" xr:uid="{00000000-0005-0000-0000-0000C4040000}"/>
    <cellStyle name="Финансовый 3 3 3 3 2" xfId="1324" xr:uid="{00000000-0005-0000-0000-0000C5040000}"/>
    <cellStyle name="Финансовый 3 3 3 4" xfId="701" xr:uid="{00000000-0005-0000-0000-0000C6040000}"/>
    <cellStyle name="Финансовый 3 3 3 4 2" xfId="1068" xr:uid="{00000000-0005-0000-0000-0000C7040000}"/>
    <cellStyle name="Финансовый 3 3 3 5" xfId="944" xr:uid="{00000000-0005-0000-0000-0000C8040000}"/>
    <cellStyle name="Финансовый 3 3 3 6" xfId="1589" xr:uid="{00000000-0005-0000-0000-0000C9040000}"/>
    <cellStyle name="Финансовый 3 3 3 7" xfId="816" xr:uid="{00000000-0005-0000-0000-0000CA040000}"/>
    <cellStyle name="Финансовый 3 3 4" xfId="177" xr:uid="{00000000-0005-0000-0000-0000CB040000}"/>
    <cellStyle name="Финансовый 3 3 4 2" xfId="449" xr:uid="{00000000-0005-0000-0000-0000CC040000}"/>
    <cellStyle name="Финансовый 3 3 4 2 2" xfId="1416" xr:uid="{00000000-0005-0000-0000-0000CD040000}"/>
    <cellStyle name="Финансовый 3 3 4 3" xfId="1160" xr:uid="{00000000-0005-0000-0000-0000CE040000}"/>
    <cellStyle name="Финансовый 3 3 4 4" xfId="1681" xr:uid="{00000000-0005-0000-0000-0000CF040000}"/>
    <cellStyle name="Финансовый 3 3 5" xfId="313" xr:uid="{00000000-0005-0000-0000-0000D0040000}"/>
    <cellStyle name="Финансовый 3 3 5 2" xfId="1288" xr:uid="{00000000-0005-0000-0000-0000D1040000}"/>
    <cellStyle name="Финансовый 3 3 6" xfId="699" xr:uid="{00000000-0005-0000-0000-0000D2040000}"/>
    <cellStyle name="Финансовый 3 3 6 2" xfId="1024" xr:uid="{00000000-0005-0000-0000-0000D3040000}"/>
    <cellStyle name="Финансовый 3 3 7" xfId="908" xr:uid="{00000000-0005-0000-0000-0000D4040000}"/>
    <cellStyle name="Финансовый 3 3 8" xfId="1544" xr:uid="{00000000-0005-0000-0000-0000D5040000}"/>
    <cellStyle name="Финансовый 3 3 9" xfId="771" xr:uid="{00000000-0005-0000-0000-0000D6040000}"/>
    <cellStyle name="Финансовый 3 4" xfId="91" xr:uid="{00000000-0005-0000-0000-0000D7040000}"/>
    <cellStyle name="Финансовый 3 4 2" xfId="227" xr:uid="{00000000-0005-0000-0000-0000D8040000}"/>
    <cellStyle name="Финансовый 3 4 2 2" xfId="499" xr:uid="{00000000-0005-0000-0000-0000D9040000}"/>
    <cellStyle name="Финансовый 3 4 2 2 2" xfId="1458" xr:uid="{00000000-0005-0000-0000-0000DA040000}"/>
    <cellStyle name="Финансовый 3 4 2 3" xfId="1202" xr:uid="{00000000-0005-0000-0000-0000DB040000}"/>
    <cellStyle name="Финансовый 3 4 2 4" xfId="1731" xr:uid="{00000000-0005-0000-0000-0000DC040000}"/>
    <cellStyle name="Финансовый 3 4 3" xfId="363" xr:uid="{00000000-0005-0000-0000-0000DD040000}"/>
    <cellStyle name="Финансовый 3 4 3 2" xfId="1330" xr:uid="{00000000-0005-0000-0000-0000DE040000}"/>
    <cellStyle name="Финансовый 3 4 4" xfId="702" xr:uid="{00000000-0005-0000-0000-0000DF040000}"/>
    <cellStyle name="Финансовый 3 4 4 2" xfId="1074" xr:uid="{00000000-0005-0000-0000-0000E0040000}"/>
    <cellStyle name="Финансовый 3 4 5" xfId="950" xr:uid="{00000000-0005-0000-0000-0000E1040000}"/>
    <cellStyle name="Финансовый 3 4 6" xfId="1595" xr:uid="{00000000-0005-0000-0000-0000E2040000}"/>
    <cellStyle name="Финансовый 3 4 7" xfId="822" xr:uid="{00000000-0005-0000-0000-0000E3040000}"/>
    <cellStyle name="Финансовый 3 5" xfId="97" xr:uid="{00000000-0005-0000-0000-0000E4040000}"/>
    <cellStyle name="Финансовый 3 5 2" xfId="233" xr:uid="{00000000-0005-0000-0000-0000E5040000}"/>
    <cellStyle name="Финансовый 3 5 2 2" xfId="505" xr:uid="{00000000-0005-0000-0000-0000E6040000}"/>
    <cellStyle name="Финансовый 3 5 2 2 2" xfId="1464" xr:uid="{00000000-0005-0000-0000-0000E7040000}"/>
    <cellStyle name="Финансовый 3 5 2 3" xfId="1208" xr:uid="{00000000-0005-0000-0000-0000E8040000}"/>
    <cellStyle name="Финансовый 3 5 2 4" xfId="1737" xr:uid="{00000000-0005-0000-0000-0000E9040000}"/>
    <cellStyle name="Финансовый 3 5 3" xfId="369" xr:uid="{00000000-0005-0000-0000-0000EA040000}"/>
    <cellStyle name="Финансовый 3 5 3 2" xfId="1336" xr:uid="{00000000-0005-0000-0000-0000EB040000}"/>
    <cellStyle name="Финансовый 3 5 4" xfId="703" xr:uid="{00000000-0005-0000-0000-0000EC040000}"/>
    <cellStyle name="Финансовый 3 5 4 2" xfId="1080" xr:uid="{00000000-0005-0000-0000-0000ED040000}"/>
    <cellStyle name="Финансовый 3 5 5" xfId="956" xr:uid="{00000000-0005-0000-0000-0000EE040000}"/>
    <cellStyle name="Финансовый 3 5 6" xfId="1601" xr:uid="{00000000-0005-0000-0000-0000EF040000}"/>
    <cellStyle name="Финансовый 3 5 7" xfId="828" xr:uid="{00000000-0005-0000-0000-0000F0040000}"/>
    <cellStyle name="Финансовый 3 6" xfId="109" xr:uid="{00000000-0005-0000-0000-0000F1040000}"/>
    <cellStyle name="Финансовый 3 6 2" xfId="245" xr:uid="{00000000-0005-0000-0000-0000F2040000}"/>
    <cellStyle name="Финансовый 3 6 2 2" xfId="517" xr:uid="{00000000-0005-0000-0000-0000F3040000}"/>
    <cellStyle name="Финансовый 3 6 2 2 2" xfId="1476" xr:uid="{00000000-0005-0000-0000-0000F4040000}"/>
    <cellStyle name="Финансовый 3 6 2 3" xfId="1220" xr:uid="{00000000-0005-0000-0000-0000F5040000}"/>
    <cellStyle name="Финансовый 3 6 2 4" xfId="1749" xr:uid="{00000000-0005-0000-0000-0000F6040000}"/>
    <cellStyle name="Финансовый 3 6 3" xfId="381" xr:uid="{00000000-0005-0000-0000-0000F7040000}"/>
    <cellStyle name="Финансовый 3 6 3 2" xfId="1348" xr:uid="{00000000-0005-0000-0000-0000F8040000}"/>
    <cellStyle name="Финансовый 3 6 4" xfId="704" xr:uid="{00000000-0005-0000-0000-0000F9040000}"/>
    <cellStyle name="Финансовый 3 6 4 2" xfId="1092" xr:uid="{00000000-0005-0000-0000-0000FA040000}"/>
    <cellStyle name="Финансовый 3 6 5" xfId="968" xr:uid="{00000000-0005-0000-0000-0000FB040000}"/>
    <cellStyle name="Финансовый 3 6 6" xfId="1613" xr:uid="{00000000-0005-0000-0000-0000FC040000}"/>
    <cellStyle name="Финансовый 3 6 7" xfId="840" xr:uid="{00000000-0005-0000-0000-0000FD040000}"/>
    <cellStyle name="Финансовый 3 7" xfId="74" xr:uid="{00000000-0005-0000-0000-0000FE040000}"/>
    <cellStyle name="Финансовый 3 7 2" xfId="210" xr:uid="{00000000-0005-0000-0000-0000FF040000}"/>
    <cellStyle name="Финансовый 3 7 2 2" xfId="482" xr:uid="{00000000-0005-0000-0000-000000050000}"/>
    <cellStyle name="Финансовый 3 7 2 2 2" xfId="1441" xr:uid="{00000000-0005-0000-0000-000001050000}"/>
    <cellStyle name="Финансовый 3 7 2 3" xfId="1185" xr:uid="{00000000-0005-0000-0000-000002050000}"/>
    <cellStyle name="Финансовый 3 7 2 4" xfId="1714" xr:uid="{00000000-0005-0000-0000-000003050000}"/>
    <cellStyle name="Финансовый 3 7 3" xfId="346" xr:uid="{00000000-0005-0000-0000-000004050000}"/>
    <cellStyle name="Финансовый 3 7 3 2" xfId="1313" xr:uid="{00000000-0005-0000-0000-000005050000}"/>
    <cellStyle name="Финансовый 3 7 4" xfId="705" xr:uid="{00000000-0005-0000-0000-000006050000}"/>
    <cellStyle name="Финансовый 3 7 4 2" xfId="1057" xr:uid="{00000000-0005-0000-0000-000007050000}"/>
    <cellStyle name="Финансовый 3 7 5" xfId="933" xr:uid="{00000000-0005-0000-0000-000008050000}"/>
    <cellStyle name="Финансовый 3 7 6" xfId="1578" xr:uid="{00000000-0005-0000-0000-000009050000}"/>
    <cellStyle name="Финансовый 3 7 7" xfId="805" xr:uid="{00000000-0005-0000-0000-00000A050000}"/>
    <cellStyle name="Финансовый 3 8" xfId="51" xr:uid="{00000000-0005-0000-0000-00000B050000}"/>
    <cellStyle name="Финансовый 3 8 2" xfId="189" xr:uid="{00000000-0005-0000-0000-00000C050000}"/>
    <cellStyle name="Финансовый 3 8 2 2" xfId="461" xr:uid="{00000000-0005-0000-0000-00000D050000}"/>
    <cellStyle name="Финансовый 3 8 2 2 2" xfId="1428" xr:uid="{00000000-0005-0000-0000-00000E050000}"/>
    <cellStyle name="Финансовый 3 8 2 3" xfId="1172" xr:uid="{00000000-0005-0000-0000-00000F050000}"/>
    <cellStyle name="Финансовый 3 8 2 4" xfId="1693" xr:uid="{00000000-0005-0000-0000-000010050000}"/>
    <cellStyle name="Финансовый 3 8 3" xfId="325" xr:uid="{00000000-0005-0000-0000-000011050000}"/>
    <cellStyle name="Финансовый 3 8 3 2" xfId="1300" xr:uid="{00000000-0005-0000-0000-000012050000}"/>
    <cellStyle name="Финансовый 3 8 4" xfId="595" xr:uid="{00000000-0005-0000-0000-000013050000}"/>
    <cellStyle name="Финансовый 3 8 4 2" xfId="1036" xr:uid="{00000000-0005-0000-0000-000014050000}"/>
    <cellStyle name="Финансовый 3 8 5" xfId="920" xr:uid="{00000000-0005-0000-0000-000015050000}"/>
    <cellStyle name="Финансовый 3 8 6" xfId="1556" xr:uid="{00000000-0005-0000-0000-000016050000}"/>
    <cellStyle name="Финансовый 3 8 7" xfId="783" xr:uid="{00000000-0005-0000-0000-000017050000}"/>
    <cellStyle name="Финансовый 3 9" xfId="129" xr:uid="{00000000-0005-0000-0000-000018050000}"/>
    <cellStyle name="Финансовый 3 9 2" xfId="265" xr:uid="{00000000-0005-0000-0000-000019050000}"/>
    <cellStyle name="Финансовый 3 9 2 2" xfId="537" xr:uid="{00000000-0005-0000-0000-00001A050000}"/>
    <cellStyle name="Финансовый 3 9 2 2 2" xfId="1496" xr:uid="{00000000-0005-0000-0000-00001B050000}"/>
    <cellStyle name="Финансовый 3 9 2 3" xfId="1240" xr:uid="{00000000-0005-0000-0000-00001C050000}"/>
    <cellStyle name="Финансовый 3 9 2 4" xfId="1769" xr:uid="{00000000-0005-0000-0000-00001D050000}"/>
    <cellStyle name="Финансовый 3 9 3" xfId="401" xr:uid="{00000000-0005-0000-0000-00001E050000}"/>
    <cellStyle name="Финансовый 3 9 3 2" xfId="1368" xr:uid="{00000000-0005-0000-0000-00001F050000}"/>
    <cellStyle name="Финансовый 3 9 4" xfId="598" xr:uid="{00000000-0005-0000-0000-000020050000}"/>
    <cellStyle name="Финансовый 3 9 4 2" xfId="1112" xr:uid="{00000000-0005-0000-0000-000021050000}"/>
    <cellStyle name="Финансовый 3 9 5" xfId="988" xr:uid="{00000000-0005-0000-0000-000022050000}"/>
    <cellStyle name="Финансовый 3 9 6" xfId="1633" xr:uid="{00000000-0005-0000-0000-000023050000}"/>
    <cellStyle name="Финансовый 3 9 7" xfId="860" xr:uid="{00000000-0005-0000-0000-000024050000}"/>
    <cellStyle name="Финансовый 30" xfId="795" xr:uid="{00000000-0005-0000-0000-000025050000}"/>
    <cellStyle name="Финансовый 4" xfId="5" xr:uid="{00000000-0005-0000-0000-000026050000}"/>
    <cellStyle name="Финансовый 4 10" xfId="29" xr:uid="{00000000-0005-0000-0000-000027050000}"/>
    <cellStyle name="Финансовый 4 10 2" xfId="167" xr:uid="{00000000-0005-0000-0000-000028050000}"/>
    <cellStyle name="Финансовый 4 10 2 2" xfId="439" xr:uid="{00000000-0005-0000-0000-000029050000}"/>
    <cellStyle name="Финансовый 4 10 2 2 2" xfId="1406" xr:uid="{00000000-0005-0000-0000-00002A050000}"/>
    <cellStyle name="Финансовый 4 10 2 3" xfId="1150" xr:uid="{00000000-0005-0000-0000-00002B050000}"/>
    <cellStyle name="Финансовый 4 10 2 4" xfId="1671" xr:uid="{00000000-0005-0000-0000-00002C050000}"/>
    <cellStyle name="Финансовый 4 10 3" xfId="303" xr:uid="{00000000-0005-0000-0000-00002D050000}"/>
    <cellStyle name="Финансовый 4 10 3 2" xfId="1278" xr:uid="{00000000-0005-0000-0000-00002E050000}"/>
    <cellStyle name="Финансовый 4 10 4" xfId="707" xr:uid="{00000000-0005-0000-0000-00002F050000}"/>
    <cellStyle name="Финансовый 4 10 4 2" xfId="1014" xr:uid="{00000000-0005-0000-0000-000030050000}"/>
    <cellStyle name="Финансовый 4 10 5" xfId="898" xr:uid="{00000000-0005-0000-0000-000031050000}"/>
    <cellStyle name="Финансовый 4 10 6" xfId="1534" xr:uid="{00000000-0005-0000-0000-000032050000}"/>
    <cellStyle name="Финансовый 4 10 7" xfId="761" xr:uid="{00000000-0005-0000-0000-000033050000}"/>
    <cellStyle name="Финансовый 4 11" xfId="17" xr:uid="{00000000-0005-0000-0000-000034050000}"/>
    <cellStyle name="Финансовый 4 11 2" xfId="155" xr:uid="{00000000-0005-0000-0000-000035050000}"/>
    <cellStyle name="Финансовый 4 11 2 2" xfId="427" xr:uid="{00000000-0005-0000-0000-000036050000}"/>
    <cellStyle name="Финансовый 4 11 2 2 2" xfId="1394" xr:uid="{00000000-0005-0000-0000-000037050000}"/>
    <cellStyle name="Финансовый 4 11 2 3" xfId="1138" xr:uid="{00000000-0005-0000-0000-000038050000}"/>
    <cellStyle name="Финансовый 4 11 2 4" xfId="1659" xr:uid="{00000000-0005-0000-0000-000039050000}"/>
    <cellStyle name="Финансовый 4 11 3" xfId="291" xr:uid="{00000000-0005-0000-0000-00003A050000}"/>
    <cellStyle name="Финансовый 4 11 3 2" xfId="1266" xr:uid="{00000000-0005-0000-0000-00003B050000}"/>
    <cellStyle name="Финансовый 4 11 4" xfId="708" xr:uid="{00000000-0005-0000-0000-00003C050000}"/>
    <cellStyle name="Финансовый 4 11 4 2" xfId="1002" xr:uid="{00000000-0005-0000-0000-00003D050000}"/>
    <cellStyle name="Финансовый 4 11 5" xfId="886" xr:uid="{00000000-0005-0000-0000-00003E050000}"/>
    <cellStyle name="Финансовый 4 11 6" xfId="1522" xr:uid="{00000000-0005-0000-0000-00003F050000}"/>
    <cellStyle name="Финансовый 4 11 7" xfId="749" xr:uid="{00000000-0005-0000-0000-000040050000}"/>
    <cellStyle name="Финансовый 4 12" xfId="143" xr:uid="{00000000-0005-0000-0000-000041050000}"/>
    <cellStyle name="Финансовый 4 12 2" xfId="415" xr:uid="{00000000-0005-0000-0000-000042050000}"/>
    <cellStyle name="Финансовый 4 12 2 2" xfId="1382" xr:uid="{00000000-0005-0000-0000-000043050000}"/>
    <cellStyle name="Финансовый 4 12 3" xfId="1126" xr:uid="{00000000-0005-0000-0000-000044050000}"/>
    <cellStyle name="Финансовый 4 12 4" xfId="1647" xr:uid="{00000000-0005-0000-0000-000045050000}"/>
    <cellStyle name="Финансовый 4 13" xfId="551" xr:uid="{00000000-0005-0000-0000-000046050000}"/>
    <cellStyle name="Финансовый 4 13 2" xfId="1254" xr:uid="{00000000-0005-0000-0000-000047050000}"/>
    <cellStyle name="Финансовый 4 14" xfId="279" xr:uid="{00000000-0005-0000-0000-000048050000}"/>
    <cellStyle name="Финансовый 4 15" xfId="706" xr:uid="{00000000-0005-0000-0000-000049050000}"/>
    <cellStyle name="Финансовый 4 15 2" xfId="874" xr:uid="{00000000-0005-0000-0000-00004A050000}"/>
    <cellStyle name="Финансовый 4 16" xfId="1510" xr:uid="{00000000-0005-0000-0000-00004B050000}"/>
    <cellStyle name="Финансовый 4 17" xfId="737" xr:uid="{00000000-0005-0000-0000-00004C050000}"/>
    <cellStyle name="Финансовый 4 2" xfId="11" xr:uid="{00000000-0005-0000-0000-00004D050000}"/>
    <cellStyle name="Финансовый 4 2 10" xfId="557" xr:uid="{00000000-0005-0000-0000-00004E050000}"/>
    <cellStyle name="Финансовый 4 2 10 2" xfId="1260" xr:uid="{00000000-0005-0000-0000-00004F050000}"/>
    <cellStyle name="Финансовый 4 2 11" xfId="285" xr:uid="{00000000-0005-0000-0000-000050050000}"/>
    <cellStyle name="Финансовый 4 2 12" xfId="709" xr:uid="{00000000-0005-0000-0000-000051050000}"/>
    <cellStyle name="Финансовый 4 2 12 2" xfId="880" xr:uid="{00000000-0005-0000-0000-000052050000}"/>
    <cellStyle name="Финансовый 4 2 13" xfId="1516" xr:uid="{00000000-0005-0000-0000-000053050000}"/>
    <cellStyle name="Финансовый 4 2 14" xfId="743" xr:uid="{00000000-0005-0000-0000-000054050000}"/>
    <cellStyle name="Финансовый 4 2 2" xfId="47" xr:uid="{00000000-0005-0000-0000-000055050000}"/>
    <cellStyle name="Финансовый 4 2 2 2" xfId="105" xr:uid="{00000000-0005-0000-0000-000056050000}"/>
    <cellStyle name="Финансовый 4 2 2 2 2" xfId="241" xr:uid="{00000000-0005-0000-0000-000057050000}"/>
    <cellStyle name="Финансовый 4 2 2 2 2 2" xfId="513" xr:uid="{00000000-0005-0000-0000-000058050000}"/>
    <cellStyle name="Финансовый 4 2 2 2 2 2 2" xfId="1472" xr:uid="{00000000-0005-0000-0000-000059050000}"/>
    <cellStyle name="Финансовый 4 2 2 2 2 3" xfId="1216" xr:uid="{00000000-0005-0000-0000-00005A050000}"/>
    <cellStyle name="Финансовый 4 2 2 2 2 4" xfId="1745" xr:uid="{00000000-0005-0000-0000-00005B050000}"/>
    <cellStyle name="Финансовый 4 2 2 2 3" xfId="377" xr:uid="{00000000-0005-0000-0000-00005C050000}"/>
    <cellStyle name="Финансовый 4 2 2 2 3 2" xfId="1344" xr:uid="{00000000-0005-0000-0000-00005D050000}"/>
    <cellStyle name="Финансовый 4 2 2 2 4" xfId="602" xr:uid="{00000000-0005-0000-0000-00005E050000}"/>
    <cellStyle name="Финансовый 4 2 2 2 4 2" xfId="1088" xr:uid="{00000000-0005-0000-0000-00005F050000}"/>
    <cellStyle name="Финансовый 4 2 2 2 5" xfId="964" xr:uid="{00000000-0005-0000-0000-000060050000}"/>
    <cellStyle name="Финансовый 4 2 2 2 6" xfId="1609" xr:uid="{00000000-0005-0000-0000-000061050000}"/>
    <cellStyle name="Финансовый 4 2 2 2 7" xfId="836" xr:uid="{00000000-0005-0000-0000-000062050000}"/>
    <cellStyle name="Финансовый 4 2 2 3" xfId="185" xr:uid="{00000000-0005-0000-0000-000063050000}"/>
    <cellStyle name="Финансовый 4 2 2 3 2" xfId="457" xr:uid="{00000000-0005-0000-0000-000064050000}"/>
    <cellStyle name="Финансовый 4 2 2 3 2 2" xfId="1424" xr:uid="{00000000-0005-0000-0000-000065050000}"/>
    <cellStyle name="Финансовый 4 2 2 3 3" xfId="1168" xr:uid="{00000000-0005-0000-0000-000066050000}"/>
    <cellStyle name="Финансовый 4 2 2 3 4" xfId="1689" xr:uid="{00000000-0005-0000-0000-000067050000}"/>
    <cellStyle name="Финансовый 4 2 2 4" xfId="321" xr:uid="{00000000-0005-0000-0000-000068050000}"/>
    <cellStyle name="Финансовый 4 2 2 4 2" xfId="1296" xr:uid="{00000000-0005-0000-0000-000069050000}"/>
    <cellStyle name="Финансовый 4 2 2 5" xfId="710" xr:uid="{00000000-0005-0000-0000-00006A050000}"/>
    <cellStyle name="Финансовый 4 2 2 5 2" xfId="1032" xr:uid="{00000000-0005-0000-0000-00006B050000}"/>
    <cellStyle name="Финансовый 4 2 2 6" xfId="916" xr:uid="{00000000-0005-0000-0000-00006C050000}"/>
    <cellStyle name="Финансовый 4 2 2 7" xfId="1552" xr:uid="{00000000-0005-0000-0000-00006D050000}"/>
    <cellStyle name="Финансовый 4 2 2 8" xfId="779" xr:uid="{00000000-0005-0000-0000-00006E050000}"/>
    <cellStyle name="Финансовый 4 2 3" xfId="117" xr:uid="{00000000-0005-0000-0000-00006F050000}"/>
    <cellStyle name="Финансовый 4 2 3 2" xfId="253" xr:uid="{00000000-0005-0000-0000-000070050000}"/>
    <cellStyle name="Финансовый 4 2 3 2 2" xfId="525" xr:uid="{00000000-0005-0000-0000-000071050000}"/>
    <cellStyle name="Финансовый 4 2 3 2 2 2" xfId="1484" xr:uid="{00000000-0005-0000-0000-000072050000}"/>
    <cellStyle name="Финансовый 4 2 3 2 3" xfId="1228" xr:uid="{00000000-0005-0000-0000-000073050000}"/>
    <cellStyle name="Финансовый 4 2 3 2 4" xfId="1757" xr:uid="{00000000-0005-0000-0000-000074050000}"/>
    <cellStyle name="Финансовый 4 2 3 3" xfId="389" xr:uid="{00000000-0005-0000-0000-000075050000}"/>
    <cellStyle name="Финансовый 4 2 3 3 2" xfId="1356" xr:uid="{00000000-0005-0000-0000-000076050000}"/>
    <cellStyle name="Финансовый 4 2 3 4" xfId="711" xr:uid="{00000000-0005-0000-0000-000077050000}"/>
    <cellStyle name="Финансовый 4 2 3 4 2" xfId="1100" xr:uid="{00000000-0005-0000-0000-000078050000}"/>
    <cellStyle name="Финансовый 4 2 3 5" xfId="976" xr:uid="{00000000-0005-0000-0000-000079050000}"/>
    <cellStyle name="Финансовый 4 2 3 6" xfId="1621" xr:uid="{00000000-0005-0000-0000-00007A050000}"/>
    <cellStyle name="Финансовый 4 2 3 7" xfId="848" xr:uid="{00000000-0005-0000-0000-00007B050000}"/>
    <cellStyle name="Финансовый 4 2 4" xfId="81" xr:uid="{00000000-0005-0000-0000-00007C050000}"/>
    <cellStyle name="Финансовый 4 2 4 2" xfId="217" xr:uid="{00000000-0005-0000-0000-00007D050000}"/>
    <cellStyle name="Финансовый 4 2 4 2 2" xfId="489" xr:uid="{00000000-0005-0000-0000-00007E050000}"/>
    <cellStyle name="Финансовый 4 2 4 2 2 2" xfId="1448" xr:uid="{00000000-0005-0000-0000-00007F050000}"/>
    <cellStyle name="Финансовый 4 2 4 2 3" xfId="1192" xr:uid="{00000000-0005-0000-0000-000080050000}"/>
    <cellStyle name="Финансовый 4 2 4 2 4" xfId="1721" xr:uid="{00000000-0005-0000-0000-000081050000}"/>
    <cellStyle name="Финансовый 4 2 4 3" xfId="353" xr:uid="{00000000-0005-0000-0000-000082050000}"/>
    <cellStyle name="Финансовый 4 2 4 3 2" xfId="1320" xr:uid="{00000000-0005-0000-0000-000083050000}"/>
    <cellStyle name="Финансовый 4 2 4 4" xfId="712" xr:uid="{00000000-0005-0000-0000-000084050000}"/>
    <cellStyle name="Финансовый 4 2 4 4 2" xfId="1064" xr:uid="{00000000-0005-0000-0000-000085050000}"/>
    <cellStyle name="Финансовый 4 2 4 5" xfId="940" xr:uid="{00000000-0005-0000-0000-000086050000}"/>
    <cellStyle name="Финансовый 4 2 4 6" xfId="1585" xr:uid="{00000000-0005-0000-0000-000087050000}"/>
    <cellStyle name="Финансовый 4 2 4 7" xfId="812" xr:uid="{00000000-0005-0000-0000-000088050000}"/>
    <cellStyle name="Финансовый 4 2 5" xfId="59" xr:uid="{00000000-0005-0000-0000-000089050000}"/>
    <cellStyle name="Финансовый 4 2 5 2" xfId="197" xr:uid="{00000000-0005-0000-0000-00008A050000}"/>
    <cellStyle name="Финансовый 4 2 5 2 2" xfId="469" xr:uid="{00000000-0005-0000-0000-00008B050000}"/>
    <cellStyle name="Финансовый 4 2 5 2 2 2" xfId="1436" xr:uid="{00000000-0005-0000-0000-00008C050000}"/>
    <cellStyle name="Финансовый 4 2 5 2 3" xfId="1180" xr:uid="{00000000-0005-0000-0000-00008D050000}"/>
    <cellStyle name="Финансовый 4 2 5 2 4" xfId="1701" xr:uid="{00000000-0005-0000-0000-00008E050000}"/>
    <cellStyle name="Финансовый 4 2 5 3" xfId="333" xr:uid="{00000000-0005-0000-0000-00008F050000}"/>
    <cellStyle name="Финансовый 4 2 5 3 2" xfId="1308" xr:uid="{00000000-0005-0000-0000-000090050000}"/>
    <cellStyle name="Финансовый 4 2 5 4" xfId="713" xr:uid="{00000000-0005-0000-0000-000091050000}"/>
    <cellStyle name="Финансовый 4 2 5 4 2" xfId="1044" xr:uid="{00000000-0005-0000-0000-000092050000}"/>
    <cellStyle name="Финансовый 4 2 5 5" xfId="928" xr:uid="{00000000-0005-0000-0000-000093050000}"/>
    <cellStyle name="Финансовый 4 2 5 6" xfId="1564" xr:uid="{00000000-0005-0000-0000-000094050000}"/>
    <cellStyle name="Финансовый 4 2 5 7" xfId="791" xr:uid="{00000000-0005-0000-0000-000095050000}"/>
    <cellStyle name="Финансовый 4 2 6" xfId="137" xr:uid="{00000000-0005-0000-0000-000096050000}"/>
    <cellStyle name="Финансовый 4 2 6 2" xfId="273" xr:uid="{00000000-0005-0000-0000-000097050000}"/>
    <cellStyle name="Финансовый 4 2 6 2 2" xfId="545" xr:uid="{00000000-0005-0000-0000-000098050000}"/>
    <cellStyle name="Финансовый 4 2 6 2 2 2" xfId="1504" xr:uid="{00000000-0005-0000-0000-000099050000}"/>
    <cellStyle name="Финансовый 4 2 6 2 3" xfId="1248" xr:uid="{00000000-0005-0000-0000-00009A050000}"/>
    <cellStyle name="Финансовый 4 2 6 2 4" xfId="1777" xr:uid="{00000000-0005-0000-0000-00009B050000}"/>
    <cellStyle name="Финансовый 4 2 6 3" xfId="409" xr:uid="{00000000-0005-0000-0000-00009C050000}"/>
    <cellStyle name="Финансовый 4 2 6 3 2" xfId="1376" xr:uid="{00000000-0005-0000-0000-00009D050000}"/>
    <cellStyle name="Финансовый 4 2 6 4" xfId="628" xr:uid="{00000000-0005-0000-0000-00009E050000}"/>
    <cellStyle name="Финансовый 4 2 6 4 2" xfId="1120" xr:uid="{00000000-0005-0000-0000-00009F050000}"/>
    <cellStyle name="Финансовый 4 2 6 5" xfId="996" xr:uid="{00000000-0005-0000-0000-0000A0050000}"/>
    <cellStyle name="Финансовый 4 2 6 6" xfId="1641" xr:uid="{00000000-0005-0000-0000-0000A1050000}"/>
    <cellStyle name="Финансовый 4 2 6 7" xfId="868" xr:uid="{00000000-0005-0000-0000-0000A2050000}"/>
    <cellStyle name="Финансовый 4 2 7" xfId="35" xr:uid="{00000000-0005-0000-0000-0000A3050000}"/>
    <cellStyle name="Финансовый 4 2 7 2" xfId="173" xr:uid="{00000000-0005-0000-0000-0000A4050000}"/>
    <cellStyle name="Финансовый 4 2 7 2 2" xfId="445" xr:uid="{00000000-0005-0000-0000-0000A5050000}"/>
    <cellStyle name="Финансовый 4 2 7 2 2 2" xfId="1412" xr:uid="{00000000-0005-0000-0000-0000A6050000}"/>
    <cellStyle name="Финансовый 4 2 7 2 3" xfId="1156" xr:uid="{00000000-0005-0000-0000-0000A7050000}"/>
    <cellStyle name="Финансовый 4 2 7 2 4" xfId="1677" xr:uid="{00000000-0005-0000-0000-0000A8050000}"/>
    <cellStyle name="Финансовый 4 2 7 3" xfId="309" xr:uid="{00000000-0005-0000-0000-0000A9050000}"/>
    <cellStyle name="Финансовый 4 2 7 3 2" xfId="1284" xr:uid="{00000000-0005-0000-0000-0000AA050000}"/>
    <cellStyle name="Финансовый 4 2 7 4" xfId="651" xr:uid="{00000000-0005-0000-0000-0000AB050000}"/>
    <cellStyle name="Финансовый 4 2 7 4 2" xfId="1020" xr:uid="{00000000-0005-0000-0000-0000AC050000}"/>
    <cellStyle name="Финансовый 4 2 7 5" xfId="904" xr:uid="{00000000-0005-0000-0000-0000AD050000}"/>
    <cellStyle name="Финансовый 4 2 7 6" xfId="1540" xr:uid="{00000000-0005-0000-0000-0000AE050000}"/>
    <cellStyle name="Финансовый 4 2 7 7" xfId="767" xr:uid="{00000000-0005-0000-0000-0000AF050000}"/>
    <cellStyle name="Финансовый 4 2 8" xfId="23" xr:uid="{00000000-0005-0000-0000-0000B0050000}"/>
    <cellStyle name="Финансовый 4 2 8 2" xfId="161" xr:uid="{00000000-0005-0000-0000-0000B1050000}"/>
    <cellStyle name="Финансовый 4 2 8 2 2" xfId="433" xr:uid="{00000000-0005-0000-0000-0000B2050000}"/>
    <cellStyle name="Финансовый 4 2 8 2 2 2" xfId="1400" xr:uid="{00000000-0005-0000-0000-0000B3050000}"/>
    <cellStyle name="Финансовый 4 2 8 2 3" xfId="1144" xr:uid="{00000000-0005-0000-0000-0000B4050000}"/>
    <cellStyle name="Финансовый 4 2 8 2 4" xfId="1665" xr:uid="{00000000-0005-0000-0000-0000B5050000}"/>
    <cellStyle name="Финансовый 4 2 8 3" xfId="297" xr:uid="{00000000-0005-0000-0000-0000B6050000}"/>
    <cellStyle name="Финансовый 4 2 8 3 2" xfId="1272" xr:uid="{00000000-0005-0000-0000-0000B7050000}"/>
    <cellStyle name="Финансовый 4 2 8 4" xfId="671" xr:uid="{00000000-0005-0000-0000-0000B8050000}"/>
    <cellStyle name="Финансовый 4 2 8 4 2" xfId="1008" xr:uid="{00000000-0005-0000-0000-0000B9050000}"/>
    <cellStyle name="Финансовый 4 2 8 5" xfId="892" xr:uid="{00000000-0005-0000-0000-0000BA050000}"/>
    <cellStyle name="Финансовый 4 2 8 6" xfId="1528" xr:uid="{00000000-0005-0000-0000-0000BB050000}"/>
    <cellStyle name="Финансовый 4 2 8 7" xfId="755" xr:uid="{00000000-0005-0000-0000-0000BC050000}"/>
    <cellStyle name="Финансовый 4 2 9" xfId="149" xr:uid="{00000000-0005-0000-0000-0000BD050000}"/>
    <cellStyle name="Финансовый 4 2 9 2" xfId="421" xr:uid="{00000000-0005-0000-0000-0000BE050000}"/>
    <cellStyle name="Финансовый 4 2 9 2 2" xfId="1388" xr:uid="{00000000-0005-0000-0000-0000BF050000}"/>
    <cellStyle name="Финансовый 4 2 9 3" xfId="1132" xr:uid="{00000000-0005-0000-0000-0000C0050000}"/>
    <cellStyle name="Финансовый 4 2 9 4" xfId="1653" xr:uid="{00000000-0005-0000-0000-0000C1050000}"/>
    <cellStyle name="Финансовый 4 3" xfId="41" xr:uid="{00000000-0005-0000-0000-0000C2050000}"/>
    <cellStyle name="Финансовый 4 3 2" xfId="123" xr:uid="{00000000-0005-0000-0000-0000C3050000}"/>
    <cellStyle name="Финансовый 4 3 2 2" xfId="259" xr:uid="{00000000-0005-0000-0000-0000C4050000}"/>
    <cellStyle name="Финансовый 4 3 2 2 2" xfId="531" xr:uid="{00000000-0005-0000-0000-0000C5050000}"/>
    <cellStyle name="Финансовый 4 3 2 2 2 2" xfId="1490" xr:uid="{00000000-0005-0000-0000-0000C6050000}"/>
    <cellStyle name="Финансовый 4 3 2 2 3" xfId="1234" xr:uid="{00000000-0005-0000-0000-0000C7050000}"/>
    <cellStyle name="Финансовый 4 3 2 2 4" xfId="1763" xr:uid="{00000000-0005-0000-0000-0000C8050000}"/>
    <cellStyle name="Финансовый 4 3 2 3" xfId="395" xr:uid="{00000000-0005-0000-0000-0000C9050000}"/>
    <cellStyle name="Финансовый 4 3 2 3 2" xfId="1362" xr:uid="{00000000-0005-0000-0000-0000CA050000}"/>
    <cellStyle name="Финансовый 4 3 2 4" xfId="714" xr:uid="{00000000-0005-0000-0000-0000CB050000}"/>
    <cellStyle name="Финансовый 4 3 2 4 2" xfId="1106" xr:uid="{00000000-0005-0000-0000-0000CC050000}"/>
    <cellStyle name="Финансовый 4 3 2 5" xfId="982" xr:uid="{00000000-0005-0000-0000-0000CD050000}"/>
    <cellStyle name="Финансовый 4 3 2 6" xfId="1627" xr:uid="{00000000-0005-0000-0000-0000CE050000}"/>
    <cellStyle name="Финансовый 4 3 2 7" xfId="854" xr:uid="{00000000-0005-0000-0000-0000CF050000}"/>
    <cellStyle name="Финансовый 4 3 3" xfId="87" xr:uid="{00000000-0005-0000-0000-0000D0050000}"/>
    <cellStyle name="Финансовый 4 3 3 2" xfId="223" xr:uid="{00000000-0005-0000-0000-0000D1050000}"/>
    <cellStyle name="Финансовый 4 3 3 2 2" xfId="495" xr:uid="{00000000-0005-0000-0000-0000D2050000}"/>
    <cellStyle name="Финансовый 4 3 3 2 2 2" xfId="1454" xr:uid="{00000000-0005-0000-0000-0000D3050000}"/>
    <cellStyle name="Финансовый 4 3 3 2 3" xfId="1198" xr:uid="{00000000-0005-0000-0000-0000D4050000}"/>
    <cellStyle name="Финансовый 4 3 3 2 4" xfId="1727" xr:uid="{00000000-0005-0000-0000-0000D5050000}"/>
    <cellStyle name="Финансовый 4 3 3 3" xfId="359" xr:uid="{00000000-0005-0000-0000-0000D6050000}"/>
    <cellStyle name="Финансовый 4 3 3 3 2" xfId="1326" xr:uid="{00000000-0005-0000-0000-0000D7050000}"/>
    <cellStyle name="Финансовый 4 3 3 4" xfId="715" xr:uid="{00000000-0005-0000-0000-0000D8050000}"/>
    <cellStyle name="Финансовый 4 3 3 4 2" xfId="1070" xr:uid="{00000000-0005-0000-0000-0000D9050000}"/>
    <cellStyle name="Финансовый 4 3 3 5" xfId="946" xr:uid="{00000000-0005-0000-0000-0000DA050000}"/>
    <cellStyle name="Финансовый 4 3 3 6" xfId="1591" xr:uid="{00000000-0005-0000-0000-0000DB050000}"/>
    <cellStyle name="Финансовый 4 3 3 7" xfId="818" xr:uid="{00000000-0005-0000-0000-0000DC050000}"/>
    <cellStyle name="Финансовый 4 3 4" xfId="179" xr:uid="{00000000-0005-0000-0000-0000DD050000}"/>
    <cellStyle name="Финансовый 4 3 4 2" xfId="451" xr:uid="{00000000-0005-0000-0000-0000DE050000}"/>
    <cellStyle name="Финансовый 4 3 4 2 2" xfId="1418" xr:uid="{00000000-0005-0000-0000-0000DF050000}"/>
    <cellStyle name="Финансовый 4 3 4 3" xfId="1162" xr:uid="{00000000-0005-0000-0000-0000E0050000}"/>
    <cellStyle name="Финансовый 4 3 4 4" xfId="1683" xr:uid="{00000000-0005-0000-0000-0000E1050000}"/>
    <cellStyle name="Финансовый 4 3 5" xfId="315" xr:uid="{00000000-0005-0000-0000-0000E2050000}"/>
    <cellStyle name="Финансовый 4 3 5 2" xfId="1290" xr:uid="{00000000-0005-0000-0000-0000E3050000}"/>
    <cellStyle name="Финансовый 4 3 6" xfId="607" xr:uid="{00000000-0005-0000-0000-0000E4050000}"/>
    <cellStyle name="Финансовый 4 3 6 2" xfId="1026" xr:uid="{00000000-0005-0000-0000-0000E5050000}"/>
    <cellStyle name="Финансовый 4 3 7" xfId="910" xr:uid="{00000000-0005-0000-0000-0000E6050000}"/>
    <cellStyle name="Финансовый 4 3 8" xfId="1546" xr:uid="{00000000-0005-0000-0000-0000E7050000}"/>
    <cellStyle name="Финансовый 4 3 9" xfId="773" xr:uid="{00000000-0005-0000-0000-0000E8050000}"/>
    <cellStyle name="Финансовый 4 4" xfId="93" xr:uid="{00000000-0005-0000-0000-0000E9050000}"/>
    <cellStyle name="Финансовый 4 4 2" xfId="229" xr:uid="{00000000-0005-0000-0000-0000EA050000}"/>
    <cellStyle name="Финансовый 4 4 2 2" xfId="501" xr:uid="{00000000-0005-0000-0000-0000EB050000}"/>
    <cellStyle name="Финансовый 4 4 2 2 2" xfId="1460" xr:uid="{00000000-0005-0000-0000-0000EC050000}"/>
    <cellStyle name="Финансовый 4 4 2 3" xfId="1204" xr:uid="{00000000-0005-0000-0000-0000ED050000}"/>
    <cellStyle name="Финансовый 4 4 2 4" xfId="1733" xr:uid="{00000000-0005-0000-0000-0000EE050000}"/>
    <cellStyle name="Финансовый 4 4 3" xfId="365" xr:uid="{00000000-0005-0000-0000-0000EF050000}"/>
    <cellStyle name="Финансовый 4 4 3 2" xfId="1332" xr:uid="{00000000-0005-0000-0000-0000F0050000}"/>
    <cellStyle name="Финансовый 4 4 4" xfId="716" xr:uid="{00000000-0005-0000-0000-0000F1050000}"/>
    <cellStyle name="Финансовый 4 4 4 2" xfId="1076" xr:uid="{00000000-0005-0000-0000-0000F2050000}"/>
    <cellStyle name="Финансовый 4 4 5" xfId="952" xr:uid="{00000000-0005-0000-0000-0000F3050000}"/>
    <cellStyle name="Финансовый 4 4 6" xfId="1597" xr:uid="{00000000-0005-0000-0000-0000F4050000}"/>
    <cellStyle name="Финансовый 4 4 7" xfId="824" xr:uid="{00000000-0005-0000-0000-0000F5050000}"/>
    <cellStyle name="Финансовый 4 5" xfId="99" xr:uid="{00000000-0005-0000-0000-0000F6050000}"/>
    <cellStyle name="Финансовый 4 5 2" xfId="235" xr:uid="{00000000-0005-0000-0000-0000F7050000}"/>
    <cellStyle name="Финансовый 4 5 2 2" xfId="507" xr:uid="{00000000-0005-0000-0000-0000F8050000}"/>
    <cellStyle name="Финансовый 4 5 2 2 2" xfId="1466" xr:uid="{00000000-0005-0000-0000-0000F9050000}"/>
    <cellStyle name="Финансовый 4 5 2 3" xfId="1210" xr:uid="{00000000-0005-0000-0000-0000FA050000}"/>
    <cellStyle name="Финансовый 4 5 2 4" xfId="1739" xr:uid="{00000000-0005-0000-0000-0000FB050000}"/>
    <cellStyle name="Финансовый 4 5 3" xfId="371" xr:uid="{00000000-0005-0000-0000-0000FC050000}"/>
    <cellStyle name="Финансовый 4 5 3 2" xfId="1338" xr:uid="{00000000-0005-0000-0000-0000FD050000}"/>
    <cellStyle name="Финансовый 4 5 4" xfId="717" xr:uid="{00000000-0005-0000-0000-0000FE050000}"/>
    <cellStyle name="Финансовый 4 5 4 2" xfId="1082" xr:uid="{00000000-0005-0000-0000-0000FF050000}"/>
    <cellStyle name="Финансовый 4 5 5" xfId="958" xr:uid="{00000000-0005-0000-0000-000000060000}"/>
    <cellStyle name="Финансовый 4 5 6" xfId="1603" xr:uid="{00000000-0005-0000-0000-000001060000}"/>
    <cellStyle name="Финансовый 4 5 7" xfId="830" xr:uid="{00000000-0005-0000-0000-000002060000}"/>
    <cellStyle name="Финансовый 4 6" xfId="111" xr:uid="{00000000-0005-0000-0000-000003060000}"/>
    <cellStyle name="Финансовый 4 6 2" xfId="247" xr:uid="{00000000-0005-0000-0000-000004060000}"/>
    <cellStyle name="Финансовый 4 6 2 2" xfId="519" xr:uid="{00000000-0005-0000-0000-000005060000}"/>
    <cellStyle name="Финансовый 4 6 2 2 2" xfId="1478" xr:uid="{00000000-0005-0000-0000-000006060000}"/>
    <cellStyle name="Финансовый 4 6 2 3" xfId="1222" xr:uid="{00000000-0005-0000-0000-000007060000}"/>
    <cellStyle name="Финансовый 4 6 2 4" xfId="1751" xr:uid="{00000000-0005-0000-0000-000008060000}"/>
    <cellStyle name="Финансовый 4 6 3" xfId="383" xr:uid="{00000000-0005-0000-0000-000009060000}"/>
    <cellStyle name="Финансовый 4 6 3 2" xfId="1350" xr:uid="{00000000-0005-0000-0000-00000A060000}"/>
    <cellStyle name="Финансовый 4 6 4" xfId="653" xr:uid="{00000000-0005-0000-0000-00000B060000}"/>
    <cellStyle name="Финансовый 4 6 4 2" xfId="1094" xr:uid="{00000000-0005-0000-0000-00000C060000}"/>
    <cellStyle name="Финансовый 4 6 5" xfId="970" xr:uid="{00000000-0005-0000-0000-00000D060000}"/>
    <cellStyle name="Финансовый 4 6 6" xfId="1615" xr:uid="{00000000-0005-0000-0000-00000E060000}"/>
    <cellStyle name="Финансовый 4 6 7" xfId="842" xr:uid="{00000000-0005-0000-0000-00000F060000}"/>
    <cellStyle name="Финансовый 4 7" xfId="75" xr:uid="{00000000-0005-0000-0000-000010060000}"/>
    <cellStyle name="Финансовый 4 7 2" xfId="211" xr:uid="{00000000-0005-0000-0000-000011060000}"/>
    <cellStyle name="Финансовый 4 7 2 2" xfId="483" xr:uid="{00000000-0005-0000-0000-000012060000}"/>
    <cellStyle name="Финансовый 4 7 2 2 2" xfId="1442" xr:uid="{00000000-0005-0000-0000-000013060000}"/>
    <cellStyle name="Финансовый 4 7 2 3" xfId="1186" xr:uid="{00000000-0005-0000-0000-000014060000}"/>
    <cellStyle name="Финансовый 4 7 2 4" xfId="1715" xr:uid="{00000000-0005-0000-0000-000015060000}"/>
    <cellStyle name="Финансовый 4 7 3" xfId="347" xr:uid="{00000000-0005-0000-0000-000016060000}"/>
    <cellStyle name="Финансовый 4 7 3 2" xfId="1314" xr:uid="{00000000-0005-0000-0000-000017060000}"/>
    <cellStyle name="Финансовый 4 7 4" xfId="621" xr:uid="{00000000-0005-0000-0000-000018060000}"/>
    <cellStyle name="Финансовый 4 7 4 2" xfId="1058" xr:uid="{00000000-0005-0000-0000-000019060000}"/>
    <cellStyle name="Финансовый 4 7 5" xfId="934" xr:uid="{00000000-0005-0000-0000-00001A060000}"/>
    <cellStyle name="Финансовый 4 7 6" xfId="1579" xr:uid="{00000000-0005-0000-0000-00001B060000}"/>
    <cellStyle name="Финансовый 4 7 7" xfId="806" xr:uid="{00000000-0005-0000-0000-00001C060000}"/>
    <cellStyle name="Финансовый 4 8" xfId="53" xr:uid="{00000000-0005-0000-0000-00001D060000}"/>
    <cellStyle name="Финансовый 4 8 2" xfId="191" xr:uid="{00000000-0005-0000-0000-00001E060000}"/>
    <cellStyle name="Финансовый 4 8 2 2" xfId="463" xr:uid="{00000000-0005-0000-0000-00001F060000}"/>
    <cellStyle name="Финансовый 4 8 2 2 2" xfId="1430" xr:uid="{00000000-0005-0000-0000-000020060000}"/>
    <cellStyle name="Финансовый 4 8 2 3" xfId="1174" xr:uid="{00000000-0005-0000-0000-000021060000}"/>
    <cellStyle name="Финансовый 4 8 2 4" xfId="1695" xr:uid="{00000000-0005-0000-0000-000022060000}"/>
    <cellStyle name="Финансовый 4 8 3" xfId="327" xr:uid="{00000000-0005-0000-0000-000023060000}"/>
    <cellStyle name="Финансовый 4 8 3 2" xfId="1302" xr:uid="{00000000-0005-0000-0000-000024060000}"/>
    <cellStyle name="Финансовый 4 8 4" xfId="608" xr:uid="{00000000-0005-0000-0000-000025060000}"/>
    <cellStyle name="Финансовый 4 8 4 2" xfId="1038" xr:uid="{00000000-0005-0000-0000-000026060000}"/>
    <cellStyle name="Финансовый 4 8 5" xfId="922" xr:uid="{00000000-0005-0000-0000-000027060000}"/>
    <cellStyle name="Финансовый 4 8 6" xfId="1558" xr:uid="{00000000-0005-0000-0000-000028060000}"/>
    <cellStyle name="Финансовый 4 8 7" xfId="785" xr:uid="{00000000-0005-0000-0000-000029060000}"/>
    <cellStyle name="Финансовый 4 9" xfId="131" xr:uid="{00000000-0005-0000-0000-00002A060000}"/>
    <cellStyle name="Финансовый 4 9 2" xfId="267" xr:uid="{00000000-0005-0000-0000-00002B060000}"/>
    <cellStyle name="Финансовый 4 9 2 2" xfId="539" xr:uid="{00000000-0005-0000-0000-00002C060000}"/>
    <cellStyle name="Финансовый 4 9 2 2 2" xfId="1498" xr:uid="{00000000-0005-0000-0000-00002D060000}"/>
    <cellStyle name="Финансовый 4 9 2 3" xfId="1242" xr:uid="{00000000-0005-0000-0000-00002E060000}"/>
    <cellStyle name="Финансовый 4 9 2 4" xfId="1771" xr:uid="{00000000-0005-0000-0000-00002F060000}"/>
    <cellStyle name="Финансовый 4 9 3" xfId="403" xr:uid="{00000000-0005-0000-0000-000030060000}"/>
    <cellStyle name="Финансовый 4 9 3 2" xfId="1370" xr:uid="{00000000-0005-0000-0000-000031060000}"/>
    <cellStyle name="Финансовый 4 9 4" xfId="624" xr:uid="{00000000-0005-0000-0000-000032060000}"/>
    <cellStyle name="Финансовый 4 9 4 2" xfId="1114" xr:uid="{00000000-0005-0000-0000-000033060000}"/>
    <cellStyle name="Финансовый 4 9 5" xfId="990" xr:uid="{00000000-0005-0000-0000-000034060000}"/>
    <cellStyle name="Финансовый 4 9 6" xfId="1635" xr:uid="{00000000-0005-0000-0000-000035060000}"/>
    <cellStyle name="Финансовый 4 9 7" xfId="862" xr:uid="{00000000-0005-0000-0000-000036060000}"/>
    <cellStyle name="Финансовый 5" xfId="7" xr:uid="{00000000-0005-0000-0000-000037060000}"/>
    <cellStyle name="Финансовый 5 10" xfId="553" xr:uid="{00000000-0005-0000-0000-000038060000}"/>
    <cellStyle name="Финансовый 5 10 2" xfId="1256" xr:uid="{00000000-0005-0000-0000-000039060000}"/>
    <cellStyle name="Финансовый 5 11" xfId="281" xr:uid="{00000000-0005-0000-0000-00003A060000}"/>
    <cellStyle name="Финансовый 5 12" xfId="718" xr:uid="{00000000-0005-0000-0000-00003B060000}"/>
    <cellStyle name="Финансовый 5 12 2" xfId="876" xr:uid="{00000000-0005-0000-0000-00003C060000}"/>
    <cellStyle name="Финансовый 5 13" xfId="1512" xr:uid="{00000000-0005-0000-0000-00003D060000}"/>
    <cellStyle name="Финансовый 5 14" xfId="739" xr:uid="{00000000-0005-0000-0000-00003E060000}"/>
    <cellStyle name="Финансовый 5 2" xfId="43" xr:uid="{00000000-0005-0000-0000-00003F060000}"/>
    <cellStyle name="Финансовый 5 2 2" xfId="101" xr:uid="{00000000-0005-0000-0000-000040060000}"/>
    <cellStyle name="Финансовый 5 2 2 2" xfId="237" xr:uid="{00000000-0005-0000-0000-000041060000}"/>
    <cellStyle name="Финансовый 5 2 2 2 2" xfId="509" xr:uid="{00000000-0005-0000-0000-000042060000}"/>
    <cellStyle name="Финансовый 5 2 2 2 2 2" xfId="1468" xr:uid="{00000000-0005-0000-0000-000043060000}"/>
    <cellStyle name="Финансовый 5 2 2 2 3" xfId="1212" xr:uid="{00000000-0005-0000-0000-000044060000}"/>
    <cellStyle name="Финансовый 5 2 2 2 4" xfId="1741" xr:uid="{00000000-0005-0000-0000-000045060000}"/>
    <cellStyle name="Финансовый 5 2 2 3" xfId="373" xr:uid="{00000000-0005-0000-0000-000046060000}"/>
    <cellStyle name="Финансовый 5 2 2 3 2" xfId="1340" xr:uid="{00000000-0005-0000-0000-000047060000}"/>
    <cellStyle name="Финансовый 5 2 2 4" xfId="720" xr:uid="{00000000-0005-0000-0000-000048060000}"/>
    <cellStyle name="Финансовый 5 2 2 4 2" xfId="1084" xr:uid="{00000000-0005-0000-0000-000049060000}"/>
    <cellStyle name="Финансовый 5 2 2 5" xfId="960" xr:uid="{00000000-0005-0000-0000-00004A060000}"/>
    <cellStyle name="Финансовый 5 2 2 6" xfId="1605" xr:uid="{00000000-0005-0000-0000-00004B060000}"/>
    <cellStyle name="Финансовый 5 2 2 7" xfId="832" xr:uid="{00000000-0005-0000-0000-00004C060000}"/>
    <cellStyle name="Финансовый 5 2 3" xfId="181" xr:uid="{00000000-0005-0000-0000-00004D060000}"/>
    <cellStyle name="Финансовый 5 2 3 2" xfId="453" xr:uid="{00000000-0005-0000-0000-00004E060000}"/>
    <cellStyle name="Финансовый 5 2 3 2 2" xfId="1420" xr:uid="{00000000-0005-0000-0000-00004F060000}"/>
    <cellStyle name="Финансовый 5 2 3 3" xfId="1164" xr:uid="{00000000-0005-0000-0000-000050060000}"/>
    <cellStyle name="Финансовый 5 2 3 4" xfId="1685" xr:uid="{00000000-0005-0000-0000-000051060000}"/>
    <cellStyle name="Финансовый 5 2 4" xfId="317" xr:uid="{00000000-0005-0000-0000-000052060000}"/>
    <cellStyle name="Финансовый 5 2 4 2" xfId="1292" xr:uid="{00000000-0005-0000-0000-000053060000}"/>
    <cellStyle name="Финансовый 5 2 5" xfId="719" xr:uid="{00000000-0005-0000-0000-000054060000}"/>
    <cellStyle name="Финансовый 5 2 5 2" xfId="1028" xr:uid="{00000000-0005-0000-0000-000055060000}"/>
    <cellStyle name="Финансовый 5 2 6" xfId="912" xr:uid="{00000000-0005-0000-0000-000056060000}"/>
    <cellStyle name="Финансовый 5 2 7" xfId="1548" xr:uid="{00000000-0005-0000-0000-000057060000}"/>
    <cellStyle name="Финансовый 5 2 8" xfId="775" xr:uid="{00000000-0005-0000-0000-000058060000}"/>
    <cellStyle name="Финансовый 5 3" xfId="113" xr:uid="{00000000-0005-0000-0000-000059060000}"/>
    <cellStyle name="Финансовый 5 3 2" xfId="249" xr:uid="{00000000-0005-0000-0000-00005A060000}"/>
    <cellStyle name="Финансовый 5 3 2 2" xfId="521" xr:uid="{00000000-0005-0000-0000-00005B060000}"/>
    <cellStyle name="Финансовый 5 3 2 2 2" xfId="1480" xr:uid="{00000000-0005-0000-0000-00005C060000}"/>
    <cellStyle name="Финансовый 5 3 2 3" xfId="1224" xr:uid="{00000000-0005-0000-0000-00005D060000}"/>
    <cellStyle name="Финансовый 5 3 2 4" xfId="1753" xr:uid="{00000000-0005-0000-0000-00005E060000}"/>
    <cellStyle name="Финансовый 5 3 3" xfId="385" xr:uid="{00000000-0005-0000-0000-00005F060000}"/>
    <cellStyle name="Финансовый 5 3 3 2" xfId="1352" xr:uid="{00000000-0005-0000-0000-000060060000}"/>
    <cellStyle name="Финансовый 5 3 4" xfId="721" xr:uid="{00000000-0005-0000-0000-000061060000}"/>
    <cellStyle name="Финансовый 5 3 4 2" xfId="1096" xr:uid="{00000000-0005-0000-0000-000062060000}"/>
    <cellStyle name="Финансовый 5 3 5" xfId="972" xr:uid="{00000000-0005-0000-0000-000063060000}"/>
    <cellStyle name="Финансовый 5 3 6" xfId="1617" xr:uid="{00000000-0005-0000-0000-000064060000}"/>
    <cellStyle name="Финансовый 5 3 7" xfId="844" xr:uid="{00000000-0005-0000-0000-000065060000}"/>
    <cellStyle name="Финансовый 5 4" xfId="77" xr:uid="{00000000-0005-0000-0000-000066060000}"/>
    <cellStyle name="Финансовый 5 4 2" xfId="213" xr:uid="{00000000-0005-0000-0000-000067060000}"/>
    <cellStyle name="Финансовый 5 4 2 2" xfId="485" xr:uid="{00000000-0005-0000-0000-000068060000}"/>
    <cellStyle name="Финансовый 5 4 2 2 2" xfId="1444" xr:uid="{00000000-0005-0000-0000-000069060000}"/>
    <cellStyle name="Финансовый 5 4 2 3" xfId="1188" xr:uid="{00000000-0005-0000-0000-00006A060000}"/>
    <cellStyle name="Финансовый 5 4 2 4" xfId="1717" xr:uid="{00000000-0005-0000-0000-00006B060000}"/>
    <cellStyle name="Финансовый 5 4 3" xfId="349" xr:uid="{00000000-0005-0000-0000-00006C060000}"/>
    <cellStyle name="Финансовый 5 4 3 2" xfId="1316" xr:uid="{00000000-0005-0000-0000-00006D060000}"/>
    <cellStyle name="Финансовый 5 4 4" xfId="722" xr:uid="{00000000-0005-0000-0000-00006E060000}"/>
    <cellStyle name="Финансовый 5 4 4 2" xfId="1060" xr:uid="{00000000-0005-0000-0000-00006F060000}"/>
    <cellStyle name="Финансовый 5 4 5" xfId="936" xr:uid="{00000000-0005-0000-0000-000070060000}"/>
    <cellStyle name="Финансовый 5 4 6" xfId="1581" xr:uid="{00000000-0005-0000-0000-000071060000}"/>
    <cellStyle name="Финансовый 5 4 7" xfId="808" xr:uid="{00000000-0005-0000-0000-000072060000}"/>
    <cellStyle name="Финансовый 5 5" xfId="55" xr:uid="{00000000-0005-0000-0000-000073060000}"/>
    <cellStyle name="Финансовый 5 5 2" xfId="193" xr:uid="{00000000-0005-0000-0000-000074060000}"/>
    <cellStyle name="Финансовый 5 5 2 2" xfId="465" xr:uid="{00000000-0005-0000-0000-000075060000}"/>
    <cellStyle name="Финансовый 5 5 2 2 2" xfId="1432" xr:uid="{00000000-0005-0000-0000-000076060000}"/>
    <cellStyle name="Финансовый 5 5 2 3" xfId="1176" xr:uid="{00000000-0005-0000-0000-000077060000}"/>
    <cellStyle name="Финансовый 5 5 2 4" xfId="1697" xr:uid="{00000000-0005-0000-0000-000078060000}"/>
    <cellStyle name="Финансовый 5 5 3" xfId="329" xr:uid="{00000000-0005-0000-0000-000079060000}"/>
    <cellStyle name="Финансовый 5 5 3 2" xfId="1304" xr:uid="{00000000-0005-0000-0000-00007A060000}"/>
    <cellStyle name="Финансовый 5 5 4" xfId="723" xr:uid="{00000000-0005-0000-0000-00007B060000}"/>
    <cellStyle name="Финансовый 5 5 4 2" xfId="1040" xr:uid="{00000000-0005-0000-0000-00007C060000}"/>
    <cellStyle name="Финансовый 5 5 5" xfId="924" xr:uid="{00000000-0005-0000-0000-00007D060000}"/>
    <cellStyle name="Финансовый 5 5 6" xfId="1560" xr:uid="{00000000-0005-0000-0000-00007E060000}"/>
    <cellStyle name="Финансовый 5 5 7" xfId="787" xr:uid="{00000000-0005-0000-0000-00007F060000}"/>
    <cellStyle name="Финансовый 5 6" xfId="133" xr:uid="{00000000-0005-0000-0000-000080060000}"/>
    <cellStyle name="Финансовый 5 6 2" xfId="269" xr:uid="{00000000-0005-0000-0000-000081060000}"/>
    <cellStyle name="Финансовый 5 6 2 2" xfId="541" xr:uid="{00000000-0005-0000-0000-000082060000}"/>
    <cellStyle name="Финансовый 5 6 2 2 2" xfId="1500" xr:uid="{00000000-0005-0000-0000-000083060000}"/>
    <cellStyle name="Финансовый 5 6 2 3" xfId="1244" xr:uid="{00000000-0005-0000-0000-000084060000}"/>
    <cellStyle name="Финансовый 5 6 2 4" xfId="1773" xr:uid="{00000000-0005-0000-0000-000085060000}"/>
    <cellStyle name="Финансовый 5 6 3" xfId="405" xr:uid="{00000000-0005-0000-0000-000086060000}"/>
    <cellStyle name="Финансовый 5 6 3 2" xfId="1372" xr:uid="{00000000-0005-0000-0000-000087060000}"/>
    <cellStyle name="Финансовый 5 6 4" xfId="724" xr:uid="{00000000-0005-0000-0000-000088060000}"/>
    <cellStyle name="Финансовый 5 6 4 2" xfId="1116" xr:uid="{00000000-0005-0000-0000-000089060000}"/>
    <cellStyle name="Финансовый 5 6 5" xfId="992" xr:uid="{00000000-0005-0000-0000-00008A060000}"/>
    <cellStyle name="Финансовый 5 6 6" xfId="1637" xr:uid="{00000000-0005-0000-0000-00008B060000}"/>
    <cellStyle name="Финансовый 5 6 7" xfId="864" xr:uid="{00000000-0005-0000-0000-00008C060000}"/>
    <cellStyle name="Финансовый 5 7" xfId="31" xr:uid="{00000000-0005-0000-0000-00008D060000}"/>
    <cellStyle name="Финансовый 5 7 2" xfId="169" xr:uid="{00000000-0005-0000-0000-00008E060000}"/>
    <cellStyle name="Финансовый 5 7 2 2" xfId="441" xr:uid="{00000000-0005-0000-0000-00008F060000}"/>
    <cellStyle name="Финансовый 5 7 2 2 2" xfId="1408" xr:uid="{00000000-0005-0000-0000-000090060000}"/>
    <cellStyle name="Финансовый 5 7 2 3" xfId="1152" xr:uid="{00000000-0005-0000-0000-000091060000}"/>
    <cellStyle name="Финансовый 5 7 2 4" xfId="1673" xr:uid="{00000000-0005-0000-0000-000092060000}"/>
    <cellStyle name="Финансовый 5 7 3" xfId="305" xr:uid="{00000000-0005-0000-0000-000093060000}"/>
    <cellStyle name="Финансовый 5 7 3 2" xfId="1280" xr:uid="{00000000-0005-0000-0000-000094060000}"/>
    <cellStyle name="Финансовый 5 7 4" xfId="725" xr:uid="{00000000-0005-0000-0000-000095060000}"/>
    <cellStyle name="Финансовый 5 7 4 2" xfId="1016" xr:uid="{00000000-0005-0000-0000-000096060000}"/>
    <cellStyle name="Финансовый 5 7 5" xfId="900" xr:uid="{00000000-0005-0000-0000-000097060000}"/>
    <cellStyle name="Финансовый 5 7 6" xfId="1536" xr:uid="{00000000-0005-0000-0000-000098060000}"/>
    <cellStyle name="Финансовый 5 7 7" xfId="763" xr:uid="{00000000-0005-0000-0000-000099060000}"/>
    <cellStyle name="Финансовый 5 8" xfId="19" xr:uid="{00000000-0005-0000-0000-00009A060000}"/>
    <cellStyle name="Финансовый 5 8 2" xfId="157" xr:uid="{00000000-0005-0000-0000-00009B060000}"/>
    <cellStyle name="Финансовый 5 8 2 2" xfId="429" xr:uid="{00000000-0005-0000-0000-00009C060000}"/>
    <cellStyle name="Финансовый 5 8 2 2 2" xfId="1396" xr:uid="{00000000-0005-0000-0000-00009D060000}"/>
    <cellStyle name="Финансовый 5 8 2 3" xfId="1140" xr:uid="{00000000-0005-0000-0000-00009E060000}"/>
    <cellStyle name="Финансовый 5 8 2 4" xfId="1661" xr:uid="{00000000-0005-0000-0000-00009F060000}"/>
    <cellStyle name="Финансовый 5 8 3" xfId="293" xr:uid="{00000000-0005-0000-0000-0000A0060000}"/>
    <cellStyle name="Финансовый 5 8 3 2" xfId="1268" xr:uid="{00000000-0005-0000-0000-0000A1060000}"/>
    <cellStyle name="Финансовый 5 8 4" xfId="726" xr:uid="{00000000-0005-0000-0000-0000A2060000}"/>
    <cellStyle name="Финансовый 5 8 4 2" xfId="1004" xr:uid="{00000000-0005-0000-0000-0000A3060000}"/>
    <cellStyle name="Финансовый 5 8 5" xfId="888" xr:uid="{00000000-0005-0000-0000-0000A4060000}"/>
    <cellStyle name="Финансовый 5 8 6" xfId="1524" xr:uid="{00000000-0005-0000-0000-0000A5060000}"/>
    <cellStyle name="Финансовый 5 8 7" xfId="751" xr:uid="{00000000-0005-0000-0000-0000A6060000}"/>
    <cellStyle name="Финансовый 5 9" xfId="145" xr:uid="{00000000-0005-0000-0000-0000A7060000}"/>
    <cellStyle name="Финансовый 5 9 2" xfId="417" xr:uid="{00000000-0005-0000-0000-0000A8060000}"/>
    <cellStyle name="Финансовый 5 9 2 2" xfId="1384" xr:uid="{00000000-0005-0000-0000-0000A9060000}"/>
    <cellStyle name="Финансовый 5 9 3" xfId="1128" xr:uid="{00000000-0005-0000-0000-0000AA060000}"/>
    <cellStyle name="Финансовый 5 9 4" xfId="1649" xr:uid="{00000000-0005-0000-0000-0000AB060000}"/>
    <cellStyle name="Финансовый 6" xfId="37" xr:uid="{00000000-0005-0000-0000-0000AC060000}"/>
    <cellStyle name="Финансовый 6 2" xfId="119" xr:uid="{00000000-0005-0000-0000-0000AD060000}"/>
    <cellStyle name="Финансовый 6 2 2" xfId="255" xr:uid="{00000000-0005-0000-0000-0000AE060000}"/>
    <cellStyle name="Финансовый 6 2 2 2" xfId="527" xr:uid="{00000000-0005-0000-0000-0000AF060000}"/>
    <cellStyle name="Финансовый 6 2 2 2 2" xfId="1486" xr:uid="{00000000-0005-0000-0000-0000B0060000}"/>
    <cellStyle name="Финансовый 6 2 2 3" xfId="1230" xr:uid="{00000000-0005-0000-0000-0000B1060000}"/>
    <cellStyle name="Финансовый 6 2 2 4" xfId="1759" xr:uid="{00000000-0005-0000-0000-0000B2060000}"/>
    <cellStyle name="Финансовый 6 2 3" xfId="391" xr:uid="{00000000-0005-0000-0000-0000B3060000}"/>
    <cellStyle name="Финансовый 6 2 3 2" xfId="1358" xr:uid="{00000000-0005-0000-0000-0000B4060000}"/>
    <cellStyle name="Финансовый 6 2 4" xfId="728" xr:uid="{00000000-0005-0000-0000-0000B5060000}"/>
    <cellStyle name="Финансовый 6 2 4 2" xfId="1102" xr:uid="{00000000-0005-0000-0000-0000B6060000}"/>
    <cellStyle name="Финансовый 6 2 5" xfId="978" xr:uid="{00000000-0005-0000-0000-0000B7060000}"/>
    <cellStyle name="Финансовый 6 2 6" xfId="1623" xr:uid="{00000000-0005-0000-0000-0000B8060000}"/>
    <cellStyle name="Финансовый 6 2 7" xfId="850" xr:uid="{00000000-0005-0000-0000-0000B9060000}"/>
    <cellStyle name="Финансовый 6 3" xfId="83" xr:uid="{00000000-0005-0000-0000-0000BA060000}"/>
    <cellStyle name="Финансовый 6 3 2" xfId="219" xr:uid="{00000000-0005-0000-0000-0000BB060000}"/>
    <cellStyle name="Финансовый 6 3 2 2" xfId="491" xr:uid="{00000000-0005-0000-0000-0000BC060000}"/>
    <cellStyle name="Финансовый 6 3 2 2 2" xfId="1450" xr:uid="{00000000-0005-0000-0000-0000BD060000}"/>
    <cellStyle name="Финансовый 6 3 2 3" xfId="1194" xr:uid="{00000000-0005-0000-0000-0000BE060000}"/>
    <cellStyle name="Финансовый 6 3 2 4" xfId="1723" xr:uid="{00000000-0005-0000-0000-0000BF060000}"/>
    <cellStyle name="Финансовый 6 3 3" xfId="355" xr:uid="{00000000-0005-0000-0000-0000C0060000}"/>
    <cellStyle name="Финансовый 6 3 3 2" xfId="1322" xr:uid="{00000000-0005-0000-0000-0000C1060000}"/>
    <cellStyle name="Финансовый 6 3 4" xfId="618" xr:uid="{00000000-0005-0000-0000-0000C2060000}"/>
    <cellStyle name="Финансовый 6 3 4 2" xfId="1066" xr:uid="{00000000-0005-0000-0000-0000C3060000}"/>
    <cellStyle name="Финансовый 6 3 5" xfId="942" xr:uid="{00000000-0005-0000-0000-0000C4060000}"/>
    <cellStyle name="Финансовый 6 3 6" xfId="1587" xr:uid="{00000000-0005-0000-0000-0000C5060000}"/>
    <cellStyle name="Финансовый 6 3 7" xfId="814" xr:uid="{00000000-0005-0000-0000-0000C6060000}"/>
    <cellStyle name="Финансовый 6 4" xfId="175" xr:uid="{00000000-0005-0000-0000-0000C7060000}"/>
    <cellStyle name="Финансовый 6 4 2" xfId="447" xr:uid="{00000000-0005-0000-0000-0000C8060000}"/>
    <cellStyle name="Финансовый 6 4 2 2" xfId="1414" xr:uid="{00000000-0005-0000-0000-0000C9060000}"/>
    <cellStyle name="Финансовый 6 4 3" xfId="1158" xr:uid="{00000000-0005-0000-0000-0000CA060000}"/>
    <cellStyle name="Финансовый 6 4 4" xfId="1679" xr:uid="{00000000-0005-0000-0000-0000CB060000}"/>
    <cellStyle name="Финансовый 6 5" xfId="311" xr:uid="{00000000-0005-0000-0000-0000CC060000}"/>
    <cellStyle name="Финансовый 6 5 2" xfId="1286" xr:uid="{00000000-0005-0000-0000-0000CD060000}"/>
    <cellStyle name="Финансовый 6 6" xfId="727" xr:uid="{00000000-0005-0000-0000-0000CE060000}"/>
    <cellStyle name="Финансовый 6 6 2" xfId="1022" xr:uid="{00000000-0005-0000-0000-0000CF060000}"/>
    <cellStyle name="Финансовый 6 7" xfId="906" xr:uid="{00000000-0005-0000-0000-0000D0060000}"/>
    <cellStyle name="Финансовый 6 8" xfId="1542" xr:uid="{00000000-0005-0000-0000-0000D1060000}"/>
    <cellStyle name="Финансовый 6 9" xfId="769" xr:uid="{00000000-0005-0000-0000-0000D2060000}"/>
    <cellStyle name="Финансовый 7" xfId="89" xr:uid="{00000000-0005-0000-0000-0000D3060000}"/>
    <cellStyle name="Финансовый 7 2" xfId="225" xr:uid="{00000000-0005-0000-0000-0000D4060000}"/>
    <cellStyle name="Финансовый 7 2 2" xfId="497" xr:uid="{00000000-0005-0000-0000-0000D5060000}"/>
    <cellStyle name="Финансовый 7 2 2 2" xfId="1456" xr:uid="{00000000-0005-0000-0000-0000D6060000}"/>
    <cellStyle name="Финансовый 7 2 3" xfId="1200" xr:uid="{00000000-0005-0000-0000-0000D7060000}"/>
    <cellStyle name="Финансовый 7 2 4" xfId="1729" xr:uid="{00000000-0005-0000-0000-0000D8060000}"/>
    <cellStyle name="Финансовый 7 3" xfId="361" xr:uid="{00000000-0005-0000-0000-0000D9060000}"/>
    <cellStyle name="Финансовый 7 3 2" xfId="1328" xr:uid="{00000000-0005-0000-0000-0000DA060000}"/>
    <cellStyle name="Финансовый 7 4" xfId="729" xr:uid="{00000000-0005-0000-0000-0000DB060000}"/>
    <cellStyle name="Финансовый 7 4 2" xfId="1072" xr:uid="{00000000-0005-0000-0000-0000DC060000}"/>
    <cellStyle name="Финансовый 7 5" xfId="948" xr:uid="{00000000-0005-0000-0000-0000DD060000}"/>
    <cellStyle name="Финансовый 7 6" xfId="1593" xr:uid="{00000000-0005-0000-0000-0000DE060000}"/>
    <cellStyle name="Финансовый 7 7" xfId="820" xr:uid="{00000000-0005-0000-0000-0000DF060000}"/>
    <cellStyle name="Финансовый 8" xfId="95" xr:uid="{00000000-0005-0000-0000-0000E0060000}"/>
    <cellStyle name="Финансовый 8 2" xfId="231" xr:uid="{00000000-0005-0000-0000-0000E1060000}"/>
    <cellStyle name="Финансовый 8 2 2" xfId="503" xr:uid="{00000000-0005-0000-0000-0000E2060000}"/>
    <cellStyle name="Финансовый 8 2 2 2" xfId="1462" xr:uid="{00000000-0005-0000-0000-0000E3060000}"/>
    <cellStyle name="Финансовый 8 2 3" xfId="1206" xr:uid="{00000000-0005-0000-0000-0000E4060000}"/>
    <cellStyle name="Финансовый 8 2 4" xfId="1735" xr:uid="{00000000-0005-0000-0000-0000E5060000}"/>
    <cellStyle name="Финансовый 8 3" xfId="367" xr:uid="{00000000-0005-0000-0000-0000E6060000}"/>
    <cellStyle name="Финансовый 8 3 2" xfId="1334" xr:uid="{00000000-0005-0000-0000-0000E7060000}"/>
    <cellStyle name="Финансовый 8 4" xfId="730" xr:uid="{00000000-0005-0000-0000-0000E8060000}"/>
    <cellStyle name="Финансовый 8 4 2" xfId="1078" xr:uid="{00000000-0005-0000-0000-0000E9060000}"/>
    <cellStyle name="Финансовый 8 5" xfId="954" xr:uid="{00000000-0005-0000-0000-0000EA060000}"/>
    <cellStyle name="Финансовый 8 6" xfId="1599" xr:uid="{00000000-0005-0000-0000-0000EB060000}"/>
    <cellStyle name="Финансовый 8 7" xfId="826" xr:uid="{00000000-0005-0000-0000-0000EC060000}"/>
    <cellStyle name="Финансовый 9" xfId="107" xr:uid="{00000000-0005-0000-0000-0000ED060000}"/>
    <cellStyle name="Финансовый 9 2" xfId="243" xr:uid="{00000000-0005-0000-0000-0000EE060000}"/>
    <cellStyle name="Финансовый 9 2 2" xfId="515" xr:uid="{00000000-0005-0000-0000-0000EF060000}"/>
    <cellStyle name="Финансовый 9 2 2 2" xfId="1474" xr:uid="{00000000-0005-0000-0000-0000F0060000}"/>
    <cellStyle name="Финансовый 9 2 3" xfId="1218" xr:uid="{00000000-0005-0000-0000-0000F1060000}"/>
    <cellStyle name="Финансовый 9 2 4" xfId="1747" xr:uid="{00000000-0005-0000-0000-0000F2060000}"/>
    <cellStyle name="Финансовый 9 3" xfId="379" xr:uid="{00000000-0005-0000-0000-0000F3060000}"/>
    <cellStyle name="Финансовый 9 3 2" xfId="1346" xr:uid="{00000000-0005-0000-0000-0000F4060000}"/>
    <cellStyle name="Финансовый 9 4" xfId="731" xr:uid="{00000000-0005-0000-0000-0000F5060000}"/>
    <cellStyle name="Финансовый 9 4 2" xfId="1090" xr:uid="{00000000-0005-0000-0000-0000F6060000}"/>
    <cellStyle name="Финансовый 9 5" xfId="966" xr:uid="{00000000-0005-0000-0000-0000F7060000}"/>
    <cellStyle name="Финансовый 9 6" xfId="1611" xr:uid="{00000000-0005-0000-0000-0000F8060000}"/>
    <cellStyle name="Финансовый 9 7" xfId="838" xr:uid="{00000000-0005-0000-0000-0000F9060000}"/>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
    <tabColor rgb="FF00B050"/>
  </sheetPr>
  <dimension ref="A1:BK171"/>
  <sheetViews>
    <sheetView topLeftCell="A145" zoomScaleNormal="100" workbookViewId="0">
      <selection activeCell="B78" sqref="B78"/>
    </sheetView>
  </sheetViews>
  <sheetFormatPr defaultColWidth="0" defaultRowHeight="15" zeroHeight="1"/>
  <cols>
    <col min="1" max="1" width="50" style="181" customWidth="1"/>
    <col min="2" max="2" width="61.85546875" style="183" customWidth="1"/>
    <col min="3" max="3" width="63.85546875" style="173" customWidth="1"/>
    <col min="4" max="4" width="29.7109375" style="173" customWidth="1"/>
    <col min="5" max="7" width="9.140625" style="173" hidden="1" customWidth="1"/>
    <col min="8" max="8" width="62.5703125" style="173" hidden="1" customWidth="1"/>
    <col min="9" max="13" width="9.140625" style="173" hidden="1" customWidth="1"/>
    <col min="14" max="14" width="70.7109375" style="173" hidden="1" customWidth="1"/>
    <col min="15" max="16" width="9.140625" style="173" hidden="1" customWidth="1"/>
    <col min="17" max="17" width="59.7109375" style="173" hidden="1" customWidth="1"/>
    <col min="18" max="18" width="49.85546875" style="173" hidden="1" customWidth="1"/>
    <col min="19" max="16384" width="9.140625" style="173" hidden="1"/>
  </cols>
  <sheetData>
    <row r="1" spans="1:4">
      <c r="A1" s="3" t="str">
        <f>CONCATENATE(B65," olish uchun ariza")</f>
        <v>mikroqarz olish uchun ariza</v>
      </c>
      <c r="B1" s="49" t="s">
        <v>427</v>
      </c>
      <c r="C1" s="400"/>
    </row>
    <row r="2" spans="1:4" ht="15" customHeight="1">
      <c r="A2" s="3" t="str">
        <f>CONCATENATE(B65," olish uchun ariza sanasi QO’L BILAN KIRITILADI")</f>
        <v>mikroqarz olish uchun ariza sanasi QO’L BILAN KIRITILADI</v>
      </c>
      <c r="B2" s="57" t="s">
        <v>396</v>
      </c>
      <c r="C2" s="400"/>
      <c r="D2" s="173">
        <f>180+B2</f>
        <v>45907</v>
      </c>
    </row>
    <row r="3" spans="1:4">
      <c r="A3" s="3"/>
      <c r="B3" s="1"/>
    </row>
    <row r="4" spans="1:4">
      <c r="A4" s="269" t="s">
        <v>53</v>
      </c>
      <c r="B4" s="269"/>
    </row>
    <row r="5" spans="1:4" ht="30">
      <c r="A5" s="3" t="s">
        <v>54</v>
      </c>
      <c r="B5" s="49" t="s">
        <v>397</v>
      </c>
      <c r="C5" s="400" t="s">
        <v>387</v>
      </c>
    </row>
    <row r="6" spans="1:4" ht="30">
      <c r="A6" s="3" t="s">
        <v>55</v>
      </c>
      <c r="B6" s="49" t="s">
        <v>134</v>
      </c>
      <c r="C6" s="173" t="s">
        <v>256</v>
      </c>
      <c r="D6" s="173" t="s">
        <v>134</v>
      </c>
    </row>
    <row r="7" spans="1:4" ht="30">
      <c r="A7" s="3" t="s">
        <v>56</v>
      </c>
      <c r="B7" s="49" t="s">
        <v>431</v>
      </c>
      <c r="C7" s="400"/>
    </row>
    <row r="8" spans="1:4" ht="30" hidden="1">
      <c r="A8" s="3" t="s">
        <v>57</v>
      </c>
      <c r="B8" s="72" t="str">
        <f>B5</f>
        <v>NUTFULLAYEV AKBARJON AXMEDOVICH</v>
      </c>
    </row>
    <row r="9" spans="1:4" hidden="1">
      <c r="A9" s="3" t="s">
        <v>58</v>
      </c>
      <c r="B9" s="72" t="str">
        <f>B7</f>
        <v>A.A.NUTFULLAYEV</v>
      </c>
    </row>
    <row r="10" spans="1:4" ht="30" hidden="1">
      <c r="A10" s="3" t="s">
        <v>59</v>
      </c>
      <c r="B10" s="72" t="str">
        <f>B8</f>
        <v>NUTFULLAYEV AKBARJON AXMEDOVICH</v>
      </c>
    </row>
    <row r="11" spans="1:4" hidden="1">
      <c r="A11" s="3" t="s">
        <v>60</v>
      </c>
      <c r="B11" s="72" t="str">
        <f>B9</f>
        <v>A.A.NUTFULLAYEV</v>
      </c>
    </row>
    <row r="12" spans="1:4" ht="30" hidden="1">
      <c r="A12" s="3" t="s">
        <v>61</v>
      </c>
      <c r="B12" s="72" t="str">
        <f>B10</f>
        <v>NUTFULLAYEV AKBARJON AXMEDOVICH</v>
      </c>
    </row>
    <row r="13" spans="1:4" hidden="1">
      <c r="A13" s="3" t="s">
        <v>62</v>
      </c>
      <c r="B13" s="72" t="str">
        <f>B11</f>
        <v>A.A.NUTFULLAYEV</v>
      </c>
    </row>
    <row r="14" spans="1:4" hidden="1">
      <c r="A14" s="3" t="s">
        <v>63</v>
      </c>
      <c r="B14" s="72" t="s">
        <v>66</v>
      </c>
    </row>
    <row r="15" spans="1:4">
      <c r="A15" s="3" t="s">
        <v>64</v>
      </c>
      <c r="B15" s="209" t="s">
        <v>398</v>
      </c>
      <c r="C15" s="400"/>
    </row>
    <row r="16" spans="1:4">
      <c r="A16" s="3" t="s">
        <v>65</v>
      </c>
      <c r="B16" s="49" t="s">
        <v>399</v>
      </c>
      <c r="C16" s="400"/>
    </row>
    <row r="17" spans="1:7">
      <c r="A17" s="3"/>
      <c r="B17" s="49" t="s">
        <v>415</v>
      </c>
      <c r="C17" s="400"/>
      <c r="D17" s="173" t="str">
        <f>TEXT(C17,"ДД.ММ.ГГГГ")</f>
        <v>00.01.1900</v>
      </c>
    </row>
    <row r="18" spans="1:7">
      <c r="A18" s="3"/>
      <c r="B18" s="185">
        <v>42118</v>
      </c>
      <c r="C18" s="401" t="str">
        <f>TEXT(B18,"ДД.ММ.ГГГГ")</f>
        <v>24.04.2015</v>
      </c>
    </row>
    <row r="19" spans="1:7">
      <c r="A19" s="3"/>
      <c r="B19" s="185">
        <v>45770</v>
      </c>
      <c r="C19" s="401" t="str">
        <f>TEXT(B19,"ДД.ММ.ГГГГ")</f>
        <v>23.04.2025</v>
      </c>
    </row>
    <row r="20" spans="1:7" ht="60">
      <c r="A20" s="3" t="s">
        <v>68</v>
      </c>
      <c r="B20" s="60" t="str">
        <f>""&amp;B17&amp;" tomonidan "&amp;C18&amp;" yilda berilgan"</f>
        <v>BUXORO VILOYATI BUXORO SHAHAR IIB tomonidan 24.04.2015 yilda berilgan</v>
      </c>
      <c r="C20" s="193" t="str">
        <f>""&amp;B17&amp;" tomonidan "&amp;C18&amp;" yilda berilgan"</f>
        <v>BUXORO VILOYATI BUXORO SHAHAR IIB tomonidan 24.04.2015 yilda berilgan</v>
      </c>
    </row>
    <row r="21" spans="1:7" ht="45">
      <c r="A21" s="3" t="s">
        <v>69</v>
      </c>
      <c r="B21" s="60" t="str">
        <f>""&amp;C19&amp;" y."</f>
        <v>23.04.2025 y.</v>
      </c>
      <c r="C21" s="192" t="str">
        <f>""&amp;C19&amp;" yilgacha"</f>
        <v>23.04.2025 yilgacha</v>
      </c>
    </row>
    <row r="22" spans="1:7" ht="57.75" customHeight="1">
      <c r="A22" s="3" t="s">
        <v>70</v>
      </c>
      <c r="B22" s="49" t="s">
        <v>400</v>
      </c>
      <c r="C22" s="401" t="str">
        <f>TEXT(B19,"ДД.ММ.ГГГГ")</f>
        <v>23.04.2025</v>
      </c>
    </row>
    <row r="23" spans="1:7" ht="30">
      <c r="A23" s="3" t="s">
        <v>71</v>
      </c>
      <c r="B23" s="49" t="s">
        <v>95</v>
      </c>
      <c r="C23" s="400" t="s">
        <v>95</v>
      </c>
      <c r="D23" s="173" t="s">
        <v>96</v>
      </c>
    </row>
    <row r="24" spans="1:7" ht="30" hidden="1">
      <c r="A24" s="3" t="s">
        <v>72</v>
      </c>
      <c r="B24" s="72" t="s">
        <v>93</v>
      </c>
      <c r="C24" s="400" t="s">
        <v>93</v>
      </c>
      <c r="D24" s="173" t="s">
        <v>94</v>
      </c>
      <c r="E24" s="173" t="s">
        <v>0</v>
      </c>
      <c r="F24" s="173" t="s">
        <v>1</v>
      </c>
      <c r="G24" s="173" t="s">
        <v>3</v>
      </c>
    </row>
    <row r="25" spans="1:7">
      <c r="A25" s="3" t="s">
        <v>73</v>
      </c>
      <c r="B25" s="49" t="s">
        <v>401</v>
      </c>
      <c r="C25" s="400"/>
    </row>
    <row r="26" spans="1:7" ht="44.25" customHeight="1">
      <c r="A26" s="3" t="s">
        <v>74</v>
      </c>
      <c r="B26" s="49" t="s">
        <v>402</v>
      </c>
      <c r="C26" s="400" t="s">
        <v>27</v>
      </c>
    </row>
    <row r="27" spans="1:7" ht="44.25" hidden="1" customHeight="1">
      <c r="A27" s="3"/>
      <c r="B27" s="49" t="str">
        <f>IF(B23="mos keladi",B22,B28)</f>
        <v>BUXORO VILOYATI BUXORO SHAHAR TADBIRKOR KO'CHASI 12-UY</v>
      </c>
      <c r="C27" s="400"/>
    </row>
    <row r="28" spans="1:7" ht="45">
      <c r="A28" s="3" t="s">
        <v>75</v>
      </c>
      <c r="B28" s="49" t="s">
        <v>400</v>
      </c>
      <c r="C28" s="400"/>
    </row>
    <row r="29" spans="1:7">
      <c r="A29" s="3" t="s">
        <v>76</v>
      </c>
      <c r="B29" s="49" t="s">
        <v>93</v>
      </c>
      <c r="C29" s="400" t="s">
        <v>93</v>
      </c>
      <c r="D29" s="173" t="s">
        <v>94</v>
      </c>
      <c r="E29" s="173" t="s">
        <v>327</v>
      </c>
      <c r="F29" s="173" t="s">
        <v>328</v>
      </c>
      <c r="G29" s="173" t="s">
        <v>3</v>
      </c>
    </row>
    <row r="30" spans="1:7" ht="27">
      <c r="A30" s="3" t="s">
        <v>77</v>
      </c>
      <c r="B30" s="165" t="s">
        <v>148</v>
      </c>
      <c r="C30" s="400" t="s">
        <v>148</v>
      </c>
      <c r="D30" s="173" t="s">
        <v>331</v>
      </c>
    </row>
    <row r="31" spans="1:7">
      <c r="A31" s="3" t="s">
        <v>78</v>
      </c>
      <c r="B31" s="49" t="s">
        <v>403</v>
      </c>
      <c r="C31" s="400" t="s">
        <v>386</v>
      </c>
    </row>
    <row r="32" spans="1:7">
      <c r="A32" s="3" t="s">
        <v>63</v>
      </c>
      <c r="B32" s="49" t="s">
        <v>66</v>
      </c>
      <c r="C32" s="400"/>
    </row>
    <row r="33" spans="1:4">
      <c r="A33" s="3" t="s">
        <v>73</v>
      </c>
      <c r="B33" s="49" t="s">
        <v>404</v>
      </c>
      <c r="C33" s="400"/>
    </row>
    <row r="34" spans="1:4" hidden="1">
      <c r="A34" s="3"/>
      <c r="B34" s="49" t="str">
        <f>IF(B23="mos keladi",B26,B35)</f>
        <v>GOR VODAKANAL</v>
      </c>
    </row>
    <row r="35" spans="1:4">
      <c r="A35" s="3" t="s">
        <v>74</v>
      </c>
      <c r="B35" s="49"/>
    </row>
    <row r="36" spans="1:4">
      <c r="A36" s="3" t="s">
        <v>79</v>
      </c>
      <c r="B36" s="49"/>
    </row>
    <row r="37" spans="1:4">
      <c r="A37" s="3" t="s">
        <v>80</v>
      </c>
      <c r="B37" s="49"/>
    </row>
    <row r="38" spans="1:4">
      <c r="A38" s="3" t="s">
        <v>81</v>
      </c>
      <c r="B38" s="49"/>
    </row>
    <row r="39" spans="1:4">
      <c r="A39" s="3" t="s">
        <v>82</v>
      </c>
      <c r="B39" s="49" t="str" cm="1">
        <f t="array" aca="1" ref="B39" ca="1">+A39:B102</f>
        <v>Mutaxassisligi</v>
      </c>
    </row>
    <row r="40" spans="1:4" ht="24.75" customHeight="1">
      <c r="A40" s="3" t="s">
        <v>83</v>
      </c>
      <c r="B40" s="49" t="s">
        <v>404</v>
      </c>
    </row>
    <row r="41" spans="1:4" ht="24.75" customHeight="1">
      <c r="A41" s="3" t="s">
        <v>84</v>
      </c>
      <c r="B41" s="49" t="s">
        <v>405</v>
      </c>
    </row>
    <row r="42" spans="1:4" ht="24.75" customHeight="1">
      <c r="A42" s="3" t="s">
        <v>83</v>
      </c>
      <c r="B42" s="49" t="s">
        <v>406</v>
      </c>
    </row>
    <row r="43" spans="1:4" ht="30">
      <c r="A43" s="3" t="s">
        <v>84</v>
      </c>
      <c r="B43" s="49"/>
    </row>
    <row r="44" spans="1:4" ht="23.25">
      <c r="A44" s="167" t="s">
        <v>85</v>
      </c>
      <c r="B44" s="166" t="s">
        <v>344</v>
      </c>
      <c r="C44" s="173" t="s">
        <v>344</v>
      </c>
      <c r="D44" s="173" t="s">
        <v>351</v>
      </c>
    </row>
    <row r="45" spans="1:4" hidden="1">
      <c r="A45" s="3"/>
      <c r="B45" s="164" t="str">
        <f>IF(B44=D44,CONCATENATE("MA'LUMOTNOMA ",B47,B46),C44)</f>
        <v>Yakka tartibdagi tadbirkor</v>
      </c>
    </row>
    <row r="46" spans="1:4" ht="69.75">
      <c r="A46" s="167" t="s">
        <v>352</v>
      </c>
      <c r="B46" s="210"/>
    </row>
    <row r="47" spans="1:4" ht="23.25">
      <c r="A47" s="167"/>
      <c r="B47" s="184"/>
      <c r="C47" s="173" t="s">
        <v>15</v>
      </c>
    </row>
    <row r="48" spans="1:4" ht="69.75">
      <c r="A48" s="167" t="s">
        <v>353</v>
      </c>
      <c r="B48" s="164"/>
    </row>
    <row r="49" spans="1:4" hidden="1">
      <c r="A49" s="3" t="s">
        <v>86</v>
      </c>
      <c r="B49" s="49" t="str">
        <f>IF(B44=C44,C44,B48)</f>
        <v>Yakka tartibdagi tadbirkor</v>
      </c>
    </row>
    <row r="50" spans="1:4" ht="45">
      <c r="A50" s="3" t="s">
        <v>87</v>
      </c>
      <c r="B50" s="49"/>
    </row>
    <row r="51" spans="1:4">
      <c r="A51" s="3" t="s">
        <v>74</v>
      </c>
      <c r="B51" s="49"/>
    </row>
    <row r="52" spans="1:4">
      <c r="A52" s="3" t="s">
        <v>88</v>
      </c>
      <c r="B52" s="49"/>
    </row>
    <row r="53" spans="1:4">
      <c r="A53" s="3" t="s">
        <v>89</v>
      </c>
      <c r="B53" s="49"/>
    </row>
    <row r="54" spans="1:4">
      <c r="A54" s="3" t="s">
        <v>90</v>
      </c>
      <c r="B54" s="49"/>
    </row>
    <row r="55" spans="1:4">
      <c r="A55" s="3" t="s">
        <v>91</v>
      </c>
      <c r="B55" s="2"/>
    </row>
    <row r="56" spans="1:4">
      <c r="A56" s="3" t="s">
        <v>92</v>
      </c>
      <c r="B56" s="2" t="s">
        <v>22</v>
      </c>
    </row>
    <row r="57" spans="1:4" ht="30" customHeight="1">
      <c r="A57" s="270" t="s">
        <v>97</v>
      </c>
      <c r="B57" s="271"/>
    </row>
    <row r="58" spans="1:4" ht="20.25" hidden="1" customHeight="1">
      <c r="A58" s="3" t="s">
        <v>98</v>
      </c>
      <c r="B58" s="49" t="str">
        <f>IF(B44=C44,C44,CONCATENATE(B44," ",B47))</f>
        <v>Yakka tartibdagi tadbirkor</v>
      </c>
    </row>
    <row r="59" spans="1:4" ht="31.5" hidden="1" customHeight="1">
      <c r="A59" s="3" t="s">
        <v>86</v>
      </c>
      <c r="B59" s="49" t="str">
        <f>B49</f>
        <v>Yakka tartibdagi tadbirkor</v>
      </c>
    </row>
    <row r="60" spans="1:4" ht="23.25">
      <c r="A60" s="167" t="s">
        <v>99</v>
      </c>
      <c r="B60" s="171">
        <v>10000000</v>
      </c>
      <c r="C60" s="188">
        <f>C63/B75</f>
        <v>0.49926938814814814</v>
      </c>
    </row>
    <row r="61" spans="1:4">
      <c r="A61" s="3" t="s">
        <v>100</v>
      </c>
      <c r="B61" s="5">
        <v>0</v>
      </c>
      <c r="C61" s="189" t="s">
        <v>391</v>
      </c>
    </row>
    <row r="62" spans="1:4" hidden="1">
      <c r="A62" s="3" t="s">
        <v>101</v>
      </c>
      <c r="B62" s="49">
        <f>B53</f>
        <v>0</v>
      </c>
      <c r="C62" s="186"/>
    </row>
    <row r="63" spans="1:4">
      <c r="A63" s="3" t="s">
        <v>102</v>
      </c>
      <c r="B63" s="49"/>
      <c r="C63" s="187">
        <f>SUM(grafik!E9:E20)</f>
        <v>13480273.48</v>
      </c>
    </row>
    <row r="64" spans="1:4">
      <c r="A64" s="269" t="s">
        <v>103</v>
      </c>
      <c r="B64" s="269"/>
      <c r="C64" s="173" t="str">
        <f>PROPER(B65)</f>
        <v>Mikroqarz</v>
      </c>
      <c r="D64" s="173" t="str">
        <f>UPPER(B65)</f>
        <v>MIKROQARZ</v>
      </c>
    </row>
    <row r="65" spans="1:14" ht="15.75" thickBot="1">
      <c r="A65" s="3" t="s">
        <v>104</v>
      </c>
      <c r="B65" s="1" t="str">
        <f>IF(B75&gt;100000001,"mikrokredit",IF(B75&lt;100000001,"mikroqarz",0))</f>
        <v>mikroqarz</v>
      </c>
      <c r="C65" s="175">
        <f>DATE(YEAR(B67),MONTH(B67)+B81,DAY(B67))</f>
        <v>46823</v>
      </c>
    </row>
    <row r="66" spans="1:14" hidden="1">
      <c r="A66" s="3" t="s">
        <v>105</v>
      </c>
      <c r="B66" s="49" t="str">
        <f>B1</f>
        <v>№ 23-AL</v>
      </c>
      <c r="C66" s="173">
        <f>MONTH(C65)</f>
        <v>3</v>
      </c>
      <c r="D66" s="173" t="str">
        <f>IF(C66=C68,C70,IF(C66=D68,D70,IF(C66=E68,E70,IF(C66=F68,F70,IF(C66=G68,G70,IF(C66=H68,H70,IF(C66=I68,I70,IF(C66=J68,J70,IF(C66=K68,K70,IF(C66=L68,L70,IF(C66=M68,M70,IF(C66=N68,N70,))))))))))))</f>
        <v>mart</v>
      </c>
      <c r="E66" s="173">
        <f>DAY(C65)</f>
        <v>11</v>
      </c>
      <c r="F66" s="173">
        <f>YEAR(C65)</f>
        <v>2028</v>
      </c>
      <c r="G66" s="173">
        <f>MONTH(C65)</f>
        <v>3</v>
      </c>
      <c r="H66" s="173" t="str">
        <f>IF(C66=C68,C71,IF(C66=D68,D71,IF(C66=E68,E71,IF(C66=F68,F71,IF(C66=G68,G71,IF(C66=H68,H71,IF(C66=I68,I71,IF(C66=J68,J71,IF(C66=K68,K71,IF(C66=L68,L71,IF(C66=M68,M71,IF(C66=N68,N71,))))))))))))</f>
        <v>mart</v>
      </c>
      <c r="I66" s="173">
        <f>YEAR(C65)</f>
        <v>2028</v>
      </c>
    </row>
    <row r="67" spans="1:14" hidden="1">
      <c r="A67" s="3" t="s">
        <v>106</v>
      </c>
      <c r="B67" s="81" t="str">
        <f>B2</f>
        <v>11.03.2025</v>
      </c>
      <c r="C67" s="173">
        <f>MONTH(B67)</f>
        <v>3</v>
      </c>
      <c r="D67" s="173" t="str">
        <f>IF(C67=C68,C70,IF(C67=D68,D70,IF(C67=E68,E70,IF(C67=F68,F70,IF(C67=G68,G70,IF(C67=H68,H70,IF(C67=I68,I70,IF(C67=J68,J70,IF(C67=K68,K70,IF(C67=L68,L70,IF(C67=M68,M70,IF(C67=N68,N70,))))))))))))</f>
        <v>mart</v>
      </c>
      <c r="E67" s="173">
        <f>DAY(B67)</f>
        <v>11</v>
      </c>
      <c r="F67" s="173">
        <f>YEAR(B67)</f>
        <v>2025</v>
      </c>
      <c r="G67" s="173">
        <f>MONTH(B67)</f>
        <v>3</v>
      </c>
      <c r="H67" s="173" t="str">
        <f>IF(C67=C68,C71,IF(C67=D68,D71,IF(C67=E68,E71,IF(C67=F68,F71,IF(C67=G68,G71,IF(C67=H68,H71,IF(C67=I68,I71,IF(C67=J68,J71,IF(C67=K68,K71,IF(C67=L68,L71,IF(C67=M68,M71,IF(C67=N68,N71,))))))))))))</f>
        <v>mart</v>
      </c>
      <c r="I67" s="173">
        <f>YEAR(B67)</f>
        <v>2025</v>
      </c>
    </row>
    <row r="68" spans="1:14" hidden="1">
      <c r="A68" s="3" t="s">
        <v>107</v>
      </c>
      <c r="B68" s="73" t="str">
        <f>""&amp;E67&amp;" "&amp;D67&amp;" "&amp;F67&amp;" y."</f>
        <v>11 mart 2025 y.</v>
      </c>
      <c r="C68" s="173">
        <v>1</v>
      </c>
      <c r="D68" s="173">
        <v>2</v>
      </c>
      <c r="E68" s="173">
        <v>3</v>
      </c>
      <c r="F68" s="173">
        <v>4</v>
      </c>
      <c r="G68" s="173">
        <v>5</v>
      </c>
      <c r="H68" s="173">
        <v>6</v>
      </c>
      <c r="I68" s="173">
        <v>7</v>
      </c>
      <c r="J68" s="173">
        <v>8</v>
      </c>
      <c r="K68" s="173">
        <v>9</v>
      </c>
      <c r="L68" s="173">
        <v>10</v>
      </c>
      <c r="M68" s="173">
        <v>11</v>
      </c>
      <c r="N68" s="173">
        <v>12</v>
      </c>
    </row>
    <row r="69" spans="1:14" hidden="1">
      <c r="A69" s="3"/>
      <c r="B69" s="73" t="str">
        <f>""&amp;E67&amp;" "&amp;H67&amp;" "&amp;F67&amp;" y."</f>
        <v>11 mart 2025 y.</v>
      </c>
    </row>
    <row r="70" spans="1:14" hidden="1">
      <c r="A70" s="3"/>
      <c r="B70" s="59" t="str">
        <f>B68</f>
        <v>11 mart 2025 y.</v>
      </c>
      <c r="C70" s="173" t="s">
        <v>119</v>
      </c>
      <c r="D70" s="173" t="s">
        <v>120</v>
      </c>
      <c r="E70" s="173" t="s">
        <v>109</v>
      </c>
      <c r="F70" s="173" t="s">
        <v>110</v>
      </c>
      <c r="G70" s="173" t="s">
        <v>111</v>
      </c>
      <c r="H70" s="173" t="s">
        <v>112</v>
      </c>
      <c r="I70" s="173" t="s">
        <v>113</v>
      </c>
      <c r="J70" s="173" t="s">
        <v>114</v>
      </c>
      <c r="K70" s="173" t="s">
        <v>115</v>
      </c>
      <c r="L70" s="173" t="s">
        <v>116</v>
      </c>
      <c r="M70" s="173" t="s">
        <v>117</v>
      </c>
      <c r="N70" s="173" t="s">
        <v>118</v>
      </c>
    </row>
    <row r="71" spans="1:14" hidden="1">
      <c r="A71" s="3"/>
      <c r="B71" s="59" t="str">
        <f>B69</f>
        <v>11 mart 2025 y.</v>
      </c>
      <c r="C71" s="173" t="s">
        <v>119</v>
      </c>
      <c r="D71" s="173" t="s">
        <v>120</v>
      </c>
      <c r="E71" s="173" t="s">
        <v>109</v>
      </c>
      <c r="F71" s="173" t="s">
        <v>110</v>
      </c>
      <c r="G71" s="173" t="s">
        <v>111</v>
      </c>
      <c r="H71" s="173" t="s">
        <v>112</v>
      </c>
      <c r="I71" s="173" t="s">
        <v>113</v>
      </c>
      <c r="J71" s="173" t="s">
        <v>114</v>
      </c>
      <c r="K71" s="173" t="s">
        <v>115</v>
      </c>
      <c r="L71" s="173" t="s">
        <v>116</v>
      </c>
      <c r="M71" s="173" t="s">
        <v>117</v>
      </c>
      <c r="N71" s="173" t="s">
        <v>118</v>
      </c>
    </row>
    <row r="72" spans="1:14" hidden="1">
      <c r="A72" s="3" t="s">
        <v>108</v>
      </c>
      <c r="B72" s="58" t="str">
        <f>""&amp;E66&amp;" "&amp;D66&amp;" "&amp;F66&amp;" y."</f>
        <v>11 mart 2028 y.</v>
      </c>
    </row>
    <row r="73" spans="1:14" hidden="1">
      <c r="A73" s="3"/>
      <c r="B73" s="58" t="str">
        <f>""&amp;E66&amp;" "&amp;H66&amp;" "&amp;F66&amp;" y."</f>
        <v>11 mart 2028 y.</v>
      </c>
    </row>
    <row r="74" spans="1:14" ht="15.75" hidden="1" thickBot="1">
      <c r="A74" s="3" t="s">
        <v>121</v>
      </c>
      <c r="B74" s="1" t="str">
        <f>""&amp;B68&amp;"dan "&amp;B66&amp;""</f>
        <v>11 mart 2025 y.dan № 23-AL</v>
      </c>
    </row>
    <row r="75" spans="1:14">
      <c r="A75" s="3" t="str">
        <f>CONCATENATE(B65," miqdori (summasi)")</f>
        <v>mikroqarz miqdori (summasi)</v>
      </c>
      <c r="B75" s="67">
        <v>27000000</v>
      </c>
      <c r="C75" s="176" t="s">
        <v>127</v>
      </c>
    </row>
    <row r="76" spans="1:14">
      <c r="A76" s="144" t="s">
        <v>122</v>
      </c>
      <c r="B76"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yigirma yetti million so'm</v>
      </c>
      <c r="C76" s="174"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Yigirma yetti million so'm</v>
      </c>
    </row>
    <row r="77" spans="1:14">
      <c r="A77" s="3" t="s">
        <v>123</v>
      </c>
      <c r="B77" s="49" t="s">
        <v>129</v>
      </c>
      <c r="C77" s="173" t="s">
        <v>129</v>
      </c>
      <c r="D77" s="173" t="s">
        <v>128</v>
      </c>
    </row>
    <row r="78" spans="1:14">
      <c r="A78" s="3" t="str">
        <f>CONCATENATE(B65,"ni to'lash sanasi (14.10.2011)")</f>
        <v>mikroqarzni to'lash sanasi (14.10.2011)</v>
      </c>
      <c r="B78" s="49">
        <v>5</v>
      </c>
      <c r="C78" s="175">
        <f>DATE(YEAR(B67),MONTH(B67)+1,DAY(B78))</f>
        <v>45752</v>
      </c>
      <c r="D78" s="173" t="s">
        <v>29</v>
      </c>
      <c r="E78" s="173" t="s">
        <v>30</v>
      </c>
      <c r="F78" s="173" t="s">
        <v>31</v>
      </c>
      <c r="G78" s="173" t="s">
        <v>32</v>
      </c>
      <c r="H78" s="173" t="s">
        <v>33</v>
      </c>
      <c r="I78" s="173" t="s">
        <v>34</v>
      </c>
      <c r="J78" s="173" t="s">
        <v>35</v>
      </c>
    </row>
    <row r="79" spans="1:14" ht="30" hidden="1">
      <c r="A79" s="3" t="str">
        <f>CONCATENATE(B65,"ni to'lash sanasi (14.10.2011 y.) QO’L BILAN KIRITILADI")</f>
        <v>mikroqarzni to'lash sanasi (14.10.2011 y.) QO’L BILAN KIRITILADI</v>
      </c>
      <c r="B79" s="74">
        <f>DATE(YEAR(B67),MONTH(B67)+1,DAY(B78+C80))</f>
        <v>45754</v>
      </c>
      <c r="C79" s="177" t="str">
        <f>TEXT(C78,"ддд")</f>
        <v>Сб</v>
      </c>
      <c r="D79" s="173" t="s">
        <v>29</v>
      </c>
      <c r="E79" s="173" t="s">
        <v>30</v>
      </c>
      <c r="F79" s="173" t="s">
        <v>31</v>
      </c>
      <c r="G79" s="173" t="s">
        <v>32</v>
      </c>
      <c r="H79" s="173" t="s">
        <v>33</v>
      </c>
      <c r="I79" s="173" t="s">
        <v>34</v>
      </c>
      <c r="J79" s="173" t="s">
        <v>35</v>
      </c>
    </row>
    <row r="80" spans="1:14" ht="30" hidden="1">
      <c r="A80" s="3" t="s">
        <v>124</v>
      </c>
      <c r="B80" s="75">
        <f>B79</f>
        <v>45754</v>
      </c>
      <c r="C80" s="173">
        <f>IF(C79=I79,2,IF(C79=J79,1,0))</f>
        <v>2</v>
      </c>
    </row>
    <row r="81" spans="1:63">
      <c r="A81" s="3" t="str">
        <f>CONCATENATE(B65," muddati")</f>
        <v>mikroqarz muddati</v>
      </c>
      <c r="B81" s="49">
        <v>36</v>
      </c>
      <c r="C81" s="173">
        <v>6</v>
      </c>
      <c r="D81" s="173">
        <v>12</v>
      </c>
      <c r="E81" s="173">
        <v>18</v>
      </c>
      <c r="F81" s="173">
        <v>24</v>
      </c>
      <c r="G81" s="173">
        <v>36</v>
      </c>
    </row>
    <row r="82" spans="1:63">
      <c r="A82" s="3" t="str">
        <f>CONCATENATE(B65," muddati QO’L BILAN KIRITILADI")</f>
        <v>mikroqarz muddati QO’L BILAN KIRITILADI</v>
      </c>
      <c r="B82" s="140" t="s">
        <v>407</v>
      </c>
    </row>
    <row r="83" spans="1:63" ht="30">
      <c r="A83" s="162" t="s">
        <v>348</v>
      </c>
      <c r="B83" s="140">
        <v>0</v>
      </c>
      <c r="BJ83" s="173">
        <v>1</v>
      </c>
      <c r="BK83" s="173">
        <v>0</v>
      </c>
    </row>
    <row r="84" spans="1:63">
      <c r="A84" s="3" t="str">
        <f>CONCATENATE(B65," stavkasi")</f>
        <v>mikroqarz stavkasi</v>
      </c>
      <c r="B84" s="77">
        <v>0.6</v>
      </c>
    </row>
    <row r="85" spans="1:63">
      <c r="A85" s="3" t="str">
        <f>CONCATENATE(B65," stavkasi")</f>
        <v>mikroqarz stavkasi</v>
      </c>
      <c r="B85" s="78" t="s">
        <v>389</v>
      </c>
    </row>
    <row r="86" spans="1:63">
      <c r="A86" s="3" t="str">
        <f>CONCATENATE(B65," stavkasi (so’z bilan)")</f>
        <v>mikroqarz stavkasi (so’z bilan)</v>
      </c>
      <c r="B86" s="76" t="s">
        <v>390</v>
      </c>
      <c r="C86" s="173" t="s">
        <v>390</v>
      </c>
    </row>
    <row r="87" spans="1:63">
      <c r="A87" s="3" t="str">
        <f>CONCATENATE("Muddati o'tgan ",B65," bo’yicha stavka")</f>
        <v>Muddati o'tgan mikroqarz bo’yicha stavka</v>
      </c>
      <c r="B87" s="77">
        <v>1</v>
      </c>
    </row>
    <row r="88" spans="1:63">
      <c r="A88" s="144" t="s">
        <v>122</v>
      </c>
      <c r="B88" s="78" t="s">
        <v>392</v>
      </c>
    </row>
    <row r="89" spans="1:63">
      <c r="A89" s="3" t="str">
        <f>CONCATENATE("Muddati o'tgan ",B65," bo’yicha stavka")</f>
        <v>Muddati o'tgan mikroqarz bo’yicha stavka</v>
      </c>
      <c r="B89" s="76" t="s">
        <v>393</v>
      </c>
      <c r="C89" s="173" t="s">
        <v>393</v>
      </c>
    </row>
    <row r="90" spans="1:63">
      <c r="A90" s="3" t="s">
        <v>125</v>
      </c>
      <c r="B90" s="79">
        <f>IF(B77=C77,LARGE(grafik!F9:F26,1),ROUND(PMT(B84/12,B81,-B75,0),-3))</f>
        <v>2051917.76</v>
      </c>
    </row>
    <row r="91" spans="1:63">
      <c r="A91" s="269" t="s">
        <v>432</v>
      </c>
      <c r="B91" s="269"/>
    </row>
    <row r="92" spans="1:63">
      <c r="A92" s="246" t="s">
        <v>439</v>
      </c>
      <c r="B92" s="247" t="s">
        <v>435</v>
      </c>
    </row>
    <row r="93" spans="1:63">
      <c r="A93" s="246" t="s">
        <v>440</v>
      </c>
      <c r="B93" s="248" t="s">
        <v>434</v>
      </c>
    </row>
    <row r="94" spans="1:63">
      <c r="A94" s="246" t="s">
        <v>441</v>
      </c>
      <c r="B94" s="249" t="s">
        <v>433</v>
      </c>
    </row>
    <row r="95" spans="1:63">
      <c r="A95" s="246" t="s">
        <v>442</v>
      </c>
      <c r="B95" s="249" t="s">
        <v>436</v>
      </c>
    </row>
    <row r="96" spans="1:63">
      <c r="A96" s="246" t="s">
        <v>438</v>
      </c>
      <c r="B96" s="249" t="s">
        <v>437</v>
      </c>
    </row>
    <row r="97" spans="1:4">
      <c r="A97" s="269" t="s">
        <v>126</v>
      </c>
      <c r="B97" s="269"/>
    </row>
    <row r="98" spans="1:4" ht="18">
      <c r="A98" s="80"/>
      <c r="B98" s="134" t="s">
        <v>131</v>
      </c>
      <c r="C98" s="178" t="s">
        <v>131</v>
      </c>
      <c r="D98" s="173" t="s">
        <v>132</v>
      </c>
    </row>
    <row r="99" spans="1:4" ht="18">
      <c r="A99" s="8" t="s">
        <v>137</v>
      </c>
      <c r="B99" s="134" t="s">
        <v>133</v>
      </c>
      <c r="C99" s="179" t="s">
        <v>133</v>
      </c>
      <c r="D99" s="173" t="s">
        <v>134</v>
      </c>
    </row>
    <row r="100" spans="1:4" ht="54">
      <c r="A100" s="8" t="s">
        <v>138</v>
      </c>
      <c r="B100" s="134" t="s">
        <v>135</v>
      </c>
      <c r="C100" s="173" t="s">
        <v>135</v>
      </c>
      <c r="D100" s="173" t="s">
        <v>136</v>
      </c>
    </row>
    <row r="101" spans="1:4" ht="36">
      <c r="A101" s="8" t="s">
        <v>139</v>
      </c>
      <c r="B101" s="134"/>
    </row>
    <row r="102" spans="1:4" ht="36">
      <c r="A102" s="8" t="s">
        <v>140</v>
      </c>
      <c r="B102" s="134"/>
    </row>
    <row r="103" spans="1:4">
      <c r="A103" s="269"/>
      <c r="B103" s="269"/>
    </row>
    <row r="104" spans="1:4" ht="36">
      <c r="A104" s="8" t="s">
        <v>141</v>
      </c>
      <c r="B104" s="134"/>
    </row>
    <row r="105" spans="1:4" ht="54">
      <c r="A105" s="8" t="s">
        <v>142</v>
      </c>
      <c r="B105" s="134"/>
    </row>
    <row r="106" spans="1:4" ht="18">
      <c r="A106" s="8" t="s">
        <v>143</v>
      </c>
      <c r="B106" s="141"/>
    </row>
    <row r="107" spans="1:4" ht="18">
      <c r="A107" s="8" t="s">
        <v>144</v>
      </c>
      <c r="B107" s="141"/>
    </row>
    <row r="108" spans="1:4" ht="18" hidden="1">
      <c r="A108" s="8"/>
      <c r="B108" s="134" t="str">
        <f>TEXT(B107,"ДД.ММ.ГГГГ")</f>
        <v>00.01.1900</v>
      </c>
    </row>
    <row r="109" spans="1:4" ht="18">
      <c r="A109" s="8"/>
      <c r="B109" s="9" t="s">
        <v>145</v>
      </c>
      <c r="C109" s="173" t="s">
        <v>145</v>
      </c>
      <c r="D109" s="173" t="s">
        <v>146</v>
      </c>
    </row>
    <row r="110" spans="1:4" ht="60">
      <c r="A110" s="170" t="s">
        <v>350</v>
      </c>
      <c r="B110" s="169" t="s">
        <v>349</v>
      </c>
      <c r="C110" s="194" t="s">
        <v>146</v>
      </c>
    </row>
    <row r="111" spans="1:4" ht="30">
      <c r="A111" s="161" t="s">
        <v>371</v>
      </c>
      <c r="B111" s="9"/>
      <c r="C111" s="194"/>
    </row>
    <row r="112" spans="1:4" ht="30">
      <c r="A112" s="161" t="s">
        <v>372</v>
      </c>
      <c r="B112" s="9"/>
      <c r="C112" s="194"/>
    </row>
    <row r="113" spans="1:4" ht="60">
      <c r="A113" s="161" t="str">
        <f>A119</f>
        <v>Tug’ilgan sanasi (01.10.2011 y.)</v>
      </c>
      <c r="B113" s="190"/>
      <c r="C113" s="194"/>
    </row>
    <row r="114" spans="1:4" ht="60">
      <c r="A114" s="161" t="str">
        <f>A120</f>
        <v>Pasport seriyasi (СА №1234567)</v>
      </c>
      <c r="B114" s="9"/>
      <c r="C114" s="194"/>
    </row>
    <row r="115" spans="1:4" ht="210">
      <c r="A115" s="161" t="str">
        <f>A121</f>
        <v xml:space="preserve">Kim va qachon berilgan
(Toshkent shahri Chilonzor IIB tomonidan 2011 yil __.____)
</v>
      </c>
      <c r="B115" s="9"/>
      <c r="C115" s="194"/>
    </row>
    <row r="116" spans="1:4" ht="210">
      <c r="A116" s="161" t="str">
        <f>A122</f>
        <v xml:space="preserve">doimiy ro’yhatdan o’tgan joyi
(Toshkent sh., Mirobod tumani, Nukus ko’chasi, 1 uy, 1 honadon)
</v>
      </c>
      <c r="B116" s="9"/>
      <c r="C116" s="194"/>
    </row>
    <row r="117" spans="1:4" hidden="1">
      <c r="A117" s="132" t="s">
        <v>158</v>
      </c>
      <c r="B117" s="125" t="str">
        <f>IF(B99="HA",B5,B111)</f>
        <v>NUTFULLAYEV AKBARJON AXMEDOVICH</v>
      </c>
      <c r="C117" s="195" t="str">
        <f>IF(B99="HA",B5,C111)</f>
        <v>NUTFULLAYEV AKBARJON AXMEDOVICH</v>
      </c>
    </row>
    <row r="118" spans="1:4" hidden="1">
      <c r="A118" s="132"/>
      <c r="B118" s="125" t="str">
        <f>IF(B99="HA",B7,B112)</f>
        <v>A.A.NUTFULLAYEV</v>
      </c>
      <c r="C118" s="195" t="str">
        <f>IF(B99="HA",B7,C112)</f>
        <v>A.A.NUTFULLAYEV</v>
      </c>
    </row>
    <row r="119" spans="1:4" hidden="1">
      <c r="A119" s="133" t="s">
        <v>159</v>
      </c>
      <c r="B119" s="160" t="str">
        <f>IF(B99="HA",B15,B113)</f>
        <v>14.09.1989 y</v>
      </c>
      <c r="C119" s="195" t="str">
        <f>IF(B99="HA",B15,C113)</f>
        <v>14.09.1989 y</v>
      </c>
    </row>
    <row r="120" spans="1:4" hidden="1">
      <c r="A120" s="133" t="s">
        <v>65</v>
      </c>
      <c r="B120" s="160" t="str">
        <f>IF(B99="HA",B16,B114)</f>
        <v>AA 9481167</v>
      </c>
      <c r="C120" s="195" t="str">
        <f>IF(B99="HA",B16,C114)</f>
        <v>AA 9481167</v>
      </c>
    </row>
    <row r="121" spans="1:4" ht="30" hidden="1" customHeight="1">
      <c r="A121" s="133" t="s">
        <v>68</v>
      </c>
      <c r="B121" s="125" t="str">
        <f>IF(B99="HA",B20,B115)</f>
        <v>BUXORO VILOYATI BUXORO SHAHAR IIB tomonidan 24.04.2015 yilda berilgan</v>
      </c>
      <c r="C121" s="195" t="str">
        <f>IF(B99="HA",B20,C115)</f>
        <v>BUXORO VILOYATI BUXORO SHAHAR IIB tomonidan 24.04.2015 yilda berilgan</v>
      </c>
      <c r="D121" s="173">
        <v>493193762</v>
      </c>
    </row>
    <row r="122" spans="1:4" ht="53.25" hidden="1" customHeight="1">
      <c r="A122" s="133" t="s">
        <v>70</v>
      </c>
      <c r="B122" s="125" t="str">
        <f>IF(B99="HA",B22,B116)</f>
        <v>BUXORO VILOYATI BUXORO SHAHAR TADBIRKOR KO'CHASI 12-UY</v>
      </c>
      <c r="C122" s="196" t="str">
        <f>IF(B99="HA",B22,C116)</f>
        <v>BUXORO VILOYATI BUXORO SHAHAR TADBIRKOR KO'CHASI 12-UY</v>
      </c>
    </row>
    <row r="123" spans="1:4" hidden="1">
      <c r="A123" s="133" t="s">
        <v>160</v>
      </c>
      <c r="B123" s="1" t="str">
        <f>IF(B99="ha",B5,B117)</f>
        <v>NUTFULLAYEV AKBARJON AXMEDOVICH</v>
      </c>
      <c r="C123" s="197" t="str">
        <f>IF(B99="ha",B5,C117)</f>
        <v>NUTFULLAYEV AKBARJON AXMEDOVICH</v>
      </c>
    </row>
    <row r="124" spans="1:4" hidden="1">
      <c r="A124" s="133"/>
      <c r="B124" s="1" t="str">
        <f>IF(B99="ha",B7,B118)</f>
        <v>A.A.NUTFULLAYEV</v>
      </c>
      <c r="C124" s="197" t="str">
        <f>IF(B99="ha",B7,C118)</f>
        <v>A.A.NUTFULLAYEV</v>
      </c>
    </row>
    <row r="125" spans="1:4" hidden="1">
      <c r="A125" s="3" t="s">
        <v>159</v>
      </c>
      <c r="B125" s="1" t="str">
        <f>IF(B99="ha",B15,B119)</f>
        <v>14.09.1989 y</v>
      </c>
      <c r="C125" s="197" t="str">
        <f>IF(B99="ha",B15,C119)</f>
        <v>14.09.1989 y</v>
      </c>
    </row>
    <row r="126" spans="1:4" hidden="1">
      <c r="A126" s="3" t="s">
        <v>65</v>
      </c>
      <c r="B126" s="1" t="str">
        <f>IF(B99="ha",B16,B120)</f>
        <v>AA 9481167</v>
      </c>
      <c r="C126" s="197" t="str">
        <f>IF(B99="ha",B16,C120)</f>
        <v>AA 9481167</v>
      </c>
    </row>
    <row r="127" spans="1:4" ht="60" hidden="1">
      <c r="A127" s="3" t="s">
        <v>68</v>
      </c>
      <c r="B127" s="1" t="str">
        <f>IF(B99="ha",B20,B121)</f>
        <v>BUXORO VILOYATI BUXORO SHAHAR IIB tomonidan 24.04.2015 yilda berilgan</v>
      </c>
      <c r="C127" s="197" t="str">
        <f>IF(B99="ha",B20,C121)</f>
        <v>BUXORO VILOYATI BUXORO SHAHAR IIB tomonidan 24.04.2015 yilda berilgan</v>
      </c>
    </row>
    <row r="128" spans="1:4" ht="60" hidden="1">
      <c r="A128" s="3" t="s">
        <v>70</v>
      </c>
      <c r="B128" s="157" t="str">
        <f>IF(B99="ha",B22,B122)</f>
        <v>BUXORO VILOYATI BUXORO SHAHAR TADBIRKOR KO'CHASI 12-UY</v>
      </c>
      <c r="C128" s="198" t="str">
        <f>IF(B99="ha",B22,C122)</f>
        <v>BUXORO VILOYATI BUXORO SHAHAR TADBIRKOR KO'CHASI 12-UY</v>
      </c>
    </row>
    <row r="129" spans="1:18" ht="42.75">
      <c r="A129" s="3" t="s">
        <v>161</v>
      </c>
      <c r="B129" s="49" t="s">
        <v>416</v>
      </c>
      <c r="C129" s="199" t="s">
        <v>48</v>
      </c>
      <c r="N129" s="173" t="str">
        <f>IF(B109=C109,B123,IF(B109=D109,C123,0))</f>
        <v>NUTFULLAYEV AKBARJON AXMEDOVICH</v>
      </c>
    </row>
    <row r="130" spans="1:18" ht="45">
      <c r="A130" s="3" t="s">
        <v>162</v>
      </c>
      <c r="B130" s="49" t="s">
        <v>408</v>
      </c>
      <c r="C130" s="197" t="s">
        <v>381</v>
      </c>
      <c r="D130" s="200" t="s">
        <v>151</v>
      </c>
      <c r="Q130" s="173" t="str">
        <f>""&amp;B101&amp;" (по генеральному доверенестью №"&amp;B106&amp;" от "&amp;B108&amp;")"</f>
        <v xml:space="preserve"> (по генеральному доверенестью № от 00.01.1900)</v>
      </c>
      <c r="R130" s="173" t="str">
        <f>""&amp;B101&amp;" ("&amp;B108&amp;"y. sanasidagi reestr raqami №"&amp;B106&amp;" bo'lgan Ishonchnomaga asosan)"</f>
        <v xml:space="preserve"> (00.01.1900y. sanasidagi reestr raqami № bo'lgan Ishonchnomaga asosan)</v>
      </c>
    </row>
    <row r="131" spans="1:18" ht="45">
      <c r="A131" s="3" t="s">
        <v>163</v>
      </c>
      <c r="B131" s="49" t="s">
        <v>409</v>
      </c>
      <c r="C131" s="198" t="str">
        <f>""&amp;D132&amp;" "&amp;IF(C135=D135,"- xonali yakka tartibdagi uy-joy", IF(C135=E135,"-  xonali ko'p qavatli uydagi xonadon",0))&amp;""</f>
        <v>3 - xonali yakka tartibdagi uy-joy</v>
      </c>
      <c r="D131" s="201" t="s">
        <v>149</v>
      </c>
      <c r="E131" s="173" t="str">
        <f>IF($C$135=$D$135,I131,IF($C$135=$E$135,H131,0))</f>
        <v>3 - xonali yakka tartibdagi uy-joy</v>
      </c>
      <c r="F131" s="173" t="str">
        <f>IF($C$135=$D$135,I131,IF($C$135=$E$135,H131,0))</f>
        <v>3 - xonali yakka tartibdagi uy-joy</v>
      </c>
      <c r="H131" s="173" t="str">
        <f>"Ko'p qavatli uydagi "&amp;D132&amp;" - xonali xonadon"</f>
        <v>Ko'p qavatli uydagi 3 - xonali xonadon</v>
      </c>
      <c r="I131" s="173" t="str">
        <f>""&amp;D132&amp;" - xonali yakka tartibdagi uy-joy"</f>
        <v>3 - xonali yakka tartibdagi uy-joy</v>
      </c>
      <c r="N131" s="173" t="str">
        <f>IF(B99=C99,Q132,IF(B99=D99,Q131,0))</f>
        <v>Микрофинансовой организацией и Заемщиком</v>
      </c>
      <c r="Q131" s="173" t="str">
        <f>"Микрофинансовой организацией, Заемщиком и "&amp;IF(B100=D100,Q130,IF(B100=C100,B117,0))&amp;""</f>
        <v>Микрофинансовой организацией, Заемщиком и NUTFULLAYEV AKBARJON AXMEDOVICH</v>
      </c>
      <c r="R131" s="173" t="str">
        <f>"Mikromoliya tashkiloti, Qarz oluvchi va "&amp;IF(B100=D100,R130,IF(B100=C100,B117))&amp;""</f>
        <v>Mikromoliya tashkiloti, Qarz oluvchi va NUTFULLAYEV AKBARJON AXMEDOVICH</v>
      </c>
    </row>
    <row r="132" spans="1:18" ht="30">
      <c r="A132" s="3" t="s">
        <v>164</v>
      </c>
      <c r="B132" s="191" t="s">
        <v>410</v>
      </c>
      <c r="C132" s="198" t="str">
        <f>C131</f>
        <v>3 - xonali yakka tartibdagi uy-joy</v>
      </c>
      <c r="D132" s="202">
        <v>3</v>
      </c>
      <c r="E132" s="173" t="str">
        <f>IF($C$135=$D$135,I132,IF($C$135=$E$135,H132,0))</f>
        <v>yer uchastkasi maydoni - , umumiy maydoni - 72,13, yashash maydoni - 37,39</v>
      </c>
      <c r="F132" s="173" t="str">
        <f>IF($C$135=$D$135,I132,IF($C$135=$E$135,H132,0))</f>
        <v>yer uchastkasi maydoni - , umumiy maydoni - 72,13, yashash maydoni - 37,39</v>
      </c>
      <c r="H132" s="173" t="str">
        <f>"umumiy maydoni - "&amp;C136&amp;", yashash maydoni - "&amp;C139&amp;""</f>
        <v>umumiy maydoni - 72,13, yashash maydoni - 37,39</v>
      </c>
      <c r="I132" s="173" t="str">
        <f>"yer uchastkasi maydoni - "&amp;C137&amp;", umumiy maydoni - "&amp;C136&amp;", yashash maydoni - "&amp;C139&amp;""</f>
        <v>yer uchastkasi maydoni - , umumiy maydoni - 72,13, yashash maydoni - 37,39</v>
      </c>
      <c r="N132" s="173" t="str">
        <f>IF(B99=C99,R132,IF(B99=D99,R131,0))</f>
        <v>Mikromoliya tashkiloti va Qarz oluvchi</v>
      </c>
      <c r="Q132" s="173" t="s">
        <v>52</v>
      </c>
      <c r="R132" s="173" t="s">
        <v>150</v>
      </c>
    </row>
    <row r="133" spans="1:18" ht="27" customHeight="1">
      <c r="A133" s="3" t="s">
        <v>165</v>
      </c>
      <c r="B133" s="72" t="str">
        <f>"kuzov turi - "&amp;B134&amp;", kuzov raqami "&amp;B135&amp;""</f>
        <v>kuzov turi - YUK BORTLI TENT, kuzov raqami LSCAB23D8EG228387</v>
      </c>
      <c r="C133" s="197" t="s">
        <v>380</v>
      </c>
      <c r="D133" s="200" t="s">
        <v>382</v>
      </c>
    </row>
    <row r="134" spans="1:18">
      <c r="A134" s="68" t="s">
        <v>166</v>
      </c>
      <c r="B134" s="49" t="s">
        <v>411</v>
      </c>
      <c r="C134" s="203"/>
    </row>
    <row r="135" spans="1:18">
      <c r="A135" s="68" t="s">
        <v>167</v>
      </c>
      <c r="B135" s="49" t="s">
        <v>412</v>
      </c>
      <c r="C135" s="192" t="s">
        <v>152</v>
      </c>
      <c r="D135" s="173" t="s">
        <v>152</v>
      </c>
      <c r="E135" s="173" t="s">
        <v>153</v>
      </c>
    </row>
    <row r="136" spans="1:18" ht="27" customHeight="1">
      <c r="A136" s="3" t="s">
        <v>168</v>
      </c>
      <c r="B136" s="72" t="str">
        <f>"dvigatel raqami "&amp;B137&amp;", shassi raqami - "&amp;B138&amp;""</f>
        <v>dvigatel raqami JL466Q1%E61H022801, shassi raqami - URINDIKLAR SONI 5TA</v>
      </c>
      <c r="C136" s="192">
        <v>72.13</v>
      </c>
      <c r="D136" s="204" t="s">
        <v>154</v>
      </c>
      <c r="E136" s="173" t="str">
        <f>CONCATENATE(C136," ","kv.m")</f>
        <v>72,13 kv.m</v>
      </c>
      <c r="F136" s="182">
        <f>C136-C139</f>
        <v>34.739999999999995</v>
      </c>
    </row>
    <row r="137" spans="1:18">
      <c r="A137" s="68" t="s">
        <v>169</v>
      </c>
      <c r="B137" s="57" t="s">
        <v>413</v>
      </c>
      <c r="C137" s="192"/>
      <c r="D137" s="204" t="s">
        <v>155</v>
      </c>
    </row>
    <row r="138" spans="1:18">
      <c r="A138" s="68" t="s">
        <v>170</v>
      </c>
      <c r="B138" s="49" t="s">
        <v>417</v>
      </c>
      <c r="C138" s="192"/>
    </row>
    <row r="139" spans="1:18" ht="25.5" customHeight="1">
      <c r="A139" s="3" t="s">
        <v>171</v>
      </c>
      <c r="B139" s="72" t="str">
        <f>"rangi -  "&amp;B140&amp;", ishlab chiqarilgan yili - "&amp;B141&amp;""</f>
        <v>rangi -  OQ BELIY, ishlab chiqarilgan yili - 2014</v>
      </c>
      <c r="C139" s="205" t="s">
        <v>379</v>
      </c>
      <c r="D139" s="204" t="s">
        <v>252</v>
      </c>
      <c r="E139" s="173" t="str">
        <f>CONCATENATE(C139," ","kv.m")</f>
        <v>37,39 kv.m</v>
      </c>
    </row>
    <row r="140" spans="1:18">
      <c r="A140" s="68" t="s">
        <v>172</v>
      </c>
      <c r="B140" s="49" t="s">
        <v>414</v>
      </c>
      <c r="C140" s="192"/>
    </row>
    <row r="141" spans="1:18" ht="30">
      <c r="A141" s="68" t="s">
        <v>173</v>
      </c>
      <c r="B141" s="57" t="s">
        <v>395</v>
      </c>
      <c r="C141" s="203">
        <v>44181</v>
      </c>
      <c r="D141" s="206" t="s">
        <v>383</v>
      </c>
    </row>
    <row r="142" spans="1:18" hidden="1">
      <c r="A142" s="3" t="s">
        <v>174</v>
      </c>
      <c r="B142" s="21">
        <f>B75*1.5</f>
        <v>40500000</v>
      </c>
      <c r="C142" s="207">
        <f>B142</f>
        <v>40500000</v>
      </c>
      <c r="D142" s="204" t="s">
        <v>174</v>
      </c>
    </row>
    <row r="143" spans="1:18" ht="27.75" hidden="1" customHeight="1">
      <c r="A143" s="167"/>
      <c r="B143"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142))&gt;6,ROMAN(MID(INT(B142),1,LEN(INT(B142))-6)+0)&amp;" million "&amp;ROMAN(MID(INT(B142),LEN(INT(B142))-5,3)+0)&amp;" ming "&amp;ROMAN(MID(INT(B142),LEN(INT(B142))-2,3)+0),IF(LEN(INT(B142))&gt;3,ROMAN(MID(INT(B142),1,LEN(INT(B142))-3)+0)&amp;" ming "&amp;ROMAN(MID(INT(B142),LEN(INT(B142))-2,3)+0),ROMAN(INT(B142)))),"DCCC","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qirq million besh yuz ming so'm</v>
      </c>
      <c r="C143" s="207" t="str">
        <f>B143</f>
        <v>qirq million besh yuz ming so'm</v>
      </c>
    </row>
    <row r="144" spans="1:18" ht="27.75" hidden="1" customHeight="1">
      <c r="A144" s="3"/>
      <c r="B144" s="142" t="str">
        <f>B143</f>
        <v>qirq million besh yuz ming so'm</v>
      </c>
      <c r="C144" s="208"/>
    </row>
    <row r="145" spans="1:3" ht="20.25">
      <c r="A145" s="3" t="s">
        <v>345</v>
      </c>
      <c r="B145" s="52">
        <v>158581</v>
      </c>
      <c r="C145" s="173" t="s">
        <v>385</v>
      </c>
    </row>
    <row r="146" spans="1:3">
      <c r="A146" s="3" t="s">
        <v>373</v>
      </c>
      <c r="B146" s="49">
        <v>1</v>
      </c>
    </row>
    <row r="147" spans="1:3">
      <c r="A147" s="3" t="s">
        <v>156</v>
      </c>
      <c r="B147" s="2" t="s">
        <v>147</v>
      </c>
      <c r="C147" s="173">
        <v>1</v>
      </c>
    </row>
    <row r="148" spans="1:3" hidden="1">
      <c r="A148" s="3" t="s">
        <v>157</v>
      </c>
      <c r="B148" s="4" t="str">
        <f>B70</f>
        <v>11 mart 2025 y.</v>
      </c>
      <c r="C148" s="173" t="str">
        <f>B70</f>
        <v>11 mart 2025 y.</v>
      </c>
    </row>
    <row r="149" spans="1:3" hidden="1">
      <c r="A149" s="3"/>
      <c r="B149" s="1">
        <f>YEAR(B67)</f>
        <v>2025</v>
      </c>
    </row>
    <row r="150" spans="1:3" hidden="1">
      <c r="A150" s="3"/>
      <c r="B150" s="145" t="str">
        <f>D67</f>
        <v>mart</v>
      </c>
    </row>
    <row r="151" spans="1:3" hidden="1">
      <c r="A151" s="3"/>
      <c r="B151" s="1">
        <f>DAY(B67)</f>
        <v>11</v>
      </c>
    </row>
    <row r="152" spans="1:3">
      <c r="A152" s="269" t="s">
        <v>354</v>
      </c>
      <c r="B152" s="269"/>
    </row>
    <row r="153" spans="1:3">
      <c r="A153" s="3" t="s">
        <v>175</v>
      </c>
      <c r="B153" s="1" t="s">
        <v>378</v>
      </c>
    </row>
    <row r="154" spans="1:3">
      <c r="A154" s="3"/>
      <c r="B154" s="1" t="s">
        <v>378</v>
      </c>
    </row>
    <row r="155" spans="1:3">
      <c r="A155" s="3"/>
      <c r="B155" s="1" t="s">
        <v>378</v>
      </c>
    </row>
    <row r="156" spans="1:3">
      <c r="A156" s="214" t="s">
        <v>419</v>
      </c>
      <c r="B156" s="213" t="s">
        <v>421</v>
      </c>
    </row>
    <row r="157" spans="1:3">
      <c r="A157" s="214"/>
      <c r="B157" s="213" t="s">
        <v>420</v>
      </c>
    </row>
    <row r="158" spans="1:3" hidden="1">
      <c r="A158" s="3" t="s">
        <v>179</v>
      </c>
      <c r="B158" s="1" t="s">
        <v>176</v>
      </c>
    </row>
    <row r="159" spans="1:3" ht="28.5" hidden="1">
      <c r="A159" s="3" t="s">
        <v>180</v>
      </c>
      <c r="B159" s="1" t="s">
        <v>177</v>
      </c>
    </row>
    <row r="160" spans="1:3" hidden="1">
      <c r="A160" s="3" t="s">
        <v>181</v>
      </c>
      <c r="B160" s="1" t="s">
        <v>25</v>
      </c>
    </row>
    <row r="161" spans="1:2" hidden="1">
      <c r="A161" s="3" t="s">
        <v>182</v>
      </c>
      <c r="B161" s="1" t="s">
        <v>23</v>
      </c>
    </row>
    <row r="162" spans="1:2" hidden="1">
      <c r="A162" s="3" t="s">
        <v>183</v>
      </c>
      <c r="B162" s="1" t="s">
        <v>178</v>
      </c>
    </row>
    <row r="163" spans="1:2" hidden="1">
      <c r="A163" s="3" t="s">
        <v>184</v>
      </c>
      <c r="B163" s="2" t="s">
        <v>26</v>
      </c>
    </row>
    <row r="164" spans="1:2" hidden="1">
      <c r="A164" s="3" t="s">
        <v>185</v>
      </c>
      <c r="B164" s="1" t="s">
        <v>333</v>
      </c>
    </row>
    <row r="165" spans="1:2">
      <c r="A165" s="3" t="s">
        <v>418</v>
      </c>
      <c r="B165" s="1" t="s">
        <v>422</v>
      </c>
    </row>
    <row r="166" spans="1:2">
      <c r="A166" s="223" t="s">
        <v>376</v>
      </c>
      <c r="B166" s="1" t="s">
        <v>424</v>
      </c>
    </row>
    <row r="167" spans="1:2">
      <c r="A167" s="216" t="s">
        <v>419</v>
      </c>
      <c r="B167" s="215" t="s">
        <v>421</v>
      </c>
    </row>
    <row r="168" spans="1:2">
      <c r="A168" s="3" t="s">
        <v>186</v>
      </c>
      <c r="B168" s="2" t="s">
        <v>346</v>
      </c>
    </row>
    <row r="169" spans="1:2">
      <c r="A169" s="3" t="s">
        <v>187</v>
      </c>
      <c r="B169" s="2" t="s">
        <v>347</v>
      </c>
    </row>
    <row r="170" spans="1:2">
      <c r="A170" s="3" t="s">
        <v>188</v>
      </c>
      <c r="B170" s="1" t="str">
        <f>B1</f>
        <v>№ 23-AL</v>
      </c>
    </row>
    <row r="171" spans="1:2">
      <c r="A171" s="3" t="s">
        <v>189</v>
      </c>
      <c r="B171" s="4" t="str">
        <f>B70</f>
        <v>11 mart 2025 y.</v>
      </c>
    </row>
  </sheetData>
  <mergeCells count="7">
    <mergeCell ref="A152:B152"/>
    <mergeCell ref="A103:B103"/>
    <mergeCell ref="A4:B4"/>
    <mergeCell ref="A57:B57"/>
    <mergeCell ref="A64:B64"/>
    <mergeCell ref="A97:B97"/>
    <mergeCell ref="A91:B91"/>
  </mergeCells>
  <phoneticPr fontId="62" type="noConversion"/>
  <dataValidations count="13">
    <dataValidation type="list" allowBlank="1" showInputMessage="1" showErrorMessage="1" sqref="B30" xr:uid="{00000000-0002-0000-0300-000000000000}">
      <formula1>$C$30:$D$30</formula1>
    </dataValidation>
    <dataValidation type="list" allowBlank="1" showInputMessage="1" showErrorMessage="1" sqref="B99" xr:uid="{00000000-0002-0000-0300-000001000000}">
      <formula1>$C$99:$D$99</formula1>
    </dataValidation>
    <dataValidation type="list" allowBlank="1" showInputMessage="1" showErrorMessage="1" sqref="B109" xr:uid="{00000000-0002-0000-0300-000002000000}">
      <formula1>$C$109:$D$109</formula1>
    </dataValidation>
    <dataValidation type="list" allowBlank="1" showInputMessage="1" showErrorMessage="1" sqref="B77" xr:uid="{00000000-0002-0000-0300-000003000000}">
      <formula1>$C$77:$D$77</formula1>
    </dataValidation>
    <dataValidation type="list" allowBlank="1" showInputMessage="1" showErrorMessage="1" sqref="C135" xr:uid="{00000000-0002-0000-0300-000004000000}">
      <formula1>$D$135:$E$135</formula1>
    </dataValidation>
    <dataValidation type="list" allowBlank="1" showInputMessage="1" showErrorMessage="1" sqref="B98" xr:uid="{00000000-0002-0000-0300-000005000000}">
      <formula1>$C$98:$D$98</formula1>
    </dataValidation>
    <dataValidation type="list" allowBlank="1" showInputMessage="1" showErrorMessage="1" sqref="B100" xr:uid="{00000000-0002-0000-0300-000006000000}">
      <formula1>$C$100:$D$100</formula1>
    </dataValidation>
    <dataValidation type="list" allowBlank="1" showInputMessage="1" showErrorMessage="1" sqref="B23" xr:uid="{00000000-0002-0000-0300-000007000000}">
      <formula1>$C$23:$D$23</formula1>
    </dataValidation>
    <dataValidation type="list" allowBlank="1" showInputMessage="1" showErrorMessage="1" sqref="B29" xr:uid="{00000000-0002-0000-0300-000008000000}">
      <formula1>$C$29:$F$29</formula1>
    </dataValidation>
    <dataValidation type="list" allowBlank="1" showInputMessage="1" showErrorMessage="1" sqref="B24" xr:uid="{00000000-0002-0000-0300-000009000000}">
      <formula1>$C$24:$D$24</formula1>
    </dataValidation>
    <dataValidation type="list" allowBlank="1" showInputMessage="1" showErrorMessage="1" sqref="B83" xr:uid="{00000000-0002-0000-0300-00000A000000}">
      <formula1>$BJ$83:$BK$83</formula1>
    </dataValidation>
    <dataValidation type="list" allowBlank="1" showInputMessage="1" showErrorMessage="1" sqref="B6" xr:uid="{00000000-0002-0000-0300-00000B000000}">
      <formula1>$C$6:$D$6</formula1>
    </dataValidation>
    <dataValidation type="list" allowBlank="1" showInputMessage="1" showErrorMessage="1" sqref="B44" xr:uid="{00000000-0002-0000-0300-00000C000000}">
      <formula1>$C$44:$D$44</formula1>
    </dataValidation>
  </dataValidation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3">
    <tabColor rgb="FF00B050"/>
  </sheetPr>
  <dimension ref="A1:K132"/>
  <sheetViews>
    <sheetView view="pageBreakPreview" topLeftCell="A115" zoomScale="130" zoomScaleNormal="55" zoomScaleSheetLayoutView="130" workbookViewId="0">
      <selection activeCell="C135" sqref="C135"/>
    </sheetView>
  </sheetViews>
  <sheetFormatPr defaultColWidth="9.140625" defaultRowHeight="15.75"/>
  <cols>
    <col min="1" max="1" width="50.140625" style="6" customWidth="1"/>
    <col min="2" max="2" width="58.85546875" style="6" customWidth="1"/>
    <col min="3" max="3" width="93.28515625" style="6" customWidth="1"/>
    <col min="4" max="7" width="9.140625" style="6" customWidth="1"/>
    <col min="8" max="8" width="111.5703125" style="6" customWidth="1"/>
    <col min="9" max="16" width="9.140625" style="6" customWidth="1"/>
    <col min="17" max="16384" width="9.140625" style="6"/>
  </cols>
  <sheetData>
    <row r="1" spans="1:3">
      <c r="A1" s="286" t="str">
        <f>""&amp;malumot!C64&amp;" shartnoma "&amp;malumot!B66&amp;""</f>
        <v>Mikroqarz shartnoma № 23-AL</v>
      </c>
      <c r="B1" s="286"/>
    </row>
    <row r="3" spans="1:3">
      <c r="A3" s="286" t="str">
        <f>"Toshkent shahri                                                                               "&amp;malumot!B70&amp;""</f>
        <v>Toshkent shahri                                                                               11 mart 2025 y.</v>
      </c>
      <c r="B3" s="286"/>
    </row>
    <row r="4" spans="1:3">
      <c r="A4" s="66"/>
    </row>
    <row r="5" spans="1:3" ht="132.75" customHeight="1">
      <c r="A5" s="274" t="str">
        <f>""&amp;malumot!B153&amp;", bundan buyon «Mikromoliya tashkiloti» deb nomlanuvchi, ishonchnoma asosida xarakat qiluvchi "&amp;malumot!A156&amp;" "&amp;malumot!B156&amp;"  bir tomondan va o‘z manfaati yo‘lida hamda o‘z nomidan harakat qiluvchi O‘zbekiston Respublikasi fuqarosi "&amp;malumot!B5&amp;"  (pasport raqami "&amp;malumot!B16&amp;", "&amp;malumot!C20&amp;" ), bundan buyon «Qarz oluvchi» deb nomlanuvchi, boshqa tomondan, birgalikda “Tomonlar” yoki alohida “Tomon” deb nomlanuvchilar, Qarz oluvchi tomonidan "&amp;TEXT(malumot!B2,"ДД.ММ.ГГГГ")&amp;" yil,"&amp;malumot!B65&amp;" olish uchun ariza berilganligini hisobga olib, ushbu "&amp;malumot!C64&amp;" shartnomasini (bundan keyin – «Shartnoma») quyidagilar haqida tuzdilar:"</f>
        <v>«CLEVER MIKROMOLIYA TASHKILOTI» MChJ, bundan buyon «Mikromoliya tashkiloti» deb nomlanuvchi, ishonchnoma asosida xarakat qiluvchi Olmaliq filiali boshlig'i V. Yerjanov  bir tomondan va o‘z manfaati yo‘lida hamda o‘z nomidan harakat qiluvchi O‘zbekiston Respublikasi fuqarosi NUTFULLAYEV AKBARJON AXMEDOVICH  (pasport raqami AA 9481167, BUXORO VILOYATI BUXORO SHAHAR IIB tomonidan 24.04.2015 yilda berilgan ), bundan buyon «Qarz oluvchi» deb nomlanuvchi, boshqa tomondan, birgalikda “Tomonlar” yoki alohida “Tomon” deb nomlanuvchilar, Qarz oluvchi tomonidan 11.03.2025 yil,mikroqarz olish uchun ariza berilganligini hisobga olib, ushbu Mikroqarz shartnomasini (bundan keyin – «Shartnoma») quyidagilar haqida tuzdilar:</v>
      </c>
      <c r="B5" s="274"/>
    </row>
    <row r="7" spans="1:3">
      <c r="A7" s="286" t="s">
        <v>262</v>
      </c>
      <c r="B7" s="286"/>
    </row>
    <row r="8" spans="1:3" ht="51.75" customHeight="1">
      <c r="A8" s="274" t="str">
        <f>"1.1. Mikromoliya tashkiloti Qarz oluvchiga umumiy miqdori "&amp;FIXED(malumot!B75,2)&amp;" ("&amp;malumot!C76&amp;") bo‘lgan "&amp;malumot!B65&amp;"ni "&amp;malumot!B71&amp;" dan "&amp;malumot!B73&amp;" gacha bo'lgan muddatga naqd pul va/yoki o'tkazmasi shaklida ajratadi."</f>
        <v>1.1. Mikromoliya tashkiloti Qarz oluvchiga umumiy miqdori 27 000 000,00 (Yigirma yetti million so'm) bo‘lgan mikroqarzni 11 mart 2025 y. dan 11 mart 2028 y. gacha bo'lgan muddatga naqd pul va/yoki o'tkazmasi shaklida ajratadi.</v>
      </c>
      <c r="B8" s="274"/>
    </row>
    <row r="9" spans="1:3" ht="36" customHeight="1">
      <c r="A9" s="274" t="str">
        <f>"1.2. Qarz oluvchi to‘lovlilik, muddatlilik va ta’minlanganlik tamoyillariga amal qilgan holda "&amp;malumot!B65&amp;"dan foydalanish majburiyatini o‘z zimmasiga oladi."</f>
        <v>1.2. Qarz oluvchi to‘lovlilik, muddatlilik va ta’minlanganlik tamoyillariga amal qilgan holda mikroqarzdan foydalanish majburiyatini o‘z zimmasiga oladi.</v>
      </c>
      <c r="B9" s="274"/>
    </row>
    <row r="10" spans="1:3">
      <c r="A10" s="32"/>
    </row>
    <row r="11" spans="1:3">
      <c r="A11" s="276" t="str">
        <f>"2. "&amp;malumot!D64&amp;" BERISH VA QAYTARISH TARTIBI"</f>
        <v>2. MIKROQARZ BERISH VA QAYTARISH TARTIBI</v>
      </c>
      <c r="B11" s="276"/>
      <c r="C11" s="64"/>
    </row>
    <row r="12" spans="1:3" ht="36" customHeight="1">
      <c r="A12" s="274" t="str">
        <f>"2.1. Ushbu Shartnomaning 1.1.-bandida ko‘rsatilgan summa miqdoridagi "&amp;malumot!B65&amp;"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274"/>
    </row>
    <row r="13" spans="1:3" ht="35.25" customHeight="1">
      <c r="A13" s="274" t="str">
        <f>"2.2. "&amp;malumot!C64&amp;"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274"/>
    </row>
    <row r="14" spans="1:3" ht="35.25" customHeight="1">
      <c r="A14" s="274" t="str">
        <f>"2.3. "&amp;malumot!C64&amp;"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274"/>
    </row>
    <row r="15" spans="1:3" ht="69.75" customHeight="1">
      <c r="A15" s="274" t="str">
        <f>"2.4. Mikromoliya tashkiloti, "&amp;malumot!B65&amp;" berilgan vaqtdan boshlab, "&amp;malumot!B65&amp;" miqdorining qoldiq summasiga "&amp;malumot!B85&amp;"% ("&amp;malumot!C86&amp;") foiz yillik va yiliga 365/366 kunlik hisobidan foizlar hisoblaydi. To'lov jadvaliga muvofiq asosiy qarz bo'yicha navbatdagi to'lov buzilgan hollarda, "&amp;"foiz stavkasi oshiriladi va  Mikromoliya tashkiloti "&amp;malumot!B65&amp;"ning muddati o'tgan asosiy qarz summasiga yillik "&amp;malumot!B88&amp;" ("&amp;malumot!B89&amp;") foiz miqdorida foizlar hisoblaydi."</f>
        <v>2.4. Mikromoliya tashkiloti, mikroqarz berilgan vaqtdan boshlab, mikroqarz miqdorining qoldiq summasiga 60% (Oltmish)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274"/>
    </row>
    <row r="16" spans="1:3" ht="177.75" customHeight="1">
      <c r="A16" s="274" t="s">
        <v>329</v>
      </c>
      <c r="B16" s="274"/>
    </row>
    <row r="17" spans="1:11" ht="161.25" customHeight="1">
      <c r="A17" s="274"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274"/>
      <c r="C17" s="149" t="s">
        <v>334</v>
      </c>
      <c r="H17" s="6" t="str">
        <f>malumot!B65</f>
        <v>mikroqarz</v>
      </c>
      <c r="I17" s="6" t="s">
        <v>335</v>
      </c>
    </row>
    <row r="18" spans="1:11" ht="100.5" customHeight="1">
      <c r="A18" s="279" t="s">
        <v>374</v>
      </c>
      <c r="B18" s="279"/>
    </row>
    <row r="19" spans="1:11" ht="36" customHeight="1">
      <c r="A19" s="274" t="str">
        <f>"2.7. Qarz oluvchi Mikromoliya tashkilotining "&amp;malumot!B65&amp;"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274"/>
    </row>
    <row r="20" spans="1:11" ht="48.75" customHeight="1">
      <c r="A20" s="274" t="str">
        <f>"2.8. Qarz oluvchi "&amp;malumot!B65&amp;"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274"/>
    </row>
    <row r="21" spans="1:11" ht="113.25" customHeight="1">
      <c r="A21" s="285"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285"/>
      <c r="C21" s="6" t="str">
        <f>"2.9. Qarz oluvchi jismoniy shaxslarning kreditlar ("&amp;malumot!B65&amp;"lar)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6" t="str">
        <f>"olingan Markaziy bank Boshqaruvining 28.09.2019 y. 24/5-son qarori bilan tasdiqlangan), qarz yuki ko‘rsatkichi har bir qarz oluvchiga qarz beruvchi tomonidan "&amp;malumot!B65&amp;" ajratishda uning summasi va "</f>
        <v xml:space="preserve">olingan Markaziy bank Boshqaruvining 28.09.2019 y. 24/5-son qarori bilan tasdiqlangan), qarz yuki ko‘rsatkichi har bir qarz oluvchiga qarz beruvchi tomonidan mikroqarz ajratishda uning summasi va </v>
      </c>
      <c r="I21" s="6" t="str">
        <f>"qarz oluvchining amaldagi kredit ("&amp;malumot!B65&amp;")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c r="A22" s="276" t="str">
        <f>"3. "&amp;malumot!D64&amp;" TA'MINOTI BO‘YICHA "</f>
        <v xml:space="preserve">3. MIKROQARZ TA'MINOTI BO‘YICHA </v>
      </c>
      <c r="B22" s="276"/>
    </row>
    <row r="23" spans="1:11" ht="19.5" customHeight="1">
      <c r="A23" s="274" t="str">
        <f>"3.1. Ushbu Shartnoma bo‘yicha taqdim etilgan "&amp;malumot!C64&amp;" quyidagi garov bilan ta'minlanadi:"</f>
        <v>3.1. Ushbu Shartnoma bo‘yicha taqdim etilgan Mikroqarz quyidagi garov bilan ta'minlanadi:</v>
      </c>
      <c r="B23" s="274"/>
    </row>
    <row r="24" spans="1:11" ht="151.5" customHeight="1">
      <c r="A24" s="283" t="str">
        <f>IF(malumot!B109=malumot!C109,shartnoma!A28,IF(malumot!B109=malumot!D109,shartnoma!A25,0))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4" s="283"/>
    </row>
    <row r="25" spans="1:11" ht="129" hidden="1" customHeight="1">
      <c r="A25" s="274" t="str">
        <f>IF(malumot!B98=malumot!C98,shartnoma!A27,IF(malumot!B98=malumot!D98,shartnoma!A26,0))</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5" s="274"/>
    </row>
    <row r="26" spans="1:11" ht="129.75" hidden="1" customHeight="1">
      <c r="A26" s="283" t="str">
        <f>"3.1.1. "&amp;malumot!N132&amp;" tomonidan "&amp;malumot!B149&amp;" yil "&amp;malumot!B151&amp;" "&amp;malumot!B150&amp;"da imzolangan 1-sonli navbatdagi garov predmeti qiymatini tasdiqlash dalolatnomasiga muvofiq "&amp;malumot!C129&amp;" manzilida joylashgan, "&amp;malumot!E132&amp;" bo'lgan, "&amp;malumot!E131&amp;" ko'rinishidagi ko'chmas mulk (bundan keyin “navbatdagi garov predmeti”), egalik huquqiga ko'ra  "&amp;malumot!C123&amp;"ga tegishli va kelishilgan garov qiymati "&amp;malumot!B149&amp;" yil "&amp;malumot!B151&amp;" "&amp;malumot!B150&amp;"da imzolangan 1-sonli Garov predmeti qiymatini tasdiqlash dalolatnomasiga muvofiq "&amp;FIXED(malumot!B142,2)&amp;" ("&amp;malumot!B144&amp;") so'mni tashkil qiladi. Garovning aniq shartlari tegishli tarzda notarial tasdiqlangan garov shartnomasi bilan belgilangan."</f>
        <v>3.1.1. Mikromoliya tashkiloti va Qarz oluvchi tomonidan 2025 yil 11 martda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6" s="283"/>
    </row>
    <row r="27" spans="1:11" ht="131.25" hidden="1" customHeight="1">
      <c r="A27" s="274" t="str">
        <f>"3.1.1. "&amp;malumot!N132&amp;" tomonidan "&amp;malumot!B149&amp;" yil "&amp;malumot!B151&amp;" "&amp;malumot!B150&amp;"da imzolangan 1-sonli Garov predmeti qiymatini tasdiqlash dalolatnomasiga muvofiq "&amp;malumot!C129&amp;" manzilida joylashgan, "&amp;malumot!E132&amp;" bo'lgan, "&amp;malumot!E131&amp;" ko'rinishidagi ko'chmas mulk (bundan keyin “Garov predmeti”), egalik huquqiga ko'ra  "&amp;malumot!C123&amp;"ga tegishli va kelishilgan garov qiymati "&amp;malumot!B149&amp;" yil "&amp;malumot!B151&amp;" "&amp;malumot!B150&amp;"da imzolangan 1-sonli Garov predmeti qiymatini tasdiqlash dalolatnomasiga muvofiq "&amp;FIXED(malumot!B142,2)&amp;" ("&amp;malumot!B144&amp;") so'mni tashkil qiladi. Garovning aniq shartlari tegishli tarzda notarial tasdiqlangan garov shartnomasi bilan belgilangan."</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7" s="274"/>
    </row>
    <row r="28" spans="1:11" ht="114" hidden="1" customHeight="1">
      <c r="A28" s="283" t="str">
        <f>IF(malumot!B98=malumot!C98,A29,IF(malumot!B98=malumot!D98,A30,0))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8" s="283"/>
      <c r="K28" s="6" t="s">
        <v>326</v>
      </c>
    </row>
    <row r="29" spans="1:11" ht="114.75" hidden="1" customHeight="1">
      <c r="A29" s="283" t="str">
        <f>"3.1.1. "&amp;malumot!N132&amp;" tomonidan "&amp;malumot!B149&amp;" yil "&amp;malumot!B151&amp;" "&amp;malumot!B150&amp;"da imzolangan 1-sonli garov predmeti qiymatini tasdiqlash dalolatnomasiga muvofiq "&amp;malumot!B140&amp;" rangli, ishlab chiqarilgan yili – "&amp;malumot!B141&amp;" yil,  dvigatel raqami "&amp;malumot!B137&amp;", shassi - "&amp;malumot!B138&amp;",  kuzov turi - "&amp;malumot!B134&amp;", kuzov raqami №"&amp;malumot!B135&amp;", davlat raqam belgisi "&amp;malumot!B132&amp;" bo'lgan "&amp;malumot!B131&amp;" rusumli avtomashinasi (bundan keyin “Garov predmeti”), egalik huquqiga ega  "&amp;malumot!B123&amp;"ga tegishli va kelishilgan garov qiymati "&amp;malumot!B149&amp;" yil "&amp;malumot!B151&amp;" "&amp;malumot!B150&amp;"da imzolangan 1-sonli Garov predmeti qiymatini tasdiqlash dalolatnomasiga muvifiq "&amp;FIXED(malumot!B142,2)&amp;" ("&amp;malumot!B144&amp;") so'mni tashkil qiladi. Garov garovining aniq shartlari tegishli notarial rasmiylashtirilgan garov shartnomasi bilan belgilanadi."</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9" s="283"/>
    </row>
    <row r="30" spans="1:11" ht="115.5" hidden="1" customHeight="1">
      <c r="A30" s="284" t="str">
        <f>"3.1.1. "&amp;malumot!N132&amp;" tomonidan "&amp;malumot!B149&amp;" yil "&amp;malumot!B151&amp;" "&amp;malumot!B150&amp;"da imzolangan 1-sonli navbatdagi garov predmeti qiymatini tasdiqlash dalolatnomasiga muvofiq "&amp;malumot!B140&amp;" rangli, ishlab chiqarilgan yili – "&amp;malumot!B141&amp;" yil,  dvigatel raqami "&amp;malumot!B137&amp;", shassi - "&amp;malumot!B138&amp;",  kuzov turi - "&amp;malumot!B134&amp;", kuzov raqami №"&amp;malumot!B135&amp;", davlat raqam belgisi "&amp;malumot!B132&amp;" bo'lgan "&amp;malumot!B131&amp;" rusumli avtomashinasi (bundan keyin “navbatdagi garov predmeti”), egalik huquqiga ega  "&amp;malumot!B123&amp;"ga tegishli va kelishilgan garov qiymati "&amp;malumot!B149&amp;" yil "&amp;malumot!B151&amp;" "&amp;malumot!B150&amp;"da imzolangan 1-sonli Garov predmeti qiymatini tasdiqlash dalolatnomasiga muvifiq "&amp;FIXED(malumot!B142,2)&amp;" ("&amp;malumot!B144&amp;") so'mni tashkil qiladi. Garov garovining aniq shartlari tegishli notarial rasmiylashtirilgan garov shartnomasi bilan belgilanadi."</f>
        <v>3.1.1. Mikromoliya tashkiloti va Qarz oluvchi tomonidan 2025 yil 11 martda imzolangan 1-sonli navbatdagi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“navbatdagi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30" s="284"/>
    </row>
    <row r="31" spans="1:11" ht="117" customHeight="1">
      <c r="A31" s="281"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281"/>
    </row>
    <row r="32" spans="1:11" ht="94.5" hidden="1">
      <c r="A32" s="153" t="s">
        <v>356</v>
      </c>
      <c r="B32" s="32"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63" hidden="1">
      <c r="A33" s="153" t="str">
        <f>" Mikromoliya tashkilotiga taqdim etilishi lozim. Garov shartnomasi belgilangan muddatda taqdim etilmagan hollarda, Mikromoliya tashkiloti Qarz oluvchining manziliga yozma bildirishnoma yuborish orqali "&amp;malumot!B65&amp;""</f>
        <v xml:space="preserve"> Mikromoliya tashkilotiga taqdim etilishi lozim. Garov shartnomasi belgilangan muddatda taqdim etilmagan hollarda, Mikromoliya tashkiloti Qarz oluvchining manziliga yozma bildirishnoma yuborish orqali mikroqarz</v>
      </c>
      <c r="B33" s="32" t="s">
        <v>337</v>
      </c>
    </row>
    <row r="34" spans="1:8" ht="85.5" customHeight="1">
      <c r="A34" s="281" t="s">
        <v>263</v>
      </c>
      <c r="B34" s="281"/>
    </row>
    <row r="35" spans="1:8" ht="84" customHeight="1">
      <c r="A35" s="281" t="s">
        <v>314</v>
      </c>
      <c r="B35" s="281"/>
    </row>
    <row r="37" spans="1:8">
      <c r="A37" s="278" t="s">
        <v>313</v>
      </c>
      <c r="B37" s="278"/>
      <c r="C37" s="71"/>
    </row>
    <row r="38" spans="1:8">
      <c r="A38" s="282" t="s">
        <v>312</v>
      </c>
      <c r="B38" s="282"/>
    </row>
    <row r="39" spans="1:8" ht="114" customHeight="1">
      <c r="A39" s="281"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39" s="281"/>
      <c r="C39" s="6" t="str">
        <f>"4.1.1. Ushbu Shartnomada ko‘rsatilgan asoslar bo‘yicha Qarz oluvchiga Shartnomada ko‘zda tutilgan "&amp;malumot!B65&amp;""</f>
        <v>4.1.1. Ushbu Shartnomada ko‘rsatilgan asoslar bo‘yicha Qarz oluvchiga Shartnomada ko‘zda tutilgan mikroqarz</v>
      </c>
      <c r="H39" s="149" t="s">
        <v>388</v>
      </c>
    </row>
    <row r="40" spans="1:8" ht="39" customHeight="1">
      <c r="A40" s="281" t="str">
        <f>"4.1.2.1. "&amp;malumot!C64&amp;"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0" s="281"/>
    </row>
    <row r="41" spans="1:8">
      <c r="A41" s="281" t="s">
        <v>315</v>
      </c>
      <c r="B41" s="281"/>
    </row>
    <row r="42" spans="1:8" ht="33" customHeight="1">
      <c r="A42" s="281" t="str">
        <f>"b) "&amp;malumot!B65&amp;" summasiga hisoblanadigan asosiy qarz bo‘yicha muddati o‘tgan qarzdorlik va/yoki foizlarning yuzaga kelishi;"</f>
        <v>b) mikroqarz summasiga hisoblanadigan asosiy qarz bo‘yicha muddati o‘tgan qarzdorlik va/yoki foizlarning yuzaga kelishi;</v>
      </c>
      <c r="B42" s="281"/>
    </row>
    <row r="43" spans="1:8" ht="37.5" customHeight="1">
      <c r="A43" s="281" t="s">
        <v>316</v>
      </c>
      <c r="B43" s="281"/>
    </row>
    <row r="44" spans="1:8" ht="52.5" customHeight="1">
      <c r="A44" s="281" t="s">
        <v>317</v>
      </c>
      <c r="B44" s="281"/>
    </row>
    <row r="45" spans="1:8" ht="19.5" customHeight="1">
      <c r="A45" s="281" t="s">
        <v>318</v>
      </c>
      <c r="B45" s="281"/>
    </row>
    <row r="46" spans="1:8" ht="51.75" customHeight="1">
      <c r="A46" s="281" t="str">
        <f>"f) Qarz oluvchi "&amp;malumot!B65&amp;" summasini olish uchun Mikromoliya tashkilotiga "&amp;malumot!B65&amp;"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281"/>
    </row>
    <row r="47" spans="1:8" ht="33.75" customHeight="1">
      <c r="A47" s="281" t="s">
        <v>311</v>
      </c>
      <c r="B47" s="281"/>
    </row>
    <row r="48" spans="1:8" ht="36.75" customHeight="1">
      <c r="A48" s="281" t="s">
        <v>310</v>
      </c>
      <c r="B48" s="281"/>
      <c r="C48" s="153"/>
    </row>
    <row r="49" spans="1:8" ht="100.5" customHeight="1">
      <c r="A49" s="274" t="s">
        <v>309</v>
      </c>
      <c r="B49" s="274"/>
      <c r="C49" s="153"/>
    </row>
    <row r="50" spans="1:8" ht="70.5" customHeight="1">
      <c r="A50" s="274" t="s">
        <v>308</v>
      </c>
      <c r="B50" s="274"/>
      <c r="C50" s="153"/>
    </row>
    <row r="51" spans="1:8" ht="39.75" customHeight="1">
      <c r="A51" s="274" t="str">
        <f>"4.1.7. Qarz oluvchini oldindan ogohlantirmasdan "&amp;malumot!B65&amp;"ni qaytarish uchun haqiqatdan ham garov ta'minoti mavjudligini tekshirishni amalga oshirish."</f>
        <v>4.1.7. Qarz oluvchini oldindan ogohlantirmasdan mikroqarzni qaytarish uchun haqiqatdan ham garov ta'minoti mavjudligini tekshirishni amalga oshirish.</v>
      </c>
      <c r="B51" s="274"/>
      <c r="C51" s="153"/>
    </row>
    <row r="52" spans="1:8" ht="33" customHeight="1">
      <c r="A52" s="274" t="s">
        <v>319</v>
      </c>
      <c r="B52" s="274"/>
      <c r="C52" s="153"/>
    </row>
    <row r="53" spans="1:8" ht="39.75" customHeight="1">
      <c r="A53" s="274" t="s">
        <v>307</v>
      </c>
      <c r="B53" s="274"/>
      <c r="C53" s="153"/>
    </row>
    <row r="54" spans="1:8" ht="50.25" customHeight="1">
      <c r="A54" s="274"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274"/>
      <c r="C54" s="153" t="str">
        <f>"4.1.10. Qarz oluvchi taqdim etilgan "&amp;malumot!B65&amp;"dan Shartnoma tuzilgan kundan boshlab 1 (bir) oy davomida foydalanmagan"</f>
        <v>4.1.10. Qarz oluvchi taqdim etilgan mikroqarzdan Shartnoma tuzilgan kundan boshlab 1 (bir) oy davomida foydalanmagan</v>
      </c>
      <c r="H54" s="6" t="s">
        <v>338</v>
      </c>
    </row>
    <row r="55" spans="1:8" ht="19.5" customHeight="1">
      <c r="A55" s="274" t="str">
        <f>"4.1.11. Oldingi "&amp;malumot!B65&amp;" to‘liq to‘lanmagunga qadar yangi "&amp;malumot!B65&amp;" berishni rad etish."</f>
        <v>4.1.11. Oldingi mikroqarz to‘liq to‘lanmagunga qadar yangi mikroqarz berishni rad etish.</v>
      </c>
      <c r="B55" s="274"/>
      <c r="C55" s="153"/>
    </row>
    <row r="57" spans="1:8">
      <c r="A57" s="276" t="s">
        <v>306</v>
      </c>
      <c r="B57" s="276"/>
      <c r="C57" s="152"/>
    </row>
    <row r="58" spans="1:8">
      <c r="A58" s="280" t="s">
        <v>305</v>
      </c>
      <c r="B58" s="280"/>
      <c r="C58" s="154"/>
    </row>
    <row r="59" spans="1:8" ht="36" customHeight="1">
      <c r="A59" s="274" t="str">
        <f>"5.1.1. Ushbu shartnomada nazarda tutilgan shartlar bo‘yicha "&amp;malumot!B65&amp;"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274"/>
      <c r="C59" s="153"/>
    </row>
    <row r="60" spans="1:8" ht="36.75" customHeight="1">
      <c r="A60" s="274" t="str">
        <f>"5.1.2. Shartnoma tuzilgan kundan boshlab 2 (ikki) hafta mobaynida Mikromoliya tashkilotiga bu haqda yozma xabarnoma yo‘llash orqali "&amp;malumot!B65&amp;"ning foydalanilmagan summasidan voz kechish."</f>
        <v>5.1.2. Shartnoma tuzilgan kundan boshlab 2 (ikki) hafta mobaynida Mikromoliya tashkilotiga bu haqda yozma xabarnoma yo‘llash orqali mikroqarzning foydalanilmagan summasidan voz kechish.</v>
      </c>
      <c r="B60" s="274"/>
      <c r="C60" s="153"/>
    </row>
    <row r="61" spans="1:8" ht="17.25" customHeight="1">
      <c r="A61" s="274" t="str">
        <f>"5.1.3. "&amp;malumot!C64&amp;" xizmatlari ko‘rsatish qoidalari bilan tanishish."</f>
        <v>5.1.3. Mikroqarz xizmatlari ko‘rsatish qoidalari bilan tanishish.</v>
      </c>
      <c r="B61" s="274"/>
      <c r="C61" s="153"/>
    </row>
    <row r="62" spans="1:8" ht="36" customHeight="1">
      <c r="A62" s="274" t="str">
        <f>"5.1.4. O‘z huquq va majburiyatlari, shu jumladan "&amp;malumot!B65&amp;" xizmatlari ko‘rsatish bilan bog‘liq barcha xarajatlar haqida aniq va to‘liq ma'lumot olish."</f>
        <v>5.1.4. O‘z huquq va majburiyatlari, shu jumladan mikroqarz xizmatlari ko‘rsatish bilan bog‘liq barcha xarajatlar haqida aniq va to‘liq ma'lumot olish.</v>
      </c>
      <c r="B62" s="274"/>
      <c r="C62" s="153"/>
    </row>
    <row r="63" spans="1:8" ht="33.75" customHeight="1">
      <c r="A63" s="274" t="s">
        <v>320</v>
      </c>
      <c r="B63" s="274"/>
      <c r="C63" s="153"/>
    </row>
    <row r="64" spans="1:8">
      <c r="A64" s="280" t="s">
        <v>304</v>
      </c>
      <c r="B64" s="280"/>
      <c r="C64" s="154"/>
    </row>
    <row r="65" spans="1:8" ht="37.5" customHeight="1">
      <c r="A65" s="274" t="str">
        <f>"5.2.1. Mikromoliya tashkilotining birinchi talabi bilan zarur hujjatlar, shuningdek "&amp;malumot!B65&amp;"dan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274"/>
      <c r="C65" s="153"/>
    </row>
    <row r="66" spans="1:8" ht="39.75" customHeight="1">
      <c r="A66" s="274" t="s">
        <v>321</v>
      </c>
      <c r="B66" s="274"/>
      <c r="C66" s="153"/>
    </row>
    <row r="67" spans="1:8" ht="27" customHeight="1">
      <c r="A67" s="274" t="str">
        <f>"5.2.3. To‘lov jadvaliga muvofiq "&amp;malumot!B65&amp;", shuningdek hisoblangan foizlar to‘lovlarini amalga oshirish."</f>
        <v>5.2.3. To‘lov jadvaliga muvofiq mikroqarz, shuningdek hisoblangan foizlar to‘lovlarini amalga oshirish.</v>
      </c>
      <c r="B67" s="274"/>
      <c r="C67" s="153"/>
    </row>
    <row r="68" spans="1:8" ht="84" customHeight="1">
      <c r="A68" s="274"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274"/>
      <c r="C68" s="153" t="s">
        <v>339</v>
      </c>
      <c r="H68" s="6" t="str">
        <f>" "&amp;malumot!B65&amp;"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c r="A69" s="274" t="s">
        <v>322</v>
      </c>
      <c r="B69" s="274"/>
      <c r="C69" s="153"/>
    </row>
    <row r="70" spans="1:8" ht="36" customHeight="1">
      <c r="A70" s="274" t="str">
        <f>"5.2.6. Quyidagi holatlarda Mikromoliya tashkilotning birinchi talabi bilan "&amp;malumot!B65&amp;" qaytarilishi bo‘yicha qo‘shimcha garov ta'minotini taqdim etish: "</f>
        <v xml:space="preserve">5.2.6. Quyidagi holatlarda Mikromoliya tashkilotning birinchi talabi bilan mikroqarz qaytarilishi bo‘yicha qo‘shimcha garov ta'minotini taqdim etish: </v>
      </c>
      <c r="B70" s="274"/>
      <c r="C70" s="153"/>
    </row>
    <row r="71" spans="1:8" ht="51.75" customHeight="1">
      <c r="A71" s="279" t="s">
        <v>340</v>
      </c>
      <c r="B71" s="279"/>
      <c r="C71" s="156"/>
    </row>
    <row r="72" spans="1:8" ht="71.25" customHeight="1">
      <c r="A72" s="274" t="str">
        <f>"5.2.7. Sud qarori asosida Qarz oluvchi – jismoniy shaxsning muomalaga layoqatsizligi yoki muomalaga layoqati cheklangan yoxud to‘lash qobiliyatiga ega emasligi (bankrotligi) tan olinganda, uning vasiysi yoki homiysi "&amp;malumot!B65&amp;"ning asosiy summa bo‘yicha qarzdorlikni "&amp;malumot!B65&amp;"dan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274"/>
      <c r="C72" s="153"/>
    </row>
    <row r="73" spans="1:8" ht="33.75" customHeight="1">
      <c r="A73" s="274" t="str">
        <f>"5.2.8. Mikromoliya tashkilotining "&amp;malumot!B65&amp;"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274"/>
      <c r="C73" s="153"/>
      <c r="H73" s="6" t="s">
        <v>336</v>
      </c>
    </row>
    <row r="74" spans="1:8" ht="68.25" customHeight="1">
      <c r="A74" s="274"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274"/>
      <c r="C74" s="153" t="str">
        <f>"5.2.9. Mikromoliya tashkilotining talabi bo‘yicha Mikromoliya tashkiloti ko‘rgan, shu jumladan "&amp;malumot!B65&amp;" bo‘yicha (asosiy qarz, foizlar va boshqalar)"</f>
        <v>5.2.9. Mikromoliya tashkilotining talabi bo‘yicha Mikromoliya tashkiloti ko‘rgan, shu jumladan mikroqarz bo‘yicha (asosiy qarz, foizlar va boshqalar)</v>
      </c>
      <c r="H74" s="6" t="s">
        <v>341</v>
      </c>
    </row>
    <row r="75" spans="1:8">
      <c r="A75" s="69"/>
    </row>
    <row r="76" spans="1:8">
      <c r="A76" s="278" t="s">
        <v>303</v>
      </c>
      <c r="B76" s="278"/>
      <c r="C76" s="155"/>
    </row>
    <row r="77" spans="1:8" ht="98.25" customHeight="1">
      <c r="A77" s="274"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274"/>
      <c r="C77" s="153" t="s">
        <v>342</v>
      </c>
      <c r="H77" s="6" t="str">
        <f>""&amp;malumot!B65&amp;"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c r="A78" s="274" t="s">
        <v>302</v>
      </c>
      <c r="B78" s="274"/>
      <c r="C78" s="153"/>
    </row>
    <row r="79" spans="1:8" ht="35.25" customHeight="1">
      <c r="A79" s="274" t="s">
        <v>301</v>
      </c>
      <c r="B79" s="274"/>
      <c r="C79" s="153"/>
    </row>
    <row r="80" spans="1:8" ht="33" customHeight="1">
      <c r="A80" s="274" t="s">
        <v>300</v>
      </c>
      <c r="B80" s="274"/>
      <c r="C80" s="153"/>
    </row>
    <row r="82" spans="1:3">
      <c r="A82" s="275" t="s">
        <v>299</v>
      </c>
      <c r="B82" s="275"/>
      <c r="C82" s="65"/>
    </row>
    <row r="83" spans="1:3" ht="162.75" customHeight="1">
      <c r="A83" s="274" t="s">
        <v>298</v>
      </c>
      <c r="B83" s="274"/>
      <c r="C83" s="153"/>
    </row>
    <row r="84" spans="1:3" ht="33.75" customHeight="1">
      <c r="A84" s="274" t="s">
        <v>343</v>
      </c>
      <c r="B84" s="274"/>
      <c r="C84" s="153"/>
    </row>
    <row r="85" spans="1:3" ht="51.75" customHeight="1">
      <c r="A85" s="274" t="s">
        <v>297</v>
      </c>
      <c r="B85" s="274"/>
      <c r="C85" s="153"/>
    </row>
    <row r="86" spans="1:3" ht="36" customHeight="1">
      <c r="A86" s="274" t="s">
        <v>296</v>
      </c>
      <c r="B86" s="274"/>
      <c r="C86" s="153"/>
    </row>
    <row r="88" spans="1:3">
      <c r="A88" s="275" t="s">
        <v>295</v>
      </c>
      <c r="B88" s="275"/>
      <c r="C88" s="65"/>
    </row>
    <row r="89" spans="1:3" ht="114.75" customHeight="1">
      <c r="A89" s="274" t="s">
        <v>357</v>
      </c>
      <c r="B89" s="274"/>
      <c r="C89" s="153"/>
    </row>
    <row r="90" spans="1:3" ht="36" customHeight="1">
      <c r="A90" s="274" t="s">
        <v>323</v>
      </c>
      <c r="B90" s="274"/>
      <c r="C90" s="153"/>
    </row>
    <row r="91" spans="1:3" ht="64.5" customHeight="1">
      <c r="A91" s="274" t="str">
        <f>"8.2. Mikromoliya tashkiloti sud organlariga murojaat qilganidan keyin Qarz oluvchi tomonidan "&amp;malumot!B65&amp;" bo‘yicha muddati o‘tgan qarzdorlikning to‘lanishi Mikromoliya tashkilotning "&amp;malumot!B65&amp;"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274"/>
      <c r="C91" s="153"/>
    </row>
    <row r="93" spans="1:3">
      <c r="A93" s="277" t="s">
        <v>294</v>
      </c>
      <c r="B93" s="277"/>
      <c r="C93" s="70"/>
    </row>
    <row r="94" spans="1:3" ht="20.25" customHeight="1">
      <c r="A94" s="274" t="s">
        <v>293</v>
      </c>
      <c r="B94" s="274"/>
      <c r="C94" s="153"/>
    </row>
    <row r="95" spans="1:3" ht="33.75" customHeight="1">
      <c r="A95" s="274" t="str">
        <f>"9.2. Shartnomaning amal qilish muddati Qarz oluvchi "&amp;malumot!B65&amp;"ni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274"/>
      <c r="C95" s="153"/>
    </row>
    <row r="96" spans="1:3" ht="51" customHeight="1">
      <c r="A96" s="274" t="s">
        <v>292</v>
      </c>
      <c r="B96" s="274"/>
      <c r="C96" s="153"/>
    </row>
    <row r="98" spans="1:3">
      <c r="A98" s="276" t="s">
        <v>291</v>
      </c>
      <c r="B98" s="276"/>
      <c r="C98" s="64"/>
    </row>
    <row r="99" spans="1:3" ht="82.5" customHeight="1">
      <c r="A99" s="274" t="s">
        <v>290</v>
      </c>
      <c r="B99" s="274"/>
      <c r="C99" s="153"/>
    </row>
    <row r="100" spans="1:3" ht="66" customHeight="1">
      <c r="A100" s="274" t="s">
        <v>289</v>
      </c>
      <c r="B100" s="274"/>
      <c r="C100" s="153"/>
    </row>
    <row r="101" spans="1:3" ht="48" customHeight="1">
      <c r="A101" s="274" t="s">
        <v>288</v>
      </c>
      <c r="B101" s="274"/>
      <c r="C101" s="153"/>
    </row>
    <row r="103" spans="1:3">
      <c r="A103" s="275" t="s">
        <v>287</v>
      </c>
      <c r="B103" s="275"/>
      <c r="C103" s="139"/>
    </row>
    <row r="104" spans="1:3" ht="37.5" customHeight="1">
      <c r="A104" s="274" t="s">
        <v>286</v>
      </c>
      <c r="B104" s="274"/>
      <c r="C104" s="153"/>
    </row>
    <row r="105" spans="1:3" ht="34.5" customHeight="1">
      <c r="A105" s="274" t="s">
        <v>285</v>
      </c>
      <c r="B105" s="274"/>
      <c r="C105" s="153"/>
    </row>
    <row r="106" spans="1:3" ht="66.75" customHeight="1">
      <c r="A106" s="274" t="s">
        <v>284</v>
      </c>
      <c r="B106" s="274"/>
      <c r="C106" s="153"/>
    </row>
    <row r="107" spans="1:3" ht="51" customHeight="1">
      <c r="A107" s="274" t="s">
        <v>283</v>
      </c>
      <c r="B107" s="274"/>
      <c r="C107" s="153"/>
    </row>
    <row r="108" spans="1:3" ht="37.5" customHeight="1">
      <c r="A108" s="274" t="s">
        <v>282</v>
      </c>
      <c r="B108" s="274"/>
      <c r="C108" s="153"/>
    </row>
    <row r="109" spans="1:3" ht="38.25" customHeight="1">
      <c r="A109" s="274" t="s">
        <v>281</v>
      </c>
      <c r="B109" s="274"/>
      <c r="C109" s="153"/>
    </row>
    <row r="110" spans="1:3" ht="21" customHeight="1">
      <c r="A110" s="274" t="s">
        <v>280</v>
      </c>
      <c r="B110" s="274"/>
      <c r="C110" s="153"/>
    </row>
    <row r="111" spans="1:3" ht="32.25" customHeight="1">
      <c r="A111" s="274"/>
      <c r="B111" s="274"/>
      <c r="C111" s="153"/>
    </row>
    <row r="112" spans="1:3">
      <c r="A112" s="245"/>
      <c r="B112" s="245"/>
    </row>
    <row r="113" spans="1:3">
      <c r="A113" s="273" t="s">
        <v>324</v>
      </c>
      <c r="B113" s="273"/>
      <c r="C113" s="70"/>
    </row>
    <row r="114" spans="1:3">
      <c r="A114" s="245"/>
      <c r="B114" s="245"/>
    </row>
    <row r="115" spans="1:3">
      <c r="A115" s="239" t="s">
        <v>279</v>
      </c>
      <c r="B115" s="228" t="s">
        <v>278</v>
      </c>
    </row>
    <row r="116" spans="1:3">
      <c r="A116" s="237"/>
      <c r="B116" s="227"/>
    </row>
    <row r="117" spans="1:3" ht="31.5">
      <c r="A117" s="240" t="str">
        <f>malumot!B154</f>
        <v>«CLEVER MIKROMOLIYA TASHKILOTI» MChJ</v>
      </c>
      <c r="B117" s="229" t="str">
        <f>malumot!B5</f>
        <v>NUTFULLAYEV AKBARJON AXMEDOVICH</v>
      </c>
    </row>
    <row r="118" spans="1:3">
      <c r="A118" s="237"/>
      <c r="B118" s="227"/>
    </row>
    <row r="119" spans="1:3" ht="31.5">
      <c r="A119" s="241" t="str">
        <f>"Manzil: "&amp;malumot!B159&amp;""</f>
        <v>Manzil: Toshkent shahri, Olmazor tumani, Sagbon ko'chasi, 30 boshi berk, 6-uy</v>
      </c>
      <c r="B119" s="230" t="str">
        <f>"Manzil: "&amp;malumot!B27&amp;""</f>
        <v>Manzil: BUXORO VILOYATI BUXORO SHAHAR TADBIRKOR KO'CHASI 12-UY</v>
      </c>
    </row>
    <row r="120" spans="1:3">
      <c r="A120" s="242" t="str">
        <f>"h/r: "&amp;malumot!B160&amp;""</f>
        <v>h/r: №20216000705068380001</v>
      </c>
      <c r="B120" s="231"/>
    </row>
    <row r="121" spans="1:3" ht="31.5">
      <c r="A121" s="241" t="str">
        <f>"MFO: "&amp;malumot!B161&amp;" в "&amp;malumot!B162&amp;""</f>
        <v>MFO: №01042 в ATB “Kapitalbank” Sergeli filiali</v>
      </c>
      <c r="B121" s="230" t="str">
        <f>"Pasport: "&amp;malumot!B16&amp;", "&amp;malumot!B20&amp;""</f>
        <v>Pasport: AA 9481167, BUXORO VILOYATI BUXORO SHAHAR IIB tomonidan 24.04.2015 yilda berilgan</v>
      </c>
    </row>
    <row r="122" spans="1:3">
      <c r="A122" s="241" t="str">
        <f>"STIR: "&amp;malumot!B163&amp;""</f>
        <v>STIR: 306365847</v>
      </c>
      <c r="B122" s="232" t="str">
        <f>"Tel: "&amp;malumot!B40&amp;""</f>
        <v>Tel: 91 408 76 67  UZI</v>
      </c>
    </row>
    <row r="123" spans="1:3">
      <c r="A123" s="243" t="str">
        <f>"Tel: (78) 113 31 33"</f>
        <v>Tel: (78) 113 31 33</v>
      </c>
      <c r="B123" s="232" t="str">
        <f>malumot!B41</f>
        <v>88 305 76 67 AYOLI</v>
      </c>
    </row>
    <row r="124" spans="1:3">
      <c r="A124" s="243" t="s">
        <v>8</v>
      </c>
      <c r="B124" s="232" t="str">
        <f>malumot!B42</f>
        <v>88 870 76 67 AKASI</v>
      </c>
    </row>
    <row r="125" spans="1:3">
      <c r="A125" s="244"/>
      <c r="B125" s="231"/>
    </row>
    <row r="126" spans="1:3">
      <c r="A126" s="272" t="str">
        <f>malumot!A167</f>
        <v>Olmaliq filiali boshlig'i</v>
      </c>
      <c r="B126" s="227"/>
    </row>
    <row r="127" spans="1:3">
      <c r="A127" s="272"/>
      <c r="B127" s="233" t="str">
        <f>""&amp;malumot!B7&amp;"     __________________"</f>
        <v>A.A.NUTFULLAYEV     __________________</v>
      </c>
    </row>
    <row r="128" spans="1:3">
      <c r="A128" s="236" t="str">
        <f>malumot!B156</f>
        <v>V. Yerjanov</v>
      </c>
      <c r="B128" s="227"/>
    </row>
    <row r="129" spans="1:2">
      <c r="A129" s="236"/>
      <c r="B129" s="234"/>
    </row>
    <row r="130" spans="1:2">
      <c r="A130" s="237"/>
      <c r="B130" s="227"/>
    </row>
    <row r="131" spans="1:2">
      <c r="A131" s="238"/>
      <c r="B131" s="235" t="s">
        <v>430</v>
      </c>
    </row>
    <row r="132" spans="1:2" hidden="1">
      <c r="A132" s="6" t="str">
        <f>"менеджер :   "&amp;malumot!B167&amp;"______________"</f>
        <v>менеджер :   V. Yerjanov______________</v>
      </c>
    </row>
  </sheetData>
  <mergeCells count="9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 ref="A23:B23"/>
    <mergeCell ref="A22:B22"/>
    <mergeCell ref="A21:B21"/>
    <mergeCell ref="A20:B20"/>
    <mergeCell ref="A19:B19"/>
    <mergeCell ref="A35:B35"/>
    <mergeCell ref="A34:B34"/>
    <mergeCell ref="A31:B31"/>
    <mergeCell ref="A24:B24"/>
    <mergeCell ref="A28:B28"/>
    <mergeCell ref="A29:B29"/>
    <mergeCell ref="A30:B30"/>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52:B52"/>
    <mergeCell ref="A53:B53"/>
    <mergeCell ref="A54:B54"/>
    <mergeCell ref="A55:B55"/>
    <mergeCell ref="A57:B57"/>
    <mergeCell ref="A58:B58"/>
    <mergeCell ref="A59:B59"/>
    <mergeCell ref="A60:B60"/>
    <mergeCell ref="A61:B61"/>
    <mergeCell ref="A62:B62"/>
    <mergeCell ref="A63:B63"/>
    <mergeCell ref="A64:B64"/>
    <mergeCell ref="A65:B65"/>
    <mergeCell ref="A66:B66"/>
    <mergeCell ref="A67:B67"/>
    <mergeCell ref="A73:B73"/>
    <mergeCell ref="A74:B74"/>
    <mergeCell ref="A76:B76"/>
    <mergeCell ref="A77:B77"/>
    <mergeCell ref="A68:B68"/>
    <mergeCell ref="A69:B69"/>
    <mergeCell ref="A70:B70"/>
    <mergeCell ref="A71:B71"/>
    <mergeCell ref="A72:B72"/>
    <mergeCell ref="A78:B78"/>
    <mergeCell ref="A79:B79"/>
    <mergeCell ref="A80:B80"/>
    <mergeCell ref="A82:B82"/>
    <mergeCell ref="A83:B83"/>
    <mergeCell ref="A90:B90"/>
    <mergeCell ref="A91:B91"/>
    <mergeCell ref="A93:B93"/>
    <mergeCell ref="A94:B94"/>
    <mergeCell ref="A84:B84"/>
    <mergeCell ref="A85:B85"/>
    <mergeCell ref="A86:B86"/>
    <mergeCell ref="A88:B88"/>
    <mergeCell ref="A89:B89"/>
    <mergeCell ref="A95:B95"/>
    <mergeCell ref="A96:B96"/>
    <mergeCell ref="A98:B98"/>
    <mergeCell ref="A99:B99"/>
    <mergeCell ref="A100:B100"/>
    <mergeCell ref="A101:B101"/>
    <mergeCell ref="A103:B103"/>
    <mergeCell ref="A104:B104"/>
    <mergeCell ref="A105:B105"/>
    <mergeCell ref="A106:B106"/>
    <mergeCell ref="A126:A127"/>
    <mergeCell ref="A113:B113"/>
    <mergeCell ref="A107:B107"/>
    <mergeCell ref="A108:B108"/>
    <mergeCell ref="A109:B109"/>
    <mergeCell ref="A110:B110"/>
    <mergeCell ref="A111:B111"/>
  </mergeCells>
  <printOptions horizontalCentered="1"/>
  <pageMargins left="0.70866141732283472" right="0.70866141732283472" top="0.51181102362204722" bottom="0.43307086614173229" header="0.31496062992125984" footer="0.31496062992125984"/>
  <pageSetup paperSize="9" scale="76" orientation="portrait" r:id="rId1"/>
  <rowBreaks count="3" manualBreakCount="3">
    <brk id="46" max="1" man="1"/>
    <brk id="72" max="1" man="1"/>
    <brk id="96"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3:E27"/>
  <sheetViews>
    <sheetView view="pageBreakPreview" topLeftCell="A15" zoomScaleSheetLayoutView="100" workbookViewId="0">
      <selection activeCell="A25" sqref="A25"/>
    </sheetView>
  </sheetViews>
  <sheetFormatPr defaultColWidth="9.140625" defaultRowHeight="15" outlineLevelRow="1"/>
  <cols>
    <col min="1" max="1" width="23.85546875" style="15" customWidth="1"/>
    <col min="2" max="2" width="23.28515625" style="15" customWidth="1"/>
    <col min="3" max="3" width="17" style="15" customWidth="1"/>
    <col min="4" max="4" width="17.5703125" style="15" customWidth="1"/>
    <col min="5" max="5" width="19.7109375" style="15" customWidth="1"/>
    <col min="6" max="16384" width="9.140625" style="15"/>
  </cols>
  <sheetData>
    <row r="3" spans="1:5" ht="16.5" customHeight="1"/>
    <row r="4" spans="1:5" ht="17.25" customHeight="1">
      <c r="A4" s="287" t="str">
        <f>""&amp;malumot!B153&amp;" ijrochi direktorining
"&amp;malumot!B171&amp;"dagi "&amp;malumot!B170&amp;"-sonli buyrug‘i"</f>
        <v>«CLEVER MIKROMOLIYA TASHKILOTI» MChJ ijrochi direktorining
11 mart 2025 y.dagi № 23-AL-sonli buyrug‘i</v>
      </c>
      <c r="B4" s="287"/>
      <c r="C4" s="287"/>
      <c r="D4" s="287"/>
      <c r="E4" s="287"/>
    </row>
    <row r="5" spans="1:5">
      <c r="A5" s="287"/>
      <c r="B5" s="287"/>
      <c r="C5" s="287"/>
      <c r="D5" s="287"/>
      <c r="E5" s="287"/>
    </row>
    <row r="6" spans="1:5">
      <c r="A6" s="287"/>
      <c r="B6" s="287"/>
      <c r="C6" s="287"/>
      <c r="D6" s="287"/>
      <c r="E6" s="287"/>
    </row>
    <row r="7" spans="1:5">
      <c r="A7" s="288"/>
      <c r="B7" s="288"/>
      <c r="C7" s="288"/>
      <c r="D7" s="288"/>
      <c r="E7" s="288"/>
    </row>
    <row r="8" spans="1:5" ht="44.25" customHeight="1">
      <c r="A8" s="288" t="str">
        <f>"Men, Abduraximov Nadirbek Kamilevich "&amp;malumot!B153&amp;" ijrochi direktori, jismoniy shaxs "&amp;malumot!B10&amp;"ga quyidagi shartlarda "&amp;malumot!B65&amp;" berishni buyuraman:"</f>
        <v>Men, Abduraximov Nadirbek Kamilevich «CLEVER MIKROMOLIYA TASHKILOTI» MChJ ijrochi direktori, jismoniy shaxs NUTFULLAYEV AKBARJON AXMEDOVICHga quyidagi shartlarda mikroqarz berishni buyuraman:</v>
      </c>
      <c r="B8" s="288"/>
      <c r="C8" s="288"/>
      <c r="D8" s="288"/>
      <c r="E8" s="288"/>
    </row>
    <row r="9" spans="1:5" ht="26.25" customHeight="1">
      <c r="A9" s="288" t="str">
        <f>'Кредитная заявка'!A13:D13</f>
        <v>Mikroqarz summasi: 27 000 000,00 (yigirma yetti million so'm) so'm.</v>
      </c>
      <c r="B9" s="288"/>
      <c r="C9" s="288"/>
      <c r="D9" s="288"/>
      <c r="E9" s="288"/>
    </row>
    <row r="10" spans="1:5" ht="21" customHeight="1">
      <c r="A10" s="288" t="str">
        <f>'Кредитная заявка'!A14:D14</f>
        <v>Mikroqarz muddati: 36 (o'ttiz olti) oy.</v>
      </c>
      <c r="B10" s="288"/>
      <c r="C10" s="288"/>
      <c r="D10" s="288"/>
      <c r="E10" s="288"/>
    </row>
    <row r="11" spans="1:5" ht="27" customHeight="1">
      <c r="A11" s="288" t="str">
        <f>'Кредитная заявка'!A15:D15</f>
        <v>Mikroqarzdan foydalanganlik uchun foiz stavkasi: yillik  60% (Oltmish) foiz</v>
      </c>
      <c r="B11" s="288"/>
      <c r="C11" s="288"/>
      <c r="D11" s="288"/>
      <c r="E11" s="288"/>
    </row>
    <row r="12" spans="1:5" ht="26.25" customHeight="1">
      <c r="A12" s="288" t="str">
        <f>'Кредитная заявка'!A16:D16</f>
        <v>Mikroqarz bo'yicha asosiy qarz va foizlarni to'lash:</v>
      </c>
      <c r="B12" s="288"/>
      <c r="C12" s="288"/>
      <c r="D12" s="288"/>
      <c r="E12" s="288"/>
    </row>
    <row r="13" spans="1:5" ht="21.75" hidden="1" customHeight="1">
      <c r="A13" s="288" t="str">
        <f>'Кредитная заявка'!A17:D17</f>
        <v xml:space="preserve"> - mikroqarz shartnomasi bo'yicha har oy differensial to'lovlari amalga oshiriladi</v>
      </c>
      <c r="B13" s="288"/>
      <c r="C13" s="288"/>
      <c r="D13" s="288"/>
      <c r="E13" s="288"/>
    </row>
    <row r="14" spans="1:5" hidden="1">
      <c r="A14" s="288" t="str">
        <f>'Кредитная заявка'!A19:D19</f>
        <v xml:space="preserve"> - mikroqarz shartnomasi bo'yicha har oy differensial to'lovlari amalga oshiriladi</v>
      </c>
      <c r="B14" s="288"/>
      <c r="C14" s="288"/>
      <c r="D14" s="288"/>
      <c r="E14" s="288"/>
    </row>
    <row r="15" spans="1:5" ht="23.25" customHeight="1">
      <c r="A15" s="288" t="str">
        <f>IF(malumot!B109="Avtotransport",buyruq!A14:E14,buyruq!A13:E13)</f>
        <v xml:space="preserve"> - mikroqarz shartnomasi bo'yicha har oy differensial to'lovlari amalga oshiriladi</v>
      </c>
      <c r="B15" s="288"/>
      <c r="C15" s="288"/>
      <c r="D15" s="288"/>
      <c r="E15" s="288"/>
    </row>
    <row r="16" spans="1:5" ht="45.75" customHeight="1">
      <c r="A16" s="289" t="str">
        <f>IF(malumot!B109=malumot!D109,""&amp;malumot!C123&amp;"ga tegishli "&amp;malumot!C132&amp;" ko'rinishidagi ko'chmas mulkni quyidagi ma'lumotlarga muvofiq  garovga qabul qilinsin:",""&amp;malumot!B123&amp;"ga tegishli "&amp;malumot!B131&amp;" ko'rinishidagi transport vositasini quyidagi ma'lumotlarga muvofiq garovga qabul qilinsin:")</f>
        <v>NUTFULLAYEV AKBARJON AXMEDOVICHga tegishli CHANGAN CHANGAN SC 1027SB ko'rinishidagi transport vositasini quyidagi ma'lumotlarga muvofiq garovga qabul qilinsin:</v>
      </c>
      <c r="B16" s="289"/>
      <c r="C16" s="289"/>
      <c r="D16" s="289"/>
      <c r="E16" s="289"/>
    </row>
    <row r="17" spans="1:5" ht="50.25" hidden="1" customHeight="1">
      <c r="A17" s="288" t="str">
        <f>""&amp;malumot!C123&amp;"ga tegishli "&amp;malumot!C132&amp;" ko'rinishidagi ko'chmas mulkni quyidagi ma'lumotlarga muvofiq  garovga qabul qilinsin:"</f>
        <v>NUTFULLAYEV AKBARJON AXMEDOVICHga tegishli 3 - xonali yakka tartibdagi uy-joy ko'rinishidagi ko'chmas mulkni quyidagi ma'lumotlarga muvofiq  garovga qabul qilinsin:</v>
      </c>
      <c r="B17" s="288"/>
      <c r="C17" s="288"/>
      <c r="D17" s="288"/>
      <c r="E17" s="288"/>
    </row>
    <row r="18" spans="1:5" ht="47.25" hidden="1" customHeight="1">
      <c r="A18" s="288" t="str">
        <f>""&amp;malumot!B123&amp;"ga tegishli "&amp;malumot!B131&amp;" ko'rinishidagi transport vositasini quyidagi ma'lumotlarga muvofiq garovga qabul qilinsin:"</f>
        <v>NUTFULLAYEV AKBARJON AXMEDOVICHga tegishli CHANGAN CHANGAN SC 1027SB ko'rinishidagi transport vositasini quyidagi ma'lumotlarga muvofiq garovga qabul qilinsin:</v>
      </c>
      <c r="B18" s="288"/>
      <c r="C18" s="288"/>
      <c r="D18" s="288"/>
      <c r="E18" s="288"/>
    </row>
    <row r="19" spans="1:5" s="37" customFormat="1" ht="60" customHeight="1" outlineLevel="1">
      <c r="A19" s="39" t="str">
        <f>dalolatnoma!A29</f>
        <v>Nomi</v>
      </c>
      <c r="B19" s="39" t="str">
        <f>dalolatnoma!B29</f>
        <v>Kuzov turi  va kuzov raqami*</v>
      </c>
      <c r="C19" s="39" t="str">
        <f>dalolatnoma!C29</f>
        <v>Dvigatel va shassi raqami*</v>
      </c>
      <c r="D19" s="39" t="str">
        <f>dalolatnoma!D29</f>
        <v>Ishlab chiqarilgan yili va rangi*</v>
      </c>
      <c r="E19" s="39" t="str">
        <f>dalolatnoma!E29</f>
        <v>Kelishilgan garov qiymati, so'm</v>
      </c>
    </row>
    <row r="20" spans="1:5" ht="94.5" customHeight="1" outlineLevel="1">
      <c r="A20" s="17" t="str">
        <f>dalolatnoma!A30</f>
        <v>CHANGAN CHANGAN SC 1027SB</v>
      </c>
      <c r="B20" s="17" t="str">
        <f>dalolatnoma!B30</f>
        <v>kuzov turi - YUK BORTLI TENT, kuzov raqami LSCAB23D8EG228387</v>
      </c>
      <c r="C20" s="17" t="str">
        <f>dalolatnoma!C30</f>
        <v>dvigatel raqami JL466Q1%E61H022801, shassi raqami - URINDIKLAR SONI 5TA</v>
      </c>
      <c r="D20" s="17" t="str">
        <f>dalolatnoma!D30</f>
        <v>rangi -  OQ BELIY, ishlab chiqarilgan yili - 2014</v>
      </c>
      <c r="E20" s="17" t="str">
        <f>dalolatnoma!E30</f>
        <v>40 500 000,00 
(qirq million besh yuz ming so'm)</v>
      </c>
    </row>
    <row r="21" spans="1:5" ht="20.25" customHeight="1" outlineLevel="1">
      <c r="A21" s="288" t="str">
        <f>dalolatnoma!A22:E22</f>
        <v>-* avtotransport egasi: NUTFULLAYEV AKBARJON AXMEDOVICH</v>
      </c>
      <c r="B21" s="288"/>
      <c r="C21" s="288"/>
      <c r="D21" s="288"/>
      <c r="E21" s="288"/>
    </row>
    <row r="22" spans="1:5" ht="20.25" customHeight="1" outlineLevel="1">
      <c r="A22" s="288" t="str">
        <f>dalolatnoma!A23:E23</f>
        <v>-* texnik pasport: AAG   2346592  13.09.2023y</v>
      </c>
      <c r="B22" s="288"/>
      <c r="C22" s="288"/>
      <c r="D22" s="288"/>
      <c r="E22" s="288"/>
    </row>
    <row r="23" spans="1:5" ht="36" customHeight="1" outlineLevel="1">
      <c r="A23" s="288" t="str">
        <f>dalolatnoma!A24:E24</f>
        <v>-* roʻyxatdan oʻtgan manzili/garaj manzili: BUXORO VILOYATI BUXORO SHAHAR TADBIRKOR KO'CHASI 12-UY</v>
      </c>
      <c r="B23" s="288"/>
      <c r="C23" s="288"/>
      <c r="D23" s="288"/>
      <c r="E23" s="288"/>
    </row>
    <row r="24" spans="1:5" ht="31.5" customHeight="1" outlineLevel="1">
      <c r="A24" s="288" t="str">
        <f>dalolatnoma!A25:E25</f>
        <v>-* davlat raqami: 80T312WA</v>
      </c>
      <c r="B24" s="288"/>
      <c r="C24" s="288"/>
      <c r="D24" s="288"/>
      <c r="E24" s="288"/>
    </row>
    <row r="25" spans="1:5" ht="23.25" customHeight="1">
      <c r="A25" s="225"/>
      <c r="B25" s="126" t="s">
        <v>378</v>
      </c>
      <c r="D25" s="226"/>
      <c r="E25" s="225"/>
    </row>
    <row r="26" spans="1:5" ht="22.5" customHeight="1">
      <c r="A26" s="225"/>
      <c r="B26" s="126" t="s">
        <v>332</v>
      </c>
      <c r="D26" s="226"/>
      <c r="E26" s="225"/>
    </row>
    <row r="27" spans="1:5">
      <c r="A27" s="225"/>
      <c r="B27" s="226" t="s">
        <v>423</v>
      </c>
      <c r="D27" s="225"/>
      <c r="E27" s="225"/>
    </row>
  </sheetData>
  <mergeCells count="17">
    <mergeCell ref="A23:E23"/>
    <mergeCell ref="A24:E24"/>
    <mergeCell ref="A4:E6"/>
    <mergeCell ref="A22:E22"/>
    <mergeCell ref="A14:E14"/>
    <mergeCell ref="A18:E18"/>
    <mergeCell ref="A7:E7"/>
    <mergeCell ref="A8:E8"/>
    <mergeCell ref="A13:E13"/>
    <mergeCell ref="A9:E9"/>
    <mergeCell ref="A10:E10"/>
    <mergeCell ref="A11:E11"/>
    <mergeCell ref="A12:E12"/>
    <mergeCell ref="A21:E21"/>
    <mergeCell ref="A15:E15"/>
    <mergeCell ref="A17:E17"/>
    <mergeCell ref="A16:E16"/>
  </mergeCells>
  <pageMargins left="0.70866141732283472" right="0.70866141732283472" top="0.74803149606299213" bottom="0.74803149606299213" header="0.31496062992125984" footer="0.31496062992125984"/>
  <pageSetup paperSize="9" scale="83"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H39"/>
  <sheetViews>
    <sheetView tabSelected="1" view="pageBreakPreview" topLeftCell="A22" zoomScaleNormal="100" zoomScaleSheetLayoutView="100" workbookViewId="0">
      <selection activeCell="A37" sqref="A37:D39"/>
    </sheetView>
  </sheetViews>
  <sheetFormatPr defaultRowHeight="15"/>
  <cols>
    <col min="1" max="1" width="24.7109375" style="61" customWidth="1"/>
    <col min="2" max="2" width="24.28515625" style="61" customWidth="1"/>
    <col min="3" max="3" width="20.7109375" style="61" customWidth="1"/>
    <col min="4" max="4" width="18" style="61" customWidth="1"/>
    <col min="5" max="5" width="25.140625" style="61"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c r="A1" s="291" t="str">
        <f>""&amp;malumot!B153&amp;"
mikromoliya tashkiloti
Kredit qo‘mitasining yig‘ilishi"</f>
        <v>«CLEVER MIKROMOLIYA TASHKILOTI» MChJ
mikromoliya tashkiloti
Kredit qo‘mitasining yig‘ilishi</v>
      </c>
      <c r="B1" s="291"/>
      <c r="C1" s="291"/>
      <c r="D1" s="291"/>
      <c r="E1" s="291"/>
    </row>
    <row r="2" spans="1:33" ht="29.25" customHeight="1">
      <c r="A2" s="291" t="str">
        <f>""&amp;H7&amp;" protokolidan ko'chirma"</f>
        <v>№ 23-AL protokolidan ko'chirma</v>
      </c>
      <c r="B2" s="291"/>
      <c r="C2" s="291"/>
      <c r="D2" s="291"/>
      <c r="E2" s="291"/>
    </row>
    <row r="3" spans="1:33" ht="29.25" customHeight="1">
      <c r="A3" s="127" t="s">
        <v>203</v>
      </c>
      <c r="B3" s="50"/>
      <c r="C3" s="50"/>
      <c r="D3" s="50"/>
      <c r="E3" s="128" t="str">
        <f>malumot!B68</f>
        <v>11 mart 2025 y.</v>
      </c>
    </row>
    <row r="4" spans="1:33" ht="29.25" customHeight="1">
      <c r="A4" s="50"/>
      <c r="B4" s="291" t="s">
        <v>202</v>
      </c>
      <c r="C4" s="291"/>
      <c r="D4" s="291"/>
      <c r="E4" s="50"/>
    </row>
    <row r="5" spans="1:33" ht="36" customHeight="1">
      <c r="A5" s="290" t="str">
        <f>"         "&amp;H8&amp;"."&amp;malumot!B5&amp;" ga "&amp;malumot!B65&amp;" berish masalasini ko‘rib chiqish to‘g‘risida."</f>
        <v xml:space="preserve">         1.NUTFULLAYEV AKBARJON AXMEDOVICH ga mikroqarz berish masalasini ko‘rib chiqish to‘g‘risida.</v>
      </c>
      <c r="B5" s="290"/>
      <c r="C5" s="290"/>
      <c r="D5" s="290"/>
      <c r="E5" s="290"/>
    </row>
    <row r="7" spans="1:33" ht="21" customHeight="1">
      <c r="A7" s="288" t="str">
        <f>"      "&amp;H9&amp;" masala yuzasidan: «Clever Mikromoliya Tashkiloti» MChJ mikromoliya tashkiloti kredit bo‘yicha menejeri  "&amp;malumot!B5&amp;"ga "&amp;FIXED(malumot!B75)&amp;" ("&amp;malumot!B76&amp;") so‘m miqdorida, muddati "&amp;malumot!B81&amp;" ("&amp;malumot!B82&amp;") oyga va yillik 60 (Oltmish) foiz miqdorida "&amp;malumot!B65&amp;" berich bo‘yicha "&amp;malumot!B5&amp;"ning kredit arizasi va "&amp;malumot!B153&amp;"ning xulosasi bilan ishtirokchilarni tanishtirdi."</f>
        <v xml:space="preserve">      Birinchi masala yuzasidan: «Clever Mikromoliya Tashkiloti» MChJ mikromoliya tashkiloti kredit bo‘yicha menejeri  NUTFULLAYEV AKBARJON AXMEDOVICHga 27 000 000,00 (yigirma yetti million so'm) so‘m miqdorida, muddati 36 (o'ttiz olti) oyga va yillik 60 (Oltmish) foiz miqdorida mikroqarz berich bo‘yicha NUTFULLAYEV AKBARJON AXMEDOVICHning kredit arizasi va «CLEVER MIKROMOLIYA TASHKILOTI» MChJning xulosasi bilan ishtirokchilarni tanishtirdi.</v>
      </c>
      <c r="B7" s="288"/>
      <c r="C7" s="288"/>
      <c r="D7" s="288"/>
      <c r="E7" s="288"/>
      <c r="G7" s="62" t="s">
        <v>257</v>
      </c>
      <c r="H7" s="63" t="str">
        <f>malumot!B1</f>
        <v>№ 23-AL</v>
      </c>
    </row>
    <row r="8" spans="1:33" ht="23.25">
      <c r="A8" s="288"/>
      <c r="B8" s="288"/>
      <c r="C8" s="288"/>
      <c r="D8" s="288"/>
      <c r="E8" s="288"/>
      <c r="G8" s="62" t="s">
        <v>258</v>
      </c>
      <c r="H8" s="63">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24" customHeight="1">
      <c r="A9" s="288"/>
      <c r="B9" s="288"/>
      <c r="C9" s="288"/>
      <c r="D9" s="288"/>
      <c r="E9" s="288"/>
      <c r="G9" s="62" t="s">
        <v>259</v>
      </c>
      <c r="H9" s="63" t="str">
        <f>IF(H8=I8,I9,IF(H8=J8,J9,IF(H8=K8,K9,IF(H8=L8,L9,IF(H8=M8,M9,IF(H8=N8,N9,IF(H8=O8,O9,IF(H8=P8,P9,IF(H8=Q8,Q9,IF(H8=R8,R9,IF(H8=S8,S9,IF(H8=T8,T9,IF(H8=U8,U9,IF(H8=V8,V9,IF(H8=W8,W9,IF(H8=X8,X9,IF(H8=Y8,Y9,IF(H8=Z8,Z9,IF(H8=AA8,AA9,IF(H8=AB8,AB9,IF(H8=AC8,AC9,IF(H8=AD8,AD9,IF(H8=AE8,AE9,IF(H8=AF8,AF9,IF(H8=AG8,AG9)))))))))))))))))))))))))</f>
        <v>Birinchi</v>
      </c>
      <c r="I9" s="146" t="s">
        <v>190</v>
      </c>
      <c r="J9" s="147" t="s">
        <v>191</v>
      </c>
      <c r="K9" s="147" t="s">
        <v>192</v>
      </c>
      <c r="L9" s="147" t="s">
        <v>368</v>
      </c>
      <c r="M9" s="147" t="s">
        <v>193</v>
      </c>
      <c r="N9" s="147" t="s">
        <v>369</v>
      </c>
      <c r="O9" s="147" t="s">
        <v>194</v>
      </c>
      <c r="P9" s="147" t="s">
        <v>195</v>
      </c>
      <c r="Q9" s="147" t="s">
        <v>196</v>
      </c>
      <c r="R9" s="147" t="s">
        <v>358</v>
      </c>
      <c r="S9" s="147" t="s">
        <v>359</v>
      </c>
      <c r="T9" s="147" t="s">
        <v>360</v>
      </c>
      <c r="U9" s="147" t="s">
        <v>361</v>
      </c>
      <c r="V9" s="147" t="s">
        <v>370</v>
      </c>
      <c r="W9" s="147" t="s">
        <v>362</v>
      </c>
      <c r="X9" s="147" t="s">
        <v>363</v>
      </c>
      <c r="Y9" s="147" t="s">
        <v>364</v>
      </c>
      <c r="Z9" s="147" t="s">
        <v>365</v>
      </c>
      <c r="AA9" s="147" t="s">
        <v>366</v>
      </c>
      <c r="AB9" s="147" t="s">
        <v>197</v>
      </c>
      <c r="AC9" s="147" t="s">
        <v>198</v>
      </c>
      <c r="AD9" s="147" t="s">
        <v>199</v>
      </c>
      <c r="AE9" s="147" t="s">
        <v>200</v>
      </c>
      <c r="AF9" s="147" t="s">
        <v>367</v>
      </c>
      <c r="AG9" s="147" t="s">
        <v>201</v>
      </c>
    </row>
    <row r="10" spans="1:33" ht="10.5" hidden="1" customHeight="1">
      <c r="A10" s="288"/>
      <c r="B10" s="288"/>
      <c r="C10" s="288"/>
      <c r="D10" s="288"/>
      <c r="E10" s="288"/>
    </row>
    <row r="11" spans="1:33" ht="9" hidden="1" customHeight="1">
      <c r="A11" s="288"/>
      <c r="B11" s="288"/>
      <c r="C11" s="288"/>
      <c r="D11" s="288"/>
      <c r="E11" s="288"/>
    </row>
    <row r="12" spans="1:33" ht="3" hidden="1" customHeight="1">
      <c r="A12" s="288"/>
      <c r="B12" s="288"/>
      <c r="C12" s="288"/>
      <c r="D12" s="288"/>
      <c r="E12" s="288"/>
    </row>
    <row r="13" spans="1:33" ht="7.5" customHeight="1"/>
    <row r="14" spans="1:33" ht="15.75" customHeight="1">
      <c r="A14" s="289" t="str">
        <f>""&amp;malumot!C64&amp;" ta’minoti:"</f>
        <v>Mikroqarz ta’minoti:</v>
      </c>
      <c r="B14" s="289"/>
      <c r="C14" s="289"/>
      <c r="D14" s="289"/>
      <c r="E14" s="289"/>
    </row>
    <row r="15" spans="1:33" ht="7.5" customHeight="1"/>
    <row r="16" spans="1:33" ht="57" customHeight="1">
      <c r="A16" s="288" t="str">
        <f>xulosa!A18:E18</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6" s="288"/>
      <c r="C16" s="288"/>
      <c r="D16" s="288"/>
      <c r="E16" s="288"/>
    </row>
    <row r="17" spans="1:5" ht="17.25" customHeight="1">
      <c r="C17" s="148" t="s">
        <v>377</v>
      </c>
      <c r="D17" s="148" t="str">
        <f>""&amp;malumot!B153&amp;" kredit qo‘mitasi"</f>
        <v>«CLEVER MIKROMOLIYA TASHKILOTI» MChJ kredit qo‘mitasi</v>
      </c>
      <c r="E17" s="148" t="str">
        <f>CONCATENATE(C17,D17)</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8" spans="1:5" ht="54" customHeight="1">
      <c r="A18" s="288" t="str">
        <f>CONCATENATE(H9,E17)</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8" s="288"/>
      <c r="C18" s="288"/>
      <c r="D18" s="288"/>
      <c r="E18" s="288"/>
    </row>
    <row r="19" spans="1:5" ht="24" customHeight="1">
      <c r="A19" s="292" t="s">
        <v>260</v>
      </c>
      <c r="B19" s="292"/>
      <c r="C19" s="292"/>
      <c r="D19" s="292"/>
      <c r="E19" s="292"/>
    </row>
    <row r="20" spans="1:5" ht="32.25" customHeight="1">
      <c r="A20" s="288" t="str">
        <f>"       "&amp;malumot!B5&amp;"ga quyidagi shartlarda "&amp;malumot!B65&amp;" berish masalasi ma’qullansin:"</f>
        <v xml:space="preserve">       NUTFULLAYEV AKBARJON AXMEDOVICHga quyidagi shartlarda mikroqarz berish masalasi ma’qullansin:</v>
      </c>
      <c r="B20" s="288"/>
      <c r="C20" s="288"/>
      <c r="D20" s="288"/>
      <c r="E20" s="288"/>
    </row>
    <row r="21" spans="1:5" s="129" customFormat="1" ht="18.75" customHeight="1">
      <c r="A21" s="290" t="str">
        <f>"1. "&amp;malumot!C64&amp;" summasi: "&amp;FIXED(malumot!B75)&amp;" ("&amp;malumot!B76&amp;") so'm."</f>
        <v>1. Mikroqarz summasi: 27 000 000,00 (yigirma yetti million so'm) so'm.</v>
      </c>
      <c r="B21" s="290"/>
      <c r="C21" s="290"/>
      <c r="D21" s="290"/>
      <c r="E21" s="290"/>
    </row>
    <row r="22" spans="1:5" s="129" customFormat="1" ht="18.75" customHeight="1">
      <c r="A22" s="290" t="str">
        <f>"2. "&amp;malumot!C64&amp;" muddati: "&amp;malumot!B81&amp;" ("&amp;malumot!B82&amp;") oy "</f>
        <v xml:space="preserve">2. Mikroqarz muddati: 36 (o'ttiz olti) oy </v>
      </c>
      <c r="B22" s="290"/>
      <c r="C22" s="290"/>
      <c r="D22" s="290"/>
      <c r="E22" s="290"/>
    </row>
    <row r="23" spans="1:5" s="129" customFormat="1" ht="18.75" customHeight="1">
      <c r="A23" s="290" t="str">
        <f>"3. "&amp;malumot!C64&amp;"dan foydalanganlik uchun foiz stavkasi:yillik "&amp;malumot!B85&amp;"% ("&amp;malumot!B86&amp;") foiz."</f>
        <v>3. Mikroqarzdan foydalanganlik uchun foiz stavkasi:yillik 60% (Oltmish) foiz.</v>
      </c>
      <c r="B23" s="290"/>
      <c r="C23" s="290"/>
      <c r="D23" s="290"/>
      <c r="E23" s="290"/>
    </row>
    <row r="24" spans="1:5" s="129" customFormat="1" ht="18.75" customHeight="1">
      <c r="A24" s="290" t="str">
        <f>"4. "&amp;malumot!C64&amp;" bo‘yicha asosiy qarz va foizlarni to‘lash:"</f>
        <v>4. Mikroqarz bo‘yicha asosiy qarz va foizlarni to‘lash:</v>
      </c>
      <c r="B24" s="290"/>
      <c r="C24" s="290"/>
      <c r="D24" s="290"/>
      <c r="E24" s="290"/>
    </row>
    <row r="25" spans="1:5" s="129" customFormat="1" ht="18.75" customHeight="1">
      <c r="A25" s="290" t="str">
        <f>'Кредитная заявка'!A19:D19</f>
        <v xml:space="preserve"> - mikroqarz shartnomasi bo'yicha har oy differensial to'lovlari amalga oshiriladi</v>
      </c>
      <c r="B25" s="290"/>
      <c r="C25" s="290"/>
      <c r="D25" s="290"/>
      <c r="E25" s="290"/>
    </row>
    <row r="26" spans="1:5" ht="48" customHeight="1">
      <c r="A26" s="288" t="str">
        <f>"5. "&amp;malumot!C64&amp;" bo‘yicha garov  "&amp;xulosa!A29:E29&amp;""</f>
        <v>5. Mikroqarz bo‘yicha garov   - NUTFULLAYEV AKBARJON AXMEDOVICH ga mulk huquqi asosida tegishli avtotransport vositasi CHANGAN CHANGAN SC 1027SB , quyidagi tafsilotlarga muvofiq:</v>
      </c>
      <c r="B26" s="288"/>
      <c r="C26" s="288"/>
      <c r="D26" s="288"/>
      <c r="E26" s="288"/>
    </row>
    <row r="27" spans="1:5" ht="40.5" customHeight="1">
      <c r="A27" s="17" t="str">
        <f>dalolatnoma!A29</f>
        <v>Nomi</v>
      </c>
      <c r="B27" s="17" t="str">
        <f>dalolatnoma!B29</f>
        <v>Kuzov turi  va kuzov raqami*</v>
      </c>
      <c r="C27" s="17" t="str">
        <f>dalolatnoma!C29</f>
        <v>Dvigatel va shassi raqami*</v>
      </c>
      <c r="D27" s="17" t="str">
        <f>dalolatnoma!D29</f>
        <v>Ishlab chiqarilgan yili va rangi*</v>
      </c>
      <c r="E27" s="17" t="str">
        <f>dalolatnoma!E29</f>
        <v>Kelishilgan garov qiymati, so'm</v>
      </c>
    </row>
    <row r="28" spans="1:5" ht="84" customHeight="1">
      <c r="A28" s="17" t="str">
        <f>dalolatnoma!A30</f>
        <v>CHANGAN CHANGAN SC 1027SB</v>
      </c>
      <c r="B28" s="17" t="str">
        <f>dalolatnoma!B30</f>
        <v>kuzov turi - YUK BORTLI TENT, kuzov raqami LSCAB23D8EG228387</v>
      </c>
      <c r="C28" s="17" t="str">
        <f>dalolatnoma!C30</f>
        <v>dvigatel raqami JL466Q1%E61H022801, shassi raqami - URINDIKLAR SONI 5TA</v>
      </c>
      <c r="D28" s="17" t="str">
        <f>dalolatnoma!D30</f>
        <v>rangi -  OQ BELIY, ishlab chiqarilgan yili - 2014</v>
      </c>
      <c r="E28" s="17" t="str">
        <f>dalolatnoma!E30</f>
        <v>40 500 000,00 
(qirq million besh yuz ming so'm)</v>
      </c>
    </row>
    <row r="29" spans="1:5" ht="20.25" customHeight="1">
      <c r="A29" s="288" t="str">
        <f>dalolatnoma!A22:E22</f>
        <v>-* avtotransport egasi: NUTFULLAYEV AKBARJON AXMEDOVICH</v>
      </c>
      <c r="B29" s="288"/>
      <c r="C29" s="288"/>
      <c r="D29" s="288"/>
      <c r="E29" s="288"/>
    </row>
    <row r="30" spans="1:5" ht="20.25" customHeight="1">
      <c r="A30" s="288" t="str">
        <f>dalolatnoma!A23:E23</f>
        <v>-* texnik pasport: AAG   2346592  13.09.2023y</v>
      </c>
      <c r="B30" s="288"/>
      <c r="C30" s="288"/>
      <c r="D30" s="288"/>
      <c r="E30" s="288"/>
    </row>
    <row r="31" spans="1:5" ht="22.5" customHeight="1">
      <c r="A31" s="288" t="str">
        <f>dalolatnoma!A24:E24</f>
        <v>-* roʻyxatdan oʻtgan manzili/garaj manzili: BUXORO VILOYATI BUXORO SHAHAR TADBIRKOR KO'CHASI 12-UY</v>
      </c>
      <c r="B31" s="288"/>
      <c r="C31" s="288"/>
      <c r="D31" s="288"/>
      <c r="E31" s="288"/>
    </row>
    <row r="32" spans="1:5" ht="25.5" customHeight="1">
      <c r="A32" s="288" t="str">
        <f>dalolatnoma!A25:E25</f>
        <v>-* davlat raqami: 80T312WA</v>
      </c>
      <c r="B32" s="288"/>
      <c r="C32" s="288"/>
      <c r="D32" s="288"/>
      <c r="E32" s="288"/>
    </row>
    <row r="33" spans="1:5" ht="12" customHeight="1">
      <c r="A33" s="130"/>
      <c r="B33" s="130"/>
      <c r="C33" s="130"/>
      <c r="D33" s="130"/>
      <c r="E33" s="130"/>
    </row>
    <row r="34" spans="1:5" ht="20.25" customHeight="1">
      <c r="A34" s="288" t="str">
        <f>"6. Boshqa shartlar – "&amp;IF(malumot!B109=malumot!B110,"avtotransport vositasi",IF(malumot!B109=malumot!C110,"ko'chmas mulk",0))&amp;" shaklida garov ta'minlangandan keyin "&amp;malumot!B65&amp;" berish."</f>
        <v>6. Boshqa shartlar – 0 shaklida garov ta'minlangandan keyin mikroqarz berish.</v>
      </c>
      <c r="B34" s="288"/>
      <c r="C34" s="288"/>
      <c r="D34" s="288"/>
      <c r="E34" s="288"/>
    </row>
    <row r="36" spans="1:5" ht="29.25" customHeight="1">
      <c r="A36" s="296" t="s">
        <v>261</v>
      </c>
      <c r="B36" s="296"/>
      <c r="C36" s="296"/>
      <c r="D36" s="296"/>
      <c r="E36" s="296"/>
    </row>
    <row r="37" spans="1:5" ht="33" customHeight="1">
      <c r="A37" s="260"/>
      <c r="B37" s="293" t="str">
        <f>malumot!B153&amp;" ijrochi direktori"</f>
        <v>«CLEVER MIKROMOLIYA TASHKILOTI» MChJ ijrochi direktori</v>
      </c>
      <c r="C37" s="293"/>
      <c r="D37" s="262" t="s">
        <v>423</v>
      </c>
      <c r="E37" s="255"/>
    </row>
    <row r="38" spans="1:5" ht="18.75" customHeight="1">
      <c r="A38" s="222"/>
      <c r="B38" s="294" t="str">
        <f>malumot!A165</f>
        <v>Kreditlash bo’limi boshlig’i</v>
      </c>
      <c r="C38" s="294"/>
      <c r="D38" s="263" t="str">
        <f>malumot!B165</f>
        <v>B. Mominov</v>
      </c>
      <c r="E38" s="256"/>
    </row>
    <row r="39" spans="1:5" ht="23.25" customHeight="1">
      <c r="A39" s="260"/>
      <c r="B39" s="295" t="str">
        <f>malumot!A166</f>
        <v>Monitoring bo’limi boshlig’i</v>
      </c>
      <c r="C39" s="295"/>
      <c r="D39" s="264" t="str">
        <f>malumot!B166</f>
        <v>B. Jumanazarov</v>
      </c>
      <c r="E39" s="257"/>
    </row>
  </sheetData>
  <mergeCells count="25">
    <mergeCell ref="B37:C37"/>
    <mergeCell ref="B38:C38"/>
    <mergeCell ref="B39:C39"/>
    <mergeCell ref="A23:E23"/>
    <mergeCell ref="A24:E24"/>
    <mergeCell ref="A25:E25"/>
    <mergeCell ref="A36:E36"/>
    <mergeCell ref="A32:E32"/>
    <mergeCell ref="A26:E26"/>
    <mergeCell ref="A29:E29"/>
    <mergeCell ref="A30:E30"/>
    <mergeCell ref="A31:E31"/>
    <mergeCell ref="A34:E34"/>
    <mergeCell ref="A22:E22"/>
    <mergeCell ref="A1:E1"/>
    <mergeCell ref="A2:E2"/>
    <mergeCell ref="B4:D4"/>
    <mergeCell ref="A5:E5"/>
    <mergeCell ref="A7:E12"/>
    <mergeCell ref="A14:E14"/>
    <mergeCell ref="A16:E16"/>
    <mergeCell ref="A18:E18"/>
    <mergeCell ref="A19:E19"/>
    <mergeCell ref="A20:E20"/>
    <mergeCell ref="A21:E21"/>
  </mergeCells>
  <pageMargins left="0.70866141732283472" right="0.70866141732283472" top="0.74803149606299213" bottom="0.74803149606299213" header="0.31496062992125984" footer="0.31496062992125984"/>
  <pageSetup paperSize="9" scale="72" orientation="portrait" verticalDpi="300" r:id="rId1"/>
  <colBreaks count="1" manualBreakCount="1">
    <brk id="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9">
    <tabColor theme="1"/>
  </sheetPr>
  <dimension ref="A1:V64"/>
  <sheetViews>
    <sheetView zoomScale="70" zoomScaleNormal="70" zoomScaleSheetLayoutView="70" workbookViewId="0">
      <selection activeCell="D43" sqref="D43"/>
    </sheetView>
  </sheetViews>
  <sheetFormatPr defaultColWidth="9.140625" defaultRowHeight="15" outlineLevelCol="1"/>
  <cols>
    <col min="1" max="1" width="9.140625" style="83"/>
    <col min="2" max="2" width="12.28515625" style="83" customWidth="1"/>
    <col min="3" max="3" width="16.5703125" style="83" customWidth="1"/>
    <col min="4" max="4" width="16.7109375" style="83" customWidth="1"/>
    <col min="5" max="5" width="16.5703125" style="83" customWidth="1"/>
    <col min="6" max="6" width="20.85546875" style="83" customWidth="1"/>
    <col min="7" max="7" width="10.140625" style="83" customWidth="1" outlineLevel="1"/>
    <col min="8" max="8" width="19.140625" style="83" customWidth="1"/>
    <col min="9" max="9" width="21.42578125" style="83" customWidth="1"/>
    <col min="10" max="10" width="20.85546875" style="83" customWidth="1"/>
    <col min="11" max="11" width="20.140625" style="83" customWidth="1"/>
    <col min="12" max="12" width="21.42578125" style="83" customWidth="1"/>
    <col min="13" max="13" width="25.42578125" style="83" customWidth="1"/>
    <col min="14" max="14" width="18.28515625" style="83" customWidth="1"/>
    <col min="15" max="17" width="9.140625" style="15"/>
    <col min="18" max="18" width="24.42578125" style="15" customWidth="1"/>
    <col min="19" max="16384" width="9.140625" style="15"/>
  </cols>
  <sheetData>
    <row r="1" spans="1:22">
      <c r="A1" s="82"/>
      <c r="B1" s="82"/>
      <c r="C1" s="82"/>
      <c r="D1" s="82"/>
      <c r="E1" s="297" t="s">
        <v>16</v>
      </c>
      <c r="F1" s="297"/>
    </row>
    <row r="2" spans="1:22">
      <c r="A2" s="82"/>
      <c r="B2" s="82"/>
      <c r="C2" s="82"/>
      <c r="D2" s="82"/>
      <c r="E2" s="82"/>
      <c r="F2" s="84" t="str">
        <f>"к договору микрозайма "&amp;malumot!B74&amp;""</f>
        <v>к договору микрозайма 11 mart 2025 y.dan № 23-AL</v>
      </c>
    </row>
    <row r="3" spans="1:22" ht="19.5" customHeight="1">
      <c r="A3" s="82"/>
      <c r="B3" s="82"/>
      <c r="C3" s="82"/>
      <c r="D3" s="82"/>
      <c r="E3" s="82"/>
      <c r="F3" s="82"/>
      <c r="H3" s="85"/>
      <c r="I3" s="85"/>
      <c r="J3" s="86"/>
      <c r="K3" s="86"/>
    </row>
    <row r="4" spans="1:22" ht="19.5" customHeight="1">
      <c r="A4" s="298" t="s">
        <v>17</v>
      </c>
      <c r="B4" s="298"/>
      <c r="C4" s="298"/>
      <c r="D4" s="298"/>
      <c r="E4" s="298"/>
      <c r="F4" s="298"/>
      <c r="H4" s="85"/>
      <c r="I4" s="85"/>
      <c r="J4" s="85"/>
      <c r="K4" s="85"/>
    </row>
    <row r="5" spans="1:22" ht="19.5" customHeight="1">
      <c r="L5" s="83">
        <f>malumot!B81</f>
        <v>36</v>
      </c>
    </row>
    <row r="6" spans="1:22">
      <c r="A6" s="299" t="s">
        <v>15</v>
      </c>
      <c r="B6" s="300" t="s">
        <v>9</v>
      </c>
      <c r="C6" s="300" t="s">
        <v>10</v>
      </c>
      <c r="D6" s="301" t="s">
        <v>11</v>
      </c>
      <c r="E6" s="301"/>
      <c r="F6" s="301"/>
    </row>
    <row r="7" spans="1:22" s="16" customFormat="1">
      <c r="A7" s="299"/>
      <c r="B7" s="300"/>
      <c r="C7" s="300"/>
      <c r="D7" s="87" t="s">
        <v>12</v>
      </c>
      <c r="E7" s="87" t="s">
        <v>13</v>
      </c>
      <c r="F7" s="87" t="s">
        <v>14</v>
      </c>
      <c r="G7" s="88"/>
      <c r="H7" s="88"/>
      <c r="I7" s="88"/>
      <c r="J7" s="88"/>
      <c r="K7" s="88"/>
      <c r="L7" s="88"/>
      <c r="M7" s="88"/>
      <c r="N7" s="88"/>
    </row>
    <row r="8" spans="1:22">
      <c r="A8" s="89">
        <v>1</v>
      </c>
      <c r="B8" s="90">
        <f>malumot!B79</f>
        <v>45754</v>
      </c>
      <c r="C8" s="51">
        <f>malumot!B75</f>
        <v>27000000</v>
      </c>
      <c r="D8" s="51">
        <f>IF(IF(C8=0,L8,IF(C8&gt;1,I8))="",0,(IF(C8=0,L8,IF(C8&gt;1,I8))))</f>
        <v>750000</v>
      </c>
      <c r="E8" s="51">
        <f>IF(C8=0,N6,IF(C8&gt;1,L8))</f>
        <v>1198356.1199999999</v>
      </c>
      <c r="F8" s="51">
        <f>IF(C8=0,O6,IF(C8&gt;1,M8))</f>
        <v>1948356.1199999999</v>
      </c>
      <c r="G8" s="103">
        <f>B8-malumot!B67</f>
        <v>27</v>
      </c>
      <c r="H8" s="83">
        <f>DATE(YEAR(B8),12,31)-DATE(YEAR(B8),1,1)+1</f>
        <v>365</v>
      </c>
      <c r="I8" s="91">
        <f>IF(malumot!B83=0,ROUND(C8/L5,2),"")</f>
        <v>750000</v>
      </c>
      <c r="J8" s="91"/>
      <c r="K8" s="91"/>
      <c r="L8" s="85">
        <f>ROUND(C8*malumot!$B$84/H8,2)*G8</f>
        <v>1198356.1199999999</v>
      </c>
      <c r="M8" s="85">
        <f t="shared" ref="M8:M31" si="0">D8+E8</f>
        <v>1948356.1199999999</v>
      </c>
      <c r="N8" s="85"/>
      <c r="O8" s="100" t="str">
        <f>TEXT(B8,"ддд")</f>
        <v>Пн</v>
      </c>
      <c r="P8" s="102">
        <f>IF(O8=$U$8,2,IF(O8=$V$8,1,0))</f>
        <v>0</v>
      </c>
      <c r="Q8" s="102">
        <f>DAY(malumot!$B$78)+P8</f>
        <v>5</v>
      </c>
      <c r="R8" s="97"/>
      <c r="S8" s="98" t="s">
        <v>32</v>
      </c>
      <c r="T8" s="98" t="s">
        <v>33</v>
      </c>
      <c r="U8" s="98" t="s">
        <v>34</v>
      </c>
      <c r="V8" s="99" t="s">
        <v>35</v>
      </c>
    </row>
    <row r="9" spans="1:22">
      <c r="A9" s="89">
        <v>2</v>
      </c>
      <c r="B9" s="90">
        <f>IF(A9&lt;=malumot!$B$81,DATE(YEAR(R9),MONTH(R9),DAY(IF(A9=malumot!$B$81,malumot!$B$67,IF(A9&lt;malumot!$B$81,(Q9),IF(A9&gt;malumot!$B$81,$H$44,0))))))</f>
        <v>45782</v>
      </c>
      <c r="C9" s="51">
        <f t="shared" ref="C9:C30" si="1">C8-D8</f>
        <v>26250000</v>
      </c>
      <c r="D9" s="51">
        <f t="shared" ref="D9:D30" si="2">IF(C9=0,L9,IF(C9&gt;1,I9))</f>
        <v>750000</v>
      </c>
      <c r="E9" s="51">
        <f t="shared" ref="E9:E30" si="3">IF(C9=0,N8,IF(C9&gt;1,L9))</f>
        <v>1208219.04</v>
      </c>
      <c r="F9" s="51">
        <f t="shared" ref="F9:F30" si="4">IF(C9=0,N8,IF(C9&gt;1,M9))</f>
        <v>1958219.04</v>
      </c>
      <c r="G9" s="83">
        <f>B9-B8</f>
        <v>28</v>
      </c>
      <c r="H9" s="83">
        <f t="shared" ref="H9:H31" si="5">DATE(YEAR(B9),12,31)-DATE(YEAR(B9),1,1)+1</f>
        <v>365</v>
      </c>
      <c r="I9" s="91">
        <f>IF(I8="",ROUND(C8/(L5-1),2),I8)</f>
        <v>750000</v>
      </c>
      <c r="J9" s="91"/>
      <c r="K9" s="91"/>
      <c r="L9" s="85">
        <f>ROUND(C9*malumot!$B$84/H9,2)*G9</f>
        <v>1208219.04</v>
      </c>
      <c r="M9" s="85">
        <f t="shared" si="0"/>
        <v>1958219.04</v>
      </c>
      <c r="N9" s="85"/>
      <c r="O9" s="100" t="str">
        <f>TEXT(R9,"ддд")</f>
        <v>Пн</v>
      </c>
      <c r="P9" s="102">
        <f t="shared" ref="P9:P31" si="6">IF(O9=$U$8,2,IF(O9=$V$8,1,0))</f>
        <v>0</v>
      </c>
      <c r="Q9" s="102">
        <f>DAY(malumot!$B$78)+P9</f>
        <v>5</v>
      </c>
      <c r="R9" s="97">
        <f>IF(A9&lt;=malumot!$B$81,DATE(YEAR($B$8),MONTH($B$8)+A8,DAY(malumot!$B$78)),0)</f>
        <v>45782</v>
      </c>
      <c r="S9" s="83"/>
      <c r="T9" s="83"/>
      <c r="U9" s="83"/>
      <c r="V9" s="83"/>
    </row>
    <row r="10" spans="1:22">
      <c r="A10" s="89">
        <v>3</v>
      </c>
      <c r="B10" s="90">
        <f>IF(A10&lt;=malumot!$B$81,DATE(YEAR(R10),MONTH(R10),DAY(IF(A10=malumot!$B$81,malumot!$B$67,IF(A10&lt;malumot!$B$81,(Q10),IF(A10&gt;malumot!$B$81,$H$44,0))))))</f>
        <v>45813</v>
      </c>
      <c r="C10" s="51">
        <f t="shared" si="1"/>
        <v>25500000</v>
      </c>
      <c r="D10" s="51">
        <f t="shared" si="2"/>
        <v>750000</v>
      </c>
      <c r="E10" s="51">
        <f t="shared" si="3"/>
        <v>1299452.1099999999</v>
      </c>
      <c r="F10" s="51">
        <f t="shared" si="4"/>
        <v>2049452.1099999999</v>
      </c>
      <c r="G10" s="83">
        <f t="shared" ref="G10:G31" si="7">B10-B9</f>
        <v>31</v>
      </c>
      <c r="H10" s="83">
        <f t="shared" si="5"/>
        <v>365</v>
      </c>
      <c r="I10" s="91">
        <f>I9</f>
        <v>750000</v>
      </c>
      <c r="J10" s="91"/>
      <c r="K10" s="91"/>
      <c r="L10" s="85">
        <f>ROUND(C10*malumot!$B$84/H10,2)*G10</f>
        <v>1299452.1099999999</v>
      </c>
      <c r="M10" s="85">
        <f t="shared" si="0"/>
        <v>2049452.1099999999</v>
      </c>
      <c r="N10" s="85"/>
      <c r="O10" s="100" t="str">
        <f t="shared" ref="O10:O31" si="8">TEXT(R10,"ддд")</f>
        <v>Чт</v>
      </c>
      <c r="P10" s="102">
        <f t="shared" si="6"/>
        <v>0</v>
      </c>
      <c r="Q10" s="102">
        <f>DAY(malumot!$B$78)+P10</f>
        <v>5</v>
      </c>
      <c r="R10" s="97">
        <f>IF(A10&lt;=malumot!$B$81,DATE(YEAR($B$8),MONTH($B$8)+A9,DAY(malumot!$B$78)),0)</f>
        <v>45813</v>
      </c>
      <c r="S10" s="83"/>
      <c r="T10" s="83"/>
      <c r="U10" s="83"/>
      <c r="V10" s="83"/>
    </row>
    <row r="11" spans="1:22">
      <c r="A11" s="89">
        <v>4</v>
      </c>
      <c r="B11" s="90">
        <f>IF(A11&lt;=malumot!$B$81,DATE(YEAR(R11),MONTH(R11),DAY(IF(A11=malumot!$B$81,malumot!$B$67,IF(A11&lt;malumot!$B$81,(Q11),IF(A11&gt;malumot!$B$81,$H$44,0))))))</f>
        <v>45845</v>
      </c>
      <c r="C11" s="51">
        <f t="shared" si="1"/>
        <v>24750000</v>
      </c>
      <c r="D11" s="51">
        <f t="shared" si="2"/>
        <v>750000</v>
      </c>
      <c r="E11" s="51">
        <f t="shared" si="3"/>
        <v>1301917.76</v>
      </c>
      <c r="F11" s="51">
        <f t="shared" si="4"/>
        <v>2051917.76</v>
      </c>
      <c r="G11" s="83">
        <f t="shared" si="7"/>
        <v>32</v>
      </c>
      <c r="H11" s="83">
        <f t="shared" si="5"/>
        <v>365</v>
      </c>
      <c r="I11" s="91">
        <f>I10</f>
        <v>750000</v>
      </c>
      <c r="J11" s="91"/>
      <c r="K11" s="91"/>
      <c r="L11" s="85">
        <f>ROUND(C11*malumot!$B$84/H11,2)*G11</f>
        <v>1301917.76</v>
      </c>
      <c r="M11" s="85">
        <f t="shared" si="0"/>
        <v>2051917.76</v>
      </c>
      <c r="N11" s="85"/>
      <c r="O11" s="100" t="str">
        <f t="shared" si="8"/>
        <v>Сб</v>
      </c>
      <c r="P11" s="102">
        <f t="shared" si="6"/>
        <v>2</v>
      </c>
      <c r="Q11" s="102">
        <f>DAY(malumot!$B$78)+P11</f>
        <v>7</v>
      </c>
      <c r="R11" s="97">
        <f>IF(A11&lt;=malumot!$B$81,DATE(YEAR($B$8),MONTH($B$8)+A10,DAY(malumot!$B$78)),0)</f>
        <v>45843</v>
      </c>
      <c r="S11" s="83"/>
      <c r="T11" s="83"/>
      <c r="U11" s="83"/>
      <c r="V11" s="83"/>
    </row>
    <row r="12" spans="1:22">
      <c r="A12" s="89">
        <v>5</v>
      </c>
      <c r="B12" s="90">
        <f>IF(A12&lt;=malumot!$B$81,DATE(YEAR(R12),MONTH(R12),DAY(IF(A12=malumot!$B$81,malumot!$B$67,IF(A12&lt;malumot!$B$81,(Q12),IF(A12&gt;malumot!$B$81,$H$44,0))))))</f>
        <v>45874</v>
      </c>
      <c r="C12" s="51">
        <f t="shared" si="1"/>
        <v>24000000</v>
      </c>
      <c r="D12" s="51">
        <f t="shared" si="2"/>
        <v>750000</v>
      </c>
      <c r="E12" s="51">
        <f t="shared" si="3"/>
        <v>1144109.4500000002</v>
      </c>
      <c r="F12" s="51">
        <f t="shared" si="4"/>
        <v>1894109.4500000002</v>
      </c>
      <c r="G12" s="83">
        <f t="shared" si="7"/>
        <v>29</v>
      </c>
      <c r="H12" s="83">
        <f t="shared" si="5"/>
        <v>365</v>
      </c>
      <c r="I12" s="91">
        <f>I11</f>
        <v>750000</v>
      </c>
      <c r="J12" s="91">
        <f>malumot!B75</f>
        <v>27000000</v>
      </c>
      <c r="K12" s="91"/>
      <c r="L12" s="85">
        <f>ROUND(C12*malumot!$B$84/H12,2)*G12</f>
        <v>1144109.4500000002</v>
      </c>
      <c r="M12" s="85">
        <f t="shared" si="0"/>
        <v>1894109.4500000002</v>
      </c>
      <c r="N12" s="85"/>
      <c r="O12" s="100" t="str">
        <f t="shared" si="8"/>
        <v>Вт</v>
      </c>
      <c r="P12" s="102">
        <f t="shared" si="6"/>
        <v>0</v>
      </c>
      <c r="Q12" s="102">
        <f>DAY(malumot!$B$78)+P12</f>
        <v>5</v>
      </c>
      <c r="R12" s="97">
        <f>IF(A12&lt;=malumot!$B$81,DATE(YEAR($B$8),MONTH($B$8)+A11,DAY(malumot!$B$78)),0)</f>
        <v>45874</v>
      </c>
      <c r="S12" s="83"/>
      <c r="T12" s="83"/>
      <c r="U12" s="83"/>
      <c r="V12" s="83"/>
    </row>
    <row r="13" spans="1:22">
      <c r="A13" s="89">
        <v>6</v>
      </c>
      <c r="B13" s="90">
        <f>IF(A13&lt;=malumot!$B$81,DATE(YEAR(R13),MONTH(R13),DAY(IF(A13=malumot!$B$81,malumot!$B$67,IF(A13&lt;malumot!$B$81,(Q13),IF(A13&gt;malumot!$B$81,$H$44,0))))))</f>
        <v>45905</v>
      </c>
      <c r="C13" s="51">
        <f t="shared" si="1"/>
        <v>23250000</v>
      </c>
      <c r="D13" s="51">
        <f t="shared" si="2"/>
        <v>750000</v>
      </c>
      <c r="E13" s="51">
        <f t="shared" si="3"/>
        <v>1184794.58</v>
      </c>
      <c r="F13" s="51">
        <f t="shared" si="4"/>
        <v>1934794.58</v>
      </c>
      <c r="G13" s="83">
        <f t="shared" si="7"/>
        <v>31</v>
      </c>
      <c r="H13" s="83">
        <f t="shared" si="5"/>
        <v>365</v>
      </c>
      <c r="I13" s="91">
        <f>IF(L5=H1,K13,IF(L5&gt;H1,I12))</f>
        <v>750000</v>
      </c>
      <c r="J13" s="91">
        <f>SUM($I$8:I12)</f>
        <v>3750000</v>
      </c>
      <c r="K13" s="91">
        <f>$J$12-J13</f>
        <v>23250000</v>
      </c>
      <c r="L13" s="85">
        <f>ROUND(C13*malumot!$B$84/H13,2)*G13</f>
        <v>1184794.58</v>
      </c>
      <c r="M13" s="85">
        <f t="shared" si="0"/>
        <v>1934794.58</v>
      </c>
      <c r="N13" s="85"/>
      <c r="O13" s="100" t="str">
        <f t="shared" si="8"/>
        <v>Пт</v>
      </c>
      <c r="P13" s="102">
        <f t="shared" si="6"/>
        <v>0</v>
      </c>
      <c r="Q13" s="102">
        <f>DAY(malumot!$B$78)+P13</f>
        <v>5</v>
      </c>
      <c r="R13" s="97">
        <f>IF(A13&lt;=malumot!$B$81,DATE(YEAR($B$8),MONTH($B$8)+A12,DAY(malumot!$B$78)),0)</f>
        <v>45905</v>
      </c>
      <c r="S13" s="83"/>
      <c r="T13" s="83"/>
      <c r="U13" s="83"/>
      <c r="V13" s="83"/>
    </row>
    <row r="14" spans="1:22">
      <c r="A14" s="89">
        <v>7</v>
      </c>
      <c r="B14" s="90">
        <f>IF(A14&lt;=malumot!$B$81,DATE(YEAR(R14),MONTH(R14),DAY(IF(A14=malumot!$B$81,malumot!$B$67,IF(A14&lt;malumot!$B$81,(Q14),IF(A14&gt;malumot!$B$81,$H$44,0))))))</f>
        <v>45936</v>
      </c>
      <c r="C14" s="51">
        <f t="shared" si="1"/>
        <v>22500000</v>
      </c>
      <c r="D14" s="51">
        <f t="shared" si="2"/>
        <v>750000</v>
      </c>
      <c r="E14" s="51">
        <f t="shared" si="3"/>
        <v>1146575.3</v>
      </c>
      <c r="F14" s="51">
        <f t="shared" si="4"/>
        <v>1896575.3</v>
      </c>
      <c r="G14" s="83">
        <f t="shared" si="7"/>
        <v>31</v>
      </c>
      <c r="H14" s="83">
        <f t="shared" si="5"/>
        <v>365</v>
      </c>
      <c r="I14" s="91">
        <f>IF($L$5=A14,K14,IF($L$5&gt;A14,I13))</f>
        <v>750000</v>
      </c>
      <c r="J14" s="91">
        <f>SUM($I$8:I13)</f>
        <v>4500000</v>
      </c>
      <c r="K14" s="91">
        <f t="shared" ref="K14:K31" si="9">$J$12-J14</f>
        <v>22500000</v>
      </c>
      <c r="L14" s="85">
        <f>ROUND(C14*malumot!$B$84/H14,2)*G14</f>
        <v>1146575.3</v>
      </c>
      <c r="M14" s="85">
        <f t="shared" si="0"/>
        <v>1896575.3</v>
      </c>
      <c r="N14" s="85"/>
      <c r="O14" s="100" t="str">
        <f t="shared" si="8"/>
        <v>Вс</v>
      </c>
      <c r="P14" s="102">
        <f t="shared" si="6"/>
        <v>1</v>
      </c>
      <c r="Q14" s="102">
        <f>DAY(malumot!$B$78)+P14</f>
        <v>6</v>
      </c>
      <c r="R14" s="97">
        <f>IF(A14&lt;=malumot!$B$81,DATE(YEAR($B$8),MONTH($B$8)+A13,DAY(malumot!$B$78)),0)</f>
        <v>45935</v>
      </c>
      <c r="S14" s="83"/>
      <c r="T14" s="83"/>
      <c r="U14" s="83"/>
      <c r="V14" s="83"/>
    </row>
    <row r="15" spans="1:22">
      <c r="A15" s="89">
        <v>8</v>
      </c>
      <c r="B15" s="90">
        <f>IF(A15&lt;=malumot!$B$81,DATE(YEAR(R15),MONTH(R15),DAY(IF(A15=malumot!$B$81,malumot!$B$67,IF(A15&lt;malumot!$B$81,(Q15),IF(A15&gt;malumot!$B$81,$H$44,0))))))</f>
        <v>45966</v>
      </c>
      <c r="C15" s="51">
        <f t="shared" si="1"/>
        <v>21750000</v>
      </c>
      <c r="D15" s="51">
        <f t="shared" si="2"/>
        <v>750000</v>
      </c>
      <c r="E15" s="51">
        <f t="shared" si="3"/>
        <v>1072602.5999999999</v>
      </c>
      <c r="F15" s="51">
        <f t="shared" si="4"/>
        <v>1822602.5999999999</v>
      </c>
      <c r="G15" s="83">
        <f t="shared" si="7"/>
        <v>30</v>
      </c>
      <c r="H15" s="83">
        <f t="shared" si="5"/>
        <v>365</v>
      </c>
      <c r="I15" s="91">
        <f t="shared" ref="I15:I31" si="10">IF($L$5=A15,K15,IF($L$5&gt;A15,I14))</f>
        <v>750000</v>
      </c>
      <c r="J15" s="91">
        <f>SUM($I$8:I14)</f>
        <v>5250000</v>
      </c>
      <c r="K15" s="91">
        <f t="shared" si="9"/>
        <v>21750000</v>
      </c>
      <c r="L15" s="85">
        <f>ROUND(C15*malumot!$B$84/H15,2)*G15</f>
        <v>1072602.5999999999</v>
      </c>
      <c r="M15" s="85">
        <f t="shared" si="0"/>
        <v>1822602.5999999999</v>
      </c>
      <c r="N15" s="85"/>
      <c r="O15" s="100" t="str">
        <f t="shared" si="8"/>
        <v>Ср</v>
      </c>
      <c r="P15" s="102">
        <f t="shared" si="6"/>
        <v>0</v>
      </c>
      <c r="Q15" s="102">
        <f>DAY(malumot!$B$78)+P15</f>
        <v>5</v>
      </c>
      <c r="R15" s="97">
        <f>IF(A15&lt;=malumot!$B$81,DATE(YEAR($B$8),MONTH($B$8)+A14,DAY(malumot!$B$78)),0)</f>
        <v>45966</v>
      </c>
      <c r="S15" s="83"/>
      <c r="T15" s="83"/>
      <c r="U15" s="83"/>
      <c r="V15" s="83"/>
    </row>
    <row r="16" spans="1:22">
      <c r="A16" s="89">
        <v>9</v>
      </c>
      <c r="B16" s="90">
        <f>IF(A16&lt;=malumot!$B$81,DATE(YEAR(R16),MONTH(R16),DAY(IF(A16=malumot!$B$81,malumot!$B$67,IF(A16&lt;malumot!$B$81,(Q16),IF(A16&gt;malumot!$B$81,$H$44,0))))))</f>
        <v>45996</v>
      </c>
      <c r="C16" s="51">
        <f t="shared" si="1"/>
        <v>21000000</v>
      </c>
      <c r="D16" s="51">
        <f t="shared" si="2"/>
        <v>750000</v>
      </c>
      <c r="E16" s="51">
        <f t="shared" si="3"/>
        <v>1035616.5000000001</v>
      </c>
      <c r="F16" s="51">
        <f t="shared" si="4"/>
        <v>1785616.5</v>
      </c>
      <c r="G16" s="83">
        <f t="shared" si="7"/>
        <v>30</v>
      </c>
      <c r="H16" s="83">
        <f t="shared" si="5"/>
        <v>365</v>
      </c>
      <c r="I16" s="91">
        <f t="shared" si="10"/>
        <v>750000</v>
      </c>
      <c r="J16" s="91">
        <f>SUM($I$8:I15)</f>
        <v>6000000</v>
      </c>
      <c r="K16" s="91">
        <f t="shared" si="9"/>
        <v>21000000</v>
      </c>
      <c r="L16" s="85">
        <f>ROUND(C16*malumot!$B$84/H16,2)*G16</f>
        <v>1035616.5000000001</v>
      </c>
      <c r="M16" s="85">
        <f t="shared" si="0"/>
        <v>1785616.5</v>
      </c>
      <c r="N16" s="85"/>
      <c r="O16" s="100" t="str">
        <f t="shared" si="8"/>
        <v>Пт</v>
      </c>
      <c r="P16" s="102">
        <f t="shared" si="6"/>
        <v>0</v>
      </c>
      <c r="Q16" s="102">
        <f>DAY(malumot!$B$78)+P16</f>
        <v>5</v>
      </c>
      <c r="R16" s="97">
        <f>IF(A16&lt;=malumot!$B$81,DATE(YEAR($B$8),MONTH($B$8)+A15,DAY(malumot!$B$78)),0)</f>
        <v>45996</v>
      </c>
      <c r="S16" s="83"/>
      <c r="T16" s="83"/>
      <c r="U16" s="83"/>
      <c r="V16" s="83"/>
    </row>
    <row r="17" spans="1:22">
      <c r="A17" s="89">
        <v>10</v>
      </c>
      <c r="B17" s="90">
        <f>IF(A17&lt;=malumot!$B$81,DATE(YEAR(R17),MONTH(R17),DAY(IF(A17=malumot!$B$81,malumot!$B$67,IF(A17&lt;malumot!$B$81,(Q17),IF(A17&gt;malumot!$B$81,$H$44,0))))))</f>
        <v>46027</v>
      </c>
      <c r="C17" s="51">
        <f t="shared" si="1"/>
        <v>20250000</v>
      </c>
      <c r="D17" s="51">
        <f t="shared" si="2"/>
        <v>750000</v>
      </c>
      <c r="E17" s="51">
        <f t="shared" si="3"/>
        <v>1031917.7699999999</v>
      </c>
      <c r="F17" s="51">
        <f t="shared" si="4"/>
        <v>1781917.77</v>
      </c>
      <c r="G17" s="83">
        <f t="shared" si="7"/>
        <v>31</v>
      </c>
      <c r="H17" s="83">
        <f t="shared" si="5"/>
        <v>365</v>
      </c>
      <c r="I17" s="91">
        <f t="shared" si="10"/>
        <v>750000</v>
      </c>
      <c r="J17" s="91">
        <f>SUM($I$8:I16)</f>
        <v>6750000</v>
      </c>
      <c r="K17" s="91">
        <f>$J$12-J17</f>
        <v>20250000</v>
      </c>
      <c r="L17" s="85">
        <f>ROUND(C17*malumot!$B$84/H17,2)*G17</f>
        <v>1031917.7699999999</v>
      </c>
      <c r="M17" s="85">
        <f t="shared" si="0"/>
        <v>1781917.77</v>
      </c>
      <c r="N17" s="85"/>
      <c r="O17" s="100" t="str">
        <f t="shared" si="8"/>
        <v>Пн</v>
      </c>
      <c r="P17" s="102">
        <f t="shared" si="6"/>
        <v>0</v>
      </c>
      <c r="Q17" s="102">
        <f>DAY(malumot!$B$78)+P17</f>
        <v>5</v>
      </c>
      <c r="R17" s="97">
        <f>IF(A17&lt;=malumot!$B$81,DATE(YEAR($B$8),MONTH($B$8)+A16,DAY(malumot!$B$78)),0)</f>
        <v>46027</v>
      </c>
      <c r="S17" s="83"/>
      <c r="T17" s="83"/>
      <c r="U17" s="83"/>
      <c r="V17" s="83"/>
    </row>
    <row r="18" spans="1:22">
      <c r="A18" s="89">
        <v>11</v>
      </c>
      <c r="B18" s="90">
        <f>IF(A18&lt;=malumot!$B$81,DATE(YEAR(R18),MONTH(R18),DAY(IF(A18=malumot!$B$81,malumot!$B$67,IF(A18&lt;malumot!$B$81,(Q18),IF(A18&gt;malumot!$B$81,$H$44,0))))))</f>
        <v>46058</v>
      </c>
      <c r="C18" s="51">
        <f t="shared" si="1"/>
        <v>19500000</v>
      </c>
      <c r="D18" s="51">
        <f t="shared" si="2"/>
        <v>750000</v>
      </c>
      <c r="E18" s="51">
        <f t="shared" si="3"/>
        <v>993698.49</v>
      </c>
      <c r="F18" s="51">
        <f t="shared" si="4"/>
        <v>1743698.49</v>
      </c>
      <c r="G18" s="83">
        <f t="shared" si="7"/>
        <v>31</v>
      </c>
      <c r="H18" s="83">
        <f t="shared" si="5"/>
        <v>365</v>
      </c>
      <c r="I18" s="91">
        <f t="shared" si="10"/>
        <v>750000</v>
      </c>
      <c r="J18" s="91">
        <f>SUM($I$8:I17)</f>
        <v>7500000</v>
      </c>
      <c r="K18" s="91">
        <f t="shared" si="9"/>
        <v>19500000</v>
      </c>
      <c r="L18" s="85">
        <f>ROUND(C18*malumot!$B$84/H18,2)*G18</f>
        <v>993698.49</v>
      </c>
      <c r="M18" s="85">
        <f t="shared" si="0"/>
        <v>1743698.49</v>
      </c>
      <c r="N18" s="85"/>
      <c r="O18" s="100" t="str">
        <f t="shared" si="8"/>
        <v>Чт</v>
      </c>
      <c r="P18" s="102">
        <f t="shared" si="6"/>
        <v>0</v>
      </c>
      <c r="Q18" s="102">
        <f>DAY(malumot!$B$78)+P18</f>
        <v>5</v>
      </c>
      <c r="R18" s="97">
        <f>IF(A18&lt;=malumot!$B$81,DATE(YEAR($B$8),MONTH($B$8)+A17,DAY(malumot!$B$78)),0)</f>
        <v>46058</v>
      </c>
      <c r="S18" s="83"/>
      <c r="T18" s="83"/>
      <c r="U18" s="83"/>
      <c r="V18" s="83"/>
    </row>
    <row r="19" spans="1:22">
      <c r="A19" s="89">
        <v>12</v>
      </c>
      <c r="B19" s="90">
        <f>IF(A19&lt;=malumot!$B$81,DATE(YEAR(R19),MONTH(R19),DAY(IF(A19=malumot!$B$81,malumot!$B$67,IF(A19&lt;malumot!$B$81,(Q19),IF(A19&gt;malumot!$B$81,$H$44,0))))))</f>
        <v>46086</v>
      </c>
      <c r="C19" s="51">
        <f t="shared" si="1"/>
        <v>18750000</v>
      </c>
      <c r="D19" s="51">
        <f t="shared" si="2"/>
        <v>750000</v>
      </c>
      <c r="E19" s="51">
        <f t="shared" si="3"/>
        <v>863013.76</v>
      </c>
      <c r="F19" s="51">
        <f t="shared" si="4"/>
        <v>1613013.76</v>
      </c>
      <c r="G19" s="83">
        <f t="shared" si="7"/>
        <v>28</v>
      </c>
      <c r="H19" s="83">
        <f t="shared" si="5"/>
        <v>365</v>
      </c>
      <c r="I19" s="91">
        <f t="shared" si="10"/>
        <v>750000</v>
      </c>
      <c r="J19" s="91">
        <f>SUM($I$8:I18)</f>
        <v>8250000</v>
      </c>
      <c r="K19" s="91">
        <f t="shared" si="9"/>
        <v>18750000</v>
      </c>
      <c r="L19" s="85">
        <f>ROUND(C19*malumot!$B$84/H19,2)*G19</f>
        <v>863013.76</v>
      </c>
      <c r="M19" s="85">
        <f t="shared" si="0"/>
        <v>1613013.76</v>
      </c>
      <c r="N19" s="85"/>
      <c r="O19" s="100" t="str">
        <f t="shared" si="8"/>
        <v>Чт</v>
      </c>
      <c r="P19" s="102">
        <f t="shared" si="6"/>
        <v>0</v>
      </c>
      <c r="Q19" s="102">
        <f>DAY(malumot!$B$78)+P19</f>
        <v>5</v>
      </c>
      <c r="R19" s="97">
        <f>IF(A19&lt;=malumot!$B$81,DATE(YEAR($B$8),MONTH($B$8)+A18,DAY(malumot!$B$78)),0)</f>
        <v>46086</v>
      </c>
      <c r="S19" s="83"/>
      <c r="T19" s="83"/>
      <c r="U19" s="83"/>
      <c r="V19" s="83"/>
    </row>
    <row r="20" spans="1:22">
      <c r="A20" s="89">
        <v>13</v>
      </c>
      <c r="B20" s="90">
        <f>IF(A20&lt;=malumot!$B$81,DATE(YEAR(R20),MONTH(R20),DAY(IF(A20=malumot!$B$81,malumot!$B$67,IF(A20&lt;malumot!$B$81,(Q20),IF(A20&gt;malumot!$B$81,$H$44,0))))))</f>
        <v>46118</v>
      </c>
      <c r="C20" s="51">
        <f t="shared" si="1"/>
        <v>18000000</v>
      </c>
      <c r="D20" s="51">
        <f t="shared" si="2"/>
        <v>750000</v>
      </c>
      <c r="E20" s="51">
        <f t="shared" si="3"/>
        <v>946849.28000000003</v>
      </c>
      <c r="F20" s="51">
        <f t="shared" si="4"/>
        <v>1696849.28</v>
      </c>
      <c r="G20" s="83">
        <f t="shared" si="7"/>
        <v>32</v>
      </c>
      <c r="H20" s="83">
        <f t="shared" si="5"/>
        <v>365</v>
      </c>
      <c r="I20" s="91">
        <f t="shared" si="10"/>
        <v>750000</v>
      </c>
      <c r="J20" s="91">
        <f>SUM($I$8:I19)</f>
        <v>9000000</v>
      </c>
      <c r="K20" s="91">
        <f>$J$12-J20</f>
        <v>18000000</v>
      </c>
      <c r="L20" s="85">
        <f>ROUND(C20*malumot!$B$84/H20,2)*G20</f>
        <v>946849.28000000003</v>
      </c>
      <c r="M20" s="85">
        <f t="shared" si="0"/>
        <v>1696849.28</v>
      </c>
      <c r="N20" s="85"/>
      <c r="O20" s="100" t="str">
        <f t="shared" si="8"/>
        <v>Вс</v>
      </c>
      <c r="P20" s="102">
        <f t="shared" si="6"/>
        <v>1</v>
      </c>
      <c r="Q20" s="102">
        <f>DAY(malumot!$B$78)+P20</f>
        <v>6</v>
      </c>
      <c r="R20" s="97">
        <f>IF(A20&lt;=malumot!$B$81,DATE(YEAR($B$8),MONTH($B$8)+A19,DAY(malumot!$B$78)),0)</f>
        <v>46117</v>
      </c>
      <c r="S20" s="83"/>
      <c r="T20" s="83"/>
      <c r="U20" s="83"/>
      <c r="V20" s="83"/>
    </row>
    <row r="21" spans="1:22">
      <c r="A21" s="89">
        <v>14</v>
      </c>
      <c r="B21" s="90">
        <f>IF(A21&lt;=malumot!$B$81,DATE(YEAR(R21),MONTH(R21),DAY(IF(A21=malumot!$B$81,malumot!$B$67,IF(A21&lt;malumot!$B$81,(Q21),IF(A21&gt;malumot!$B$81,$H$44,0))))))</f>
        <v>46147</v>
      </c>
      <c r="C21" s="51">
        <f t="shared" si="1"/>
        <v>17250000</v>
      </c>
      <c r="D21" s="51">
        <f t="shared" si="2"/>
        <v>750000</v>
      </c>
      <c r="E21" s="51">
        <f t="shared" si="3"/>
        <v>822328.64</v>
      </c>
      <c r="F21" s="51">
        <f t="shared" si="4"/>
        <v>1572328.6400000001</v>
      </c>
      <c r="G21" s="83">
        <f t="shared" si="7"/>
        <v>29</v>
      </c>
      <c r="H21" s="83">
        <f t="shared" si="5"/>
        <v>365</v>
      </c>
      <c r="I21" s="91">
        <f t="shared" si="10"/>
        <v>750000</v>
      </c>
      <c r="J21" s="91">
        <f>SUM($I$8:I20)</f>
        <v>9750000</v>
      </c>
      <c r="K21" s="91">
        <f t="shared" si="9"/>
        <v>17250000</v>
      </c>
      <c r="L21" s="85">
        <f>ROUND(C21*malumot!$B$84/H21,2)*G21</f>
        <v>822328.64</v>
      </c>
      <c r="M21" s="85">
        <f t="shared" si="0"/>
        <v>1572328.6400000001</v>
      </c>
      <c r="N21" s="85"/>
      <c r="O21" s="100" t="str">
        <f t="shared" si="8"/>
        <v>Вт</v>
      </c>
      <c r="P21" s="102">
        <f t="shared" si="6"/>
        <v>0</v>
      </c>
      <c r="Q21" s="102">
        <f>DAY(malumot!$B$78)+P21</f>
        <v>5</v>
      </c>
      <c r="R21" s="97">
        <f>IF(A21&lt;=malumot!$B$81,DATE(YEAR($B$8),MONTH($B$8)+A20,DAY(malumot!$B$78)),0)</f>
        <v>46147</v>
      </c>
      <c r="S21" s="83"/>
      <c r="T21" s="83"/>
      <c r="U21" s="83"/>
      <c r="V21" s="83"/>
    </row>
    <row r="22" spans="1:22">
      <c r="A22" s="89">
        <v>15</v>
      </c>
      <c r="B22" s="90">
        <f>IF(A22&lt;=malumot!$B$81,DATE(YEAR(R22),MONTH(R22),DAY(IF(A22=malumot!$B$81,malumot!$B$67,IF(A22&lt;malumot!$B$81,(Q22),IF(A22&gt;malumot!$B$81,$H$44,0))))))</f>
        <v>46178</v>
      </c>
      <c r="C22" s="51">
        <f t="shared" si="1"/>
        <v>16500000</v>
      </c>
      <c r="D22" s="51">
        <f t="shared" si="2"/>
        <v>750000</v>
      </c>
      <c r="E22" s="51">
        <f t="shared" si="3"/>
        <v>840821.99</v>
      </c>
      <c r="F22" s="51">
        <f t="shared" si="4"/>
        <v>1590821.99</v>
      </c>
      <c r="G22" s="83">
        <f t="shared" si="7"/>
        <v>31</v>
      </c>
      <c r="H22" s="83">
        <f t="shared" si="5"/>
        <v>365</v>
      </c>
      <c r="I22" s="91">
        <f t="shared" si="10"/>
        <v>750000</v>
      </c>
      <c r="J22" s="91">
        <f>SUM($I$8:I21)</f>
        <v>10500000</v>
      </c>
      <c r="K22" s="91">
        <f t="shared" si="9"/>
        <v>16500000</v>
      </c>
      <c r="L22" s="85">
        <f>ROUND(C22*malumot!$B$84/H22,2)*G22</f>
        <v>840821.99</v>
      </c>
      <c r="M22" s="85">
        <f t="shared" si="0"/>
        <v>1590821.99</v>
      </c>
      <c r="N22" s="85"/>
      <c r="O22" s="100" t="str">
        <f t="shared" si="8"/>
        <v>Пт</v>
      </c>
      <c r="P22" s="102">
        <f t="shared" si="6"/>
        <v>0</v>
      </c>
      <c r="Q22" s="102">
        <f>DAY(malumot!$B$78)+P22</f>
        <v>5</v>
      </c>
      <c r="R22" s="97">
        <f>IF(A22&lt;=malumot!$B$81,DATE(YEAR($B$8),MONTH($B$8)+A21,DAY(malumot!$B$78)),0)</f>
        <v>46178</v>
      </c>
      <c r="S22" s="83"/>
      <c r="T22" s="83"/>
      <c r="U22" s="83"/>
      <c r="V22" s="83"/>
    </row>
    <row r="23" spans="1:22">
      <c r="A23" s="89">
        <v>16</v>
      </c>
      <c r="B23" s="90">
        <f>IF(A23&lt;=malumot!$B$81,DATE(YEAR(R23),MONTH(R23),DAY(IF(A23=malumot!$B$81,malumot!$B$67,IF(A23&lt;malumot!$B$81,(Q23),IF(A23&gt;malumot!$B$81,$H$44,0))))))</f>
        <v>46209</v>
      </c>
      <c r="C23" s="51">
        <f t="shared" si="1"/>
        <v>15750000</v>
      </c>
      <c r="D23" s="51">
        <f t="shared" si="2"/>
        <v>750000</v>
      </c>
      <c r="E23" s="51">
        <f t="shared" si="3"/>
        <v>802602.71</v>
      </c>
      <c r="F23" s="51">
        <f t="shared" si="4"/>
        <v>1552602.71</v>
      </c>
      <c r="G23" s="83">
        <f t="shared" si="7"/>
        <v>31</v>
      </c>
      <c r="H23" s="83">
        <f t="shared" si="5"/>
        <v>365</v>
      </c>
      <c r="I23" s="91">
        <f t="shared" si="10"/>
        <v>750000</v>
      </c>
      <c r="J23" s="91">
        <f>SUM($I$8:I22)</f>
        <v>11250000</v>
      </c>
      <c r="K23" s="91">
        <f t="shared" si="9"/>
        <v>15750000</v>
      </c>
      <c r="L23" s="85">
        <f>ROUND(C23*malumot!$B$84/H23,2)*G23</f>
        <v>802602.71</v>
      </c>
      <c r="M23" s="85">
        <f t="shared" si="0"/>
        <v>1552602.71</v>
      </c>
      <c r="N23" s="85"/>
      <c r="O23" s="100" t="str">
        <f t="shared" si="8"/>
        <v>Вс</v>
      </c>
      <c r="P23" s="102">
        <f t="shared" si="6"/>
        <v>1</v>
      </c>
      <c r="Q23" s="102">
        <f>DAY(malumot!$B$78)+P23</f>
        <v>6</v>
      </c>
      <c r="R23" s="97">
        <f>IF(A23&lt;=malumot!$B$81,DATE(YEAR($B$8),MONTH($B$8)+A22,DAY(malumot!$B$78)),0)</f>
        <v>46208</v>
      </c>
      <c r="S23" s="83"/>
      <c r="T23" s="83"/>
      <c r="U23" s="83"/>
      <c r="V23" s="83"/>
    </row>
    <row r="24" spans="1:22">
      <c r="A24" s="89">
        <v>17</v>
      </c>
      <c r="B24" s="90">
        <f>IF(A24&lt;=malumot!$B$81,DATE(YEAR(R24),MONTH(R24),DAY(IF(A24=malumot!$B$81,malumot!$B$67,IF(A24&lt;malumot!$B$81,(Q24),IF(A24&gt;malumot!$B$81,$H$44,0))))))</f>
        <v>46239</v>
      </c>
      <c r="C24" s="51">
        <f t="shared" si="1"/>
        <v>15000000</v>
      </c>
      <c r="D24" s="51">
        <f t="shared" si="2"/>
        <v>750000</v>
      </c>
      <c r="E24" s="51">
        <f t="shared" si="3"/>
        <v>739725.89999999991</v>
      </c>
      <c r="F24" s="51">
        <f t="shared" si="4"/>
        <v>1489725.9</v>
      </c>
      <c r="G24" s="83">
        <f t="shared" si="7"/>
        <v>30</v>
      </c>
      <c r="H24" s="83">
        <f t="shared" si="5"/>
        <v>365</v>
      </c>
      <c r="I24" s="91">
        <f t="shared" si="10"/>
        <v>750000</v>
      </c>
      <c r="J24" s="91">
        <f>SUM($I$8:I23)</f>
        <v>12000000</v>
      </c>
      <c r="K24" s="91">
        <f t="shared" si="9"/>
        <v>15000000</v>
      </c>
      <c r="L24" s="85">
        <f>ROUND(C24*malumot!$B$84/H24,2)*G24</f>
        <v>739725.89999999991</v>
      </c>
      <c r="M24" s="85">
        <f t="shared" si="0"/>
        <v>1489725.9</v>
      </c>
      <c r="N24" s="85"/>
      <c r="O24" s="100" t="str">
        <f t="shared" si="8"/>
        <v>Ср</v>
      </c>
      <c r="P24" s="102">
        <f t="shared" si="6"/>
        <v>0</v>
      </c>
      <c r="Q24" s="102">
        <f>DAY(malumot!$B$78)+P24</f>
        <v>5</v>
      </c>
      <c r="R24" s="97">
        <f>IF(A24&lt;=malumot!$B$81,DATE(YEAR($B$8),MONTH($B$8)+A23,DAY(malumot!$B$78)),0)</f>
        <v>46239</v>
      </c>
      <c r="S24" s="83"/>
      <c r="T24" s="83"/>
      <c r="U24" s="83"/>
      <c r="V24" s="83"/>
    </row>
    <row r="25" spans="1:22">
      <c r="A25" s="89">
        <v>18</v>
      </c>
      <c r="B25" s="90">
        <f>IF(A25&lt;=malumot!$B$81,DATE(YEAR(R25),MONTH(R25),DAY(IF(A25=malumot!$B$81,malumot!$B$67,IF(A25&lt;malumot!$B$81,(Q25),IF(A25&gt;malumot!$B$81,$H$44,0))))))</f>
        <v>46272</v>
      </c>
      <c r="C25" s="51">
        <f t="shared" si="1"/>
        <v>14250000</v>
      </c>
      <c r="D25" s="51">
        <f t="shared" si="2"/>
        <v>750000</v>
      </c>
      <c r="E25" s="51">
        <f t="shared" si="3"/>
        <v>773013.78</v>
      </c>
      <c r="F25" s="51">
        <f t="shared" si="4"/>
        <v>1523013.78</v>
      </c>
      <c r="G25" s="83">
        <f t="shared" si="7"/>
        <v>33</v>
      </c>
      <c r="H25" s="83">
        <f t="shared" si="5"/>
        <v>365</v>
      </c>
      <c r="I25" s="91">
        <f t="shared" si="10"/>
        <v>750000</v>
      </c>
      <c r="J25" s="91">
        <f>SUM($I$8:I24)</f>
        <v>12750000</v>
      </c>
      <c r="K25" s="91">
        <f t="shared" si="9"/>
        <v>14250000</v>
      </c>
      <c r="L25" s="85">
        <f>ROUND(C25*malumot!$B$84/H25,2)*G25</f>
        <v>773013.78</v>
      </c>
      <c r="M25" s="85">
        <f t="shared" si="0"/>
        <v>1523013.78</v>
      </c>
      <c r="N25" s="85"/>
      <c r="O25" s="100" t="str">
        <f t="shared" si="8"/>
        <v>Сб</v>
      </c>
      <c r="P25" s="102">
        <f t="shared" si="6"/>
        <v>2</v>
      </c>
      <c r="Q25" s="102">
        <f>DAY(malumot!$B$78)+P25</f>
        <v>7</v>
      </c>
      <c r="R25" s="97">
        <f>IF(A25&lt;=malumot!$B$81,DATE(YEAR($B$8),MONTH($B$8)+A24,DAY(malumot!$B$78)),0)</f>
        <v>46270</v>
      </c>
      <c r="S25" s="83"/>
      <c r="T25" s="83"/>
      <c r="U25" s="83"/>
      <c r="V25" s="83"/>
    </row>
    <row r="26" spans="1:22">
      <c r="A26" s="89">
        <v>19</v>
      </c>
      <c r="B26" s="90">
        <f>IF(A26&lt;=malumot!$B$81,DATE(YEAR(R26),MONTH(R26),DAY(IF(A26=malumot!$B$81,malumot!$B$67,IF(A26&lt;malumot!$B$81,(Q26),IF(A26&gt;malumot!$B$81,$H$44,0))))))</f>
        <v>46300</v>
      </c>
      <c r="C26" s="51">
        <f t="shared" si="1"/>
        <v>13500000</v>
      </c>
      <c r="D26" s="51">
        <f t="shared" si="2"/>
        <v>750000</v>
      </c>
      <c r="E26" s="51">
        <f t="shared" si="3"/>
        <v>621369.84</v>
      </c>
      <c r="F26" s="51">
        <f t="shared" si="4"/>
        <v>1371369.8399999999</v>
      </c>
      <c r="G26" s="83">
        <f t="shared" si="7"/>
        <v>28</v>
      </c>
      <c r="H26" s="83">
        <f t="shared" si="5"/>
        <v>365</v>
      </c>
      <c r="I26" s="91">
        <f t="shared" si="10"/>
        <v>750000</v>
      </c>
      <c r="J26" s="91">
        <f>SUM($I$8:I25)</f>
        <v>13500000</v>
      </c>
      <c r="K26" s="91">
        <f t="shared" si="9"/>
        <v>13500000</v>
      </c>
      <c r="L26" s="85">
        <f>ROUND(C26*malumot!$B$84/H26,2)*G26</f>
        <v>621369.84</v>
      </c>
      <c r="M26" s="85">
        <f t="shared" si="0"/>
        <v>1371369.8399999999</v>
      </c>
      <c r="N26" s="85"/>
      <c r="O26" s="100" t="str">
        <f t="shared" si="8"/>
        <v>Пн</v>
      </c>
      <c r="P26" s="102">
        <f t="shared" si="6"/>
        <v>0</v>
      </c>
      <c r="Q26" s="102">
        <f>DAY(malumot!$B$78)+P26</f>
        <v>5</v>
      </c>
      <c r="R26" s="97">
        <f>IF(A26&lt;=malumot!$B$81,DATE(YEAR($B$8),MONTH($B$8)+A25,DAY(malumot!$B$78)),0)</f>
        <v>46300</v>
      </c>
      <c r="S26" s="83"/>
      <c r="T26" s="83"/>
      <c r="U26" s="83"/>
      <c r="V26" s="83"/>
    </row>
    <row r="27" spans="1:22">
      <c r="A27" s="89">
        <v>20</v>
      </c>
      <c r="B27" s="90">
        <f>IF(A27&lt;=malumot!$B$81,DATE(YEAR(R27),MONTH(R27),DAY(IF(A27=malumot!$B$81,malumot!$B$67,IF(A27&lt;malumot!$B$81,(Q27),IF(A27&gt;malumot!$B$81,$H$44,0))))))</f>
        <v>46331</v>
      </c>
      <c r="C27" s="51">
        <f t="shared" si="1"/>
        <v>12750000</v>
      </c>
      <c r="D27" s="51">
        <f t="shared" si="2"/>
        <v>750000</v>
      </c>
      <c r="E27" s="51">
        <f t="shared" si="3"/>
        <v>649725.9</v>
      </c>
      <c r="F27" s="51">
        <f t="shared" si="4"/>
        <v>1399725.9</v>
      </c>
      <c r="G27" s="83">
        <f t="shared" si="7"/>
        <v>31</v>
      </c>
      <c r="H27" s="83">
        <f t="shared" si="5"/>
        <v>365</v>
      </c>
      <c r="I27" s="91">
        <f t="shared" si="10"/>
        <v>750000</v>
      </c>
      <c r="J27" s="91">
        <f>SUM($I$8:I26)</f>
        <v>14250000</v>
      </c>
      <c r="K27" s="91">
        <f t="shared" si="9"/>
        <v>12750000</v>
      </c>
      <c r="L27" s="85">
        <f>ROUND(C27*malumot!$B$84/H27,2)*G27</f>
        <v>649725.9</v>
      </c>
      <c r="M27" s="85">
        <f t="shared" si="0"/>
        <v>1399725.9</v>
      </c>
      <c r="N27" s="85"/>
      <c r="O27" s="100" t="str">
        <f t="shared" si="8"/>
        <v>Чт</v>
      </c>
      <c r="P27" s="102">
        <f t="shared" si="6"/>
        <v>0</v>
      </c>
      <c r="Q27" s="102">
        <f>DAY(malumot!$B$78)+P27</f>
        <v>5</v>
      </c>
      <c r="R27" s="97">
        <f>IF(A27&lt;=malumot!$B$81,DATE(YEAR($B$8),MONTH($B$8)+A26,DAY(malumot!$B$78)),0)</f>
        <v>46331</v>
      </c>
      <c r="S27" s="83"/>
      <c r="T27" s="83"/>
      <c r="U27" s="83"/>
      <c r="V27" s="83"/>
    </row>
    <row r="28" spans="1:22">
      <c r="A28" s="89">
        <v>21</v>
      </c>
      <c r="B28" s="90">
        <f>IF(A28&lt;=malumot!$B$81,DATE(YEAR(R28),MONTH(R28),DAY(IF(A28=malumot!$B$81,malumot!$B$67,IF(A28&lt;malumot!$B$81,(Q28),IF(A28&gt;malumot!$B$81,$H$44,0))))))</f>
        <v>46363</v>
      </c>
      <c r="C28" s="51">
        <f t="shared" si="1"/>
        <v>12000000</v>
      </c>
      <c r="D28" s="51">
        <f t="shared" si="2"/>
        <v>750000</v>
      </c>
      <c r="E28" s="51">
        <f t="shared" si="3"/>
        <v>631232.96</v>
      </c>
      <c r="F28" s="51">
        <f t="shared" si="4"/>
        <v>1381232.96</v>
      </c>
      <c r="G28" s="83">
        <f t="shared" si="7"/>
        <v>32</v>
      </c>
      <c r="H28" s="83">
        <f t="shared" si="5"/>
        <v>365</v>
      </c>
      <c r="I28" s="91">
        <f t="shared" si="10"/>
        <v>750000</v>
      </c>
      <c r="J28" s="91">
        <f>SUM($I$8:I27)</f>
        <v>15000000</v>
      </c>
      <c r="K28" s="91">
        <f t="shared" si="9"/>
        <v>12000000</v>
      </c>
      <c r="L28" s="85">
        <f>ROUND(C28*malumot!$B$84/H28,2)*G28</f>
        <v>631232.96</v>
      </c>
      <c r="M28" s="85">
        <f t="shared" si="0"/>
        <v>1381232.96</v>
      </c>
      <c r="N28" s="85"/>
      <c r="O28" s="100" t="str">
        <f t="shared" si="8"/>
        <v>Сб</v>
      </c>
      <c r="P28" s="102">
        <f t="shared" si="6"/>
        <v>2</v>
      </c>
      <c r="Q28" s="102">
        <f>DAY(malumot!$B$78)+P28</f>
        <v>7</v>
      </c>
      <c r="R28" s="97">
        <f>IF(A28&lt;=malumot!$B$81,DATE(YEAR($B$8),MONTH($B$8)+A27,DAY(malumot!$B$78)),0)</f>
        <v>46361</v>
      </c>
      <c r="S28" s="83"/>
      <c r="T28" s="83"/>
      <c r="U28" s="83"/>
      <c r="V28" s="83"/>
    </row>
    <row r="29" spans="1:22">
      <c r="A29" s="89">
        <v>22</v>
      </c>
      <c r="B29" s="90">
        <f>IF(A29&lt;=malumot!$B$81,DATE(YEAR(R29),MONTH(R29),DAY(IF(A29=malumot!$B$81,malumot!$B$67,IF(A29&lt;malumot!$B$81,(Q29),IF(A29&gt;malumot!$B$81,$H$44,0))))))</f>
        <v>46392</v>
      </c>
      <c r="C29" s="51">
        <f t="shared" si="1"/>
        <v>11250000</v>
      </c>
      <c r="D29" s="51">
        <f t="shared" si="2"/>
        <v>750000</v>
      </c>
      <c r="E29" s="51">
        <f t="shared" si="3"/>
        <v>536301.35000000009</v>
      </c>
      <c r="F29" s="51">
        <f t="shared" si="4"/>
        <v>1286301.3500000001</v>
      </c>
      <c r="G29" s="83">
        <f t="shared" si="7"/>
        <v>29</v>
      </c>
      <c r="H29" s="83">
        <f t="shared" si="5"/>
        <v>365</v>
      </c>
      <c r="I29" s="91">
        <f t="shared" si="10"/>
        <v>750000</v>
      </c>
      <c r="J29" s="91">
        <f>SUM($I$8:I28)</f>
        <v>15750000</v>
      </c>
      <c r="K29" s="91">
        <f t="shared" si="9"/>
        <v>11250000</v>
      </c>
      <c r="L29" s="85">
        <f>ROUND(C29*malumot!$B$84/H29,2)*G29</f>
        <v>536301.35000000009</v>
      </c>
      <c r="M29" s="85">
        <f t="shared" si="0"/>
        <v>1286301.3500000001</v>
      </c>
      <c r="N29" s="85"/>
      <c r="O29" s="100" t="str">
        <f t="shared" si="8"/>
        <v>Вт</v>
      </c>
      <c r="P29" s="102">
        <f t="shared" si="6"/>
        <v>0</v>
      </c>
      <c r="Q29" s="102">
        <f>DAY(malumot!$B$78)+P29</f>
        <v>5</v>
      </c>
      <c r="R29" s="97">
        <f>IF(A29&lt;=malumot!$B$81,DATE(YEAR($B$8),MONTH($B$8)+A28,DAY(malumot!$B$78)),0)</f>
        <v>46392</v>
      </c>
      <c r="S29" s="83"/>
      <c r="T29" s="83"/>
      <c r="U29" s="83"/>
      <c r="V29" s="83"/>
    </row>
    <row r="30" spans="1:22">
      <c r="A30" s="89">
        <v>23</v>
      </c>
      <c r="B30" s="90">
        <f>IF(A30&lt;=malumot!$B$81,DATE(YEAR(R30),MONTH(R30),DAY(IF(A30=malumot!$B$81,malumot!$B$67,IF(A30&lt;malumot!$B$81,(Q30),IF(A30&gt;malumot!$B$81,$H$44,0))))))</f>
        <v>46423</v>
      </c>
      <c r="C30" s="51">
        <f t="shared" si="1"/>
        <v>10500000</v>
      </c>
      <c r="D30" s="51">
        <f t="shared" si="2"/>
        <v>750000</v>
      </c>
      <c r="E30" s="51">
        <f t="shared" si="3"/>
        <v>535068.37</v>
      </c>
      <c r="F30" s="51">
        <f t="shared" si="4"/>
        <v>1285068.3700000001</v>
      </c>
      <c r="G30" s="83">
        <f t="shared" si="7"/>
        <v>31</v>
      </c>
      <c r="H30" s="83">
        <f t="shared" si="5"/>
        <v>365</v>
      </c>
      <c r="I30" s="91">
        <f t="shared" si="10"/>
        <v>750000</v>
      </c>
      <c r="J30" s="91">
        <f>SUM($I$8:I29)</f>
        <v>16500000</v>
      </c>
      <c r="K30" s="91">
        <f t="shared" si="9"/>
        <v>10500000</v>
      </c>
      <c r="L30" s="85">
        <f>ROUND(C30*malumot!$B$84/H30,2)*G30</f>
        <v>535068.37</v>
      </c>
      <c r="M30" s="85">
        <f t="shared" si="0"/>
        <v>1285068.3700000001</v>
      </c>
      <c r="N30" s="85"/>
      <c r="O30" s="100" t="str">
        <f t="shared" si="8"/>
        <v>Пт</v>
      </c>
      <c r="P30" s="102">
        <f t="shared" si="6"/>
        <v>0</v>
      </c>
      <c r="Q30" s="102">
        <f>DAY(malumot!$B$78)+P30</f>
        <v>5</v>
      </c>
      <c r="R30" s="97">
        <f>IF(A30&lt;=malumot!$B$81,DATE(YEAR($B$8),MONTH($B$8)+A29,DAY(malumot!$B$78)),0)</f>
        <v>46423</v>
      </c>
      <c r="S30" s="83"/>
      <c r="T30" s="83"/>
      <c r="U30" s="83"/>
      <c r="V30" s="83"/>
    </row>
    <row r="31" spans="1:22">
      <c r="A31" s="89">
        <v>24</v>
      </c>
      <c r="B31" s="90">
        <f>IF(A31&lt;=malumot!$B$81,DATE(YEAR(R31),MONTH(R31),DAY(IF(A31=malumot!$B$81,malumot!$B$67,IF(A31&lt;malumot!$B$81,(Q31),IF(A31&gt;malumot!$B$81,$H$44,0))))))</f>
        <v>46451</v>
      </c>
      <c r="C31" s="51">
        <f t="shared" ref="C31" si="11">C30-D30</f>
        <v>9750000</v>
      </c>
      <c r="D31" s="51">
        <f t="shared" ref="D31" si="12">IF(C31=0,L31,IF(C31&gt;1,I31))</f>
        <v>750000</v>
      </c>
      <c r="E31" s="51">
        <f t="shared" ref="E31" si="13">IF(C31=0,N30,IF(C31&gt;1,L31))</f>
        <v>448767.2</v>
      </c>
      <c r="F31" s="51">
        <f t="shared" ref="F31" si="14">IF(C31=0,N30,IF(C31&gt;1,M31))</f>
        <v>1198767.2</v>
      </c>
      <c r="G31" s="83">
        <f t="shared" si="7"/>
        <v>28</v>
      </c>
      <c r="H31" s="83">
        <f t="shared" si="5"/>
        <v>365</v>
      </c>
      <c r="I31" s="91">
        <f t="shared" si="10"/>
        <v>750000</v>
      </c>
      <c r="J31" s="91">
        <f>SUM($I$8:I30)</f>
        <v>17250000</v>
      </c>
      <c r="K31" s="91">
        <f t="shared" si="9"/>
        <v>9750000</v>
      </c>
      <c r="L31" s="85">
        <f>ROUND(C31*malumot!$B$84/H31,2)*G31</f>
        <v>448767.2</v>
      </c>
      <c r="M31" s="85">
        <f t="shared" si="0"/>
        <v>1198767.2</v>
      </c>
      <c r="N31" s="85"/>
      <c r="O31" s="100" t="str">
        <f t="shared" si="8"/>
        <v>Пт</v>
      </c>
      <c r="P31" s="102">
        <f t="shared" si="6"/>
        <v>0</v>
      </c>
      <c r="Q31" s="102">
        <f>DAY(malumot!$B$78)+P31</f>
        <v>5</v>
      </c>
      <c r="R31" s="97">
        <f>IF(A31&lt;=malumot!$B$81,DATE(YEAR($B$8),MONTH($B$8)+A30,DAY(malumot!$B$78)),0)</f>
        <v>46451</v>
      </c>
      <c r="S31" s="83"/>
      <c r="T31" s="83"/>
      <c r="U31" s="83"/>
      <c r="V31" s="83"/>
    </row>
    <row r="32" spans="1:22">
      <c r="A32" s="89">
        <f>1+A31</f>
        <v>25</v>
      </c>
      <c r="B32" s="90">
        <f>IF(A32&lt;=malumot!$B$81,DATE(YEAR(R32),MONTH(R32),DAY(IF(A32=malumot!$B$81,malumot!$B$67,IF(A32&lt;malumot!$B$81,(Q32),IF(A32&gt;malumot!$B$81,$H$44,0))))))</f>
        <v>46482</v>
      </c>
      <c r="C32" s="51">
        <f t="shared" ref="C32:C42" si="15">C31-D31</f>
        <v>9000000</v>
      </c>
      <c r="D32" s="51">
        <f t="shared" ref="D32:D42" si="16">IF(C32=0,L32,IF(C32&gt;1,I32))</f>
        <v>750000</v>
      </c>
      <c r="E32" s="51">
        <f t="shared" ref="E32:E42" si="17">IF(C32=0,N31,IF(C32&gt;1,L32))</f>
        <v>458630.12</v>
      </c>
      <c r="F32" s="51">
        <f t="shared" ref="F32:F42" si="18">IF(C32=0,N31,IF(C32&gt;1,M32))</f>
        <v>1208630.1200000001</v>
      </c>
      <c r="G32" s="83">
        <f t="shared" ref="G32:G42" si="19">B32-B31</f>
        <v>31</v>
      </c>
      <c r="H32" s="83">
        <f t="shared" ref="H32:H42" si="20">DATE(YEAR(B32),12,31)-DATE(YEAR(B32),1,1)+1</f>
        <v>365</v>
      </c>
      <c r="I32" s="91">
        <f t="shared" ref="I32:I42" si="21">IF($L$5=A32,K32,IF($L$5&gt;A32,I31))</f>
        <v>750000</v>
      </c>
      <c r="J32" s="91">
        <f>SUM($I$8:I31)</f>
        <v>18000000</v>
      </c>
      <c r="K32" s="91">
        <f t="shared" ref="K32:K42" si="22">$J$12-J32</f>
        <v>9000000</v>
      </c>
      <c r="L32" s="85">
        <f>ROUND(C32*malumot!$B$84/H32,2)*G32</f>
        <v>458630.12</v>
      </c>
      <c r="M32" s="85">
        <f t="shared" ref="M32:M42" si="23">D32+E32</f>
        <v>1208630.1200000001</v>
      </c>
      <c r="N32" s="85"/>
      <c r="O32" s="100" t="str">
        <f t="shared" ref="O32:O42" si="24">TEXT(R32,"ддд")</f>
        <v>Пн</v>
      </c>
      <c r="P32" s="102">
        <f t="shared" ref="P32:P42" si="25">IF(O32=$U$8,2,IF(O32=$V$8,1,0))</f>
        <v>0</v>
      </c>
      <c r="Q32" s="102">
        <f>DAY(malumot!$B$78)+P32</f>
        <v>5</v>
      </c>
      <c r="R32" s="97">
        <f>IF(A32&lt;=malumot!$B$81,DATE(YEAR($B$8),MONTH($B$8)+A31,DAY(malumot!$B$78)),0)</f>
        <v>46482</v>
      </c>
      <c r="S32" s="83"/>
      <c r="T32" s="83"/>
      <c r="U32" s="83"/>
      <c r="V32" s="83"/>
    </row>
    <row r="33" spans="1:22">
      <c r="A33" s="89">
        <f t="shared" ref="A33:A42" si="26">1+A32</f>
        <v>26</v>
      </c>
      <c r="B33" s="90">
        <f>IF(A33&lt;=malumot!$B$81,DATE(YEAR(R33),MONTH(R33),DAY(IF(A33=malumot!$B$81,malumot!$B$67,IF(A33&lt;malumot!$B$81,(Q33),IF(A33&gt;malumot!$B$81,$H$44,0))))))</f>
        <v>46512</v>
      </c>
      <c r="C33" s="51">
        <f t="shared" si="15"/>
        <v>8250000</v>
      </c>
      <c r="D33" s="51">
        <f t="shared" si="16"/>
        <v>750000</v>
      </c>
      <c r="E33" s="51">
        <f t="shared" si="17"/>
        <v>406849.19999999995</v>
      </c>
      <c r="F33" s="51">
        <f t="shared" si="18"/>
        <v>1156849.2</v>
      </c>
      <c r="G33" s="83">
        <f t="shared" si="19"/>
        <v>30</v>
      </c>
      <c r="H33" s="83">
        <f t="shared" si="20"/>
        <v>365</v>
      </c>
      <c r="I33" s="91">
        <f t="shared" si="21"/>
        <v>750000</v>
      </c>
      <c r="J33" s="91">
        <f>SUM($I$8:I32)</f>
        <v>18750000</v>
      </c>
      <c r="K33" s="91">
        <f t="shared" si="22"/>
        <v>8250000</v>
      </c>
      <c r="L33" s="85">
        <f>ROUND(C33*malumot!$B$84/H33,2)*G33</f>
        <v>406849.19999999995</v>
      </c>
      <c r="M33" s="85">
        <f t="shared" si="23"/>
        <v>1156849.2</v>
      </c>
      <c r="N33" s="85"/>
      <c r="O33" s="100" t="str">
        <f t="shared" si="24"/>
        <v>Ср</v>
      </c>
      <c r="P33" s="102">
        <f t="shared" si="25"/>
        <v>0</v>
      </c>
      <c r="Q33" s="102">
        <f>DAY(malumot!$B$78)+P33</f>
        <v>5</v>
      </c>
      <c r="R33" s="97">
        <f>IF(A33&lt;=malumot!$B$81,DATE(YEAR($B$8),MONTH($B$8)+A32,DAY(malumot!$B$78)),0)</f>
        <v>46512</v>
      </c>
      <c r="S33" s="83"/>
      <c r="T33" s="83"/>
      <c r="U33" s="83"/>
      <c r="V33" s="83"/>
    </row>
    <row r="34" spans="1:22">
      <c r="A34" s="89">
        <f t="shared" si="26"/>
        <v>27</v>
      </c>
      <c r="B34" s="90">
        <f>IF(A34&lt;=malumot!$B$81,DATE(YEAR(R34),MONTH(R34),DAY(IF(A34=malumot!$B$81,malumot!$B$67,IF(A34&lt;malumot!$B$81,(Q34),IF(A34&gt;malumot!$B$81,$H$44,0))))))</f>
        <v>46545</v>
      </c>
      <c r="C34" s="51">
        <f t="shared" si="15"/>
        <v>7500000</v>
      </c>
      <c r="D34" s="51">
        <f t="shared" si="16"/>
        <v>750000</v>
      </c>
      <c r="E34" s="51">
        <f t="shared" si="17"/>
        <v>406849.41000000003</v>
      </c>
      <c r="F34" s="51">
        <f t="shared" si="18"/>
        <v>1156849.4100000001</v>
      </c>
      <c r="G34" s="83">
        <f t="shared" si="19"/>
        <v>33</v>
      </c>
      <c r="H34" s="83">
        <f t="shared" si="20"/>
        <v>365</v>
      </c>
      <c r="I34" s="91">
        <f t="shared" si="21"/>
        <v>750000</v>
      </c>
      <c r="J34" s="91">
        <f>SUM($I$8:I33)</f>
        <v>19500000</v>
      </c>
      <c r="K34" s="91">
        <f t="shared" si="22"/>
        <v>7500000</v>
      </c>
      <c r="L34" s="85">
        <f>ROUND(C34*malumot!$B$84/H34,2)*G34</f>
        <v>406849.41000000003</v>
      </c>
      <c r="M34" s="85">
        <f t="shared" si="23"/>
        <v>1156849.4100000001</v>
      </c>
      <c r="N34" s="85"/>
      <c r="O34" s="100" t="str">
        <f t="shared" si="24"/>
        <v>Сб</v>
      </c>
      <c r="P34" s="102">
        <f t="shared" si="25"/>
        <v>2</v>
      </c>
      <c r="Q34" s="102">
        <f>DAY(malumot!$B$78)+P34</f>
        <v>7</v>
      </c>
      <c r="R34" s="97">
        <f>IF(A34&lt;=malumot!$B$81,DATE(YEAR($B$8),MONTH($B$8)+A33,DAY(malumot!$B$78)),0)</f>
        <v>46543</v>
      </c>
      <c r="S34" s="83"/>
      <c r="T34" s="83"/>
      <c r="U34" s="83"/>
      <c r="V34" s="83"/>
    </row>
    <row r="35" spans="1:22">
      <c r="A35" s="89">
        <f t="shared" si="26"/>
        <v>28</v>
      </c>
      <c r="B35" s="90">
        <f>IF(A35&lt;=malumot!$B$81,DATE(YEAR(R35),MONTH(R35),DAY(IF(A35=malumot!$B$81,malumot!$B$67,IF(A35&lt;malumot!$B$81,(Q35),IF(A35&gt;malumot!$B$81,$H$44,0))))))</f>
        <v>46573</v>
      </c>
      <c r="C35" s="51">
        <f t="shared" si="15"/>
        <v>6750000</v>
      </c>
      <c r="D35" s="51">
        <f t="shared" si="16"/>
        <v>750000</v>
      </c>
      <c r="E35" s="51">
        <f t="shared" si="17"/>
        <v>310684.92</v>
      </c>
      <c r="F35" s="51">
        <f t="shared" si="18"/>
        <v>1060684.92</v>
      </c>
      <c r="G35" s="83">
        <f t="shared" si="19"/>
        <v>28</v>
      </c>
      <c r="H35" s="83">
        <f t="shared" si="20"/>
        <v>365</v>
      </c>
      <c r="I35" s="91">
        <f t="shared" si="21"/>
        <v>750000</v>
      </c>
      <c r="J35" s="91">
        <f>SUM($I$8:I34)</f>
        <v>20250000</v>
      </c>
      <c r="K35" s="91">
        <f t="shared" si="22"/>
        <v>6750000</v>
      </c>
      <c r="L35" s="85">
        <f>ROUND(C35*malumot!$B$84/H35,2)*G35</f>
        <v>310684.92</v>
      </c>
      <c r="M35" s="85">
        <f t="shared" si="23"/>
        <v>1060684.92</v>
      </c>
      <c r="N35" s="85"/>
      <c r="O35" s="100" t="str">
        <f t="shared" si="24"/>
        <v>Пн</v>
      </c>
      <c r="P35" s="102">
        <f t="shared" si="25"/>
        <v>0</v>
      </c>
      <c r="Q35" s="102">
        <f>DAY(malumot!$B$78)+P35</f>
        <v>5</v>
      </c>
      <c r="R35" s="97">
        <f>IF(A35&lt;=malumot!$B$81,DATE(YEAR($B$8),MONTH($B$8)+A34,DAY(malumot!$B$78)),0)</f>
        <v>46573</v>
      </c>
      <c r="S35" s="83"/>
      <c r="T35" s="83"/>
      <c r="U35" s="83"/>
      <c r="V35" s="83"/>
    </row>
    <row r="36" spans="1:22">
      <c r="A36" s="89">
        <f t="shared" si="26"/>
        <v>29</v>
      </c>
      <c r="B36" s="90">
        <f>IF(A36&lt;=malumot!$B$81,DATE(YEAR(R36),MONTH(R36),DAY(IF(A36=malumot!$B$81,malumot!$B$67,IF(A36&lt;malumot!$B$81,(Q36),IF(A36&gt;malumot!$B$81,$H$44,0))))))</f>
        <v>46604</v>
      </c>
      <c r="C36" s="51">
        <f t="shared" si="15"/>
        <v>6000000</v>
      </c>
      <c r="D36" s="51">
        <f t="shared" si="16"/>
        <v>750000</v>
      </c>
      <c r="E36" s="51">
        <f t="shared" si="17"/>
        <v>305753.31</v>
      </c>
      <c r="F36" s="51">
        <f t="shared" si="18"/>
        <v>1055753.31</v>
      </c>
      <c r="G36" s="83">
        <f t="shared" si="19"/>
        <v>31</v>
      </c>
      <c r="H36" s="83">
        <f t="shared" si="20"/>
        <v>365</v>
      </c>
      <c r="I36" s="91">
        <f t="shared" si="21"/>
        <v>750000</v>
      </c>
      <c r="J36" s="91">
        <f>SUM($I$8:I35)</f>
        <v>21000000</v>
      </c>
      <c r="K36" s="91">
        <f t="shared" si="22"/>
        <v>6000000</v>
      </c>
      <c r="L36" s="85">
        <f>ROUND(C36*malumot!$B$84/H36,2)*G36</f>
        <v>305753.31</v>
      </c>
      <c r="M36" s="85">
        <f t="shared" si="23"/>
        <v>1055753.31</v>
      </c>
      <c r="N36" s="85"/>
      <c r="O36" s="100" t="str">
        <f t="shared" si="24"/>
        <v>Чт</v>
      </c>
      <c r="P36" s="102">
        <f t="shared" si="25"/>
        <v>0</v>
      </c>
      <c r="Q36" s="102">
        <f>DAY(malumot!$B$78)+P36</f>
        <v>5</v>
      </c>
      <c r="R36" s="97">
        <f>IF(A36&lt;=malumot!$B$81,DATE(YEAR($B$8),MONTH($B$8)+A35,DAY(malumot!$B$78)),0)</f>
        <v>46604</v>
      </c>
      <c r="S36" s="83"/>
      <c r="T36" s="83"/>
      <c r="U36" s="83"/>
      <c r="V36" s="83"/>
    </row>
    <row r="37" spans="1:22">
      <c r="A37" s="89">
        <f t="shared" si="26"/>
        <v>30</v>
      </c>
      <c r="B37" s="90">
        <f>IF(A37&lt;=malumot!$B$81,DATE(YEAR(R37),MONTH(R37),DAY(IF(A37=malumot!$B$81,malumot!$B$67,IF(A37&lt;malumot!$B$81,(Q37),IF(A37&gt;malumot!$B$81,$H$44,0))))))</f>
        <v>46636</v>
      </c>
      <c r="C37" s="51">
        <f t="shared" si="15"/>
        <v>5250000</v>
      </c>
      <c r="D37" s="51">
        <f t="shared" si="16"/>
        <v>750000</v>
      </c>
      <c r="E37" s="51">
        <f t="shared" si="17"/>
        <v>276164.47999999998</v>
      </c>
      <c r="F37" s="51">
        <f t="shared" si="18"/>
        <v>1026164.48</v>
      </c>
      <c r="G37" s="83">
        <f t="shared" si="19"/>
        <v>32</v>
      </c>
      <c r="H37" s="83">
        <f t="shared" si="20"/>
        <v>365</v>
      </c>
      <c r="I37" s="91">
        <f t="shared" si="21"/>
        <v>750000</v>
      </c>
      <c r="J37" s="91">
        <f>SUM($I$8:I36)</f>
        <v>21750000</v>
      </c>
      <c r="K37" s="91">
        <f t="shared" si="22"/>
        <v>5250000</v>
      </c>
      <c r="L37" s="85">
        <f>ROUND(C37*malumot!$B$84/H37,2)*G37</f>
        <v>276164.47999999998</v>
      </c>
      <c r="M37" s="85">
        <f t="shared" si="23"/>
        <v>1026164.48</v>
      </c>
      <c r="N37" s="85"/>
      <c r="O37" s="100" t="str">
        <f t="shared" si="24"/>
        <v>Вс</v>
      </c>
      <c r="P37" s="102">
        <f t="shared" si="25"/>
        <v>1</v>
      </c>
      <c r="Q37" s="102">
        <f>DAY(malumot!$B$78)+P37</f>
        <v>6</v>
      </c>
      <c r="R37" s="97">
        <f>IF(A37&lt;=malumot!$B$81,DATE(YEAR($B$8),MONTH($B$8)+A36,DAY(malumot!$B$78)),0)</f>
        <v>46635</v>
      </c>
      <c r="S37" s="83"/>
      <c r="T37" s="83"/>
      <c r="U37" s="83"/>
      <c r="V37" s="83"/>
    </row>
    <row r="38" spans="1:22">
      <c r="A38" s="89">
        <f t="shared" si="26"/>
        <v>31</v>
      </c>
      <c r="B38" s="90">
        <f>IF(A38&lt;=malumot!$B$81,DATE(YEAR(R38),MONTH(R38),DAY(IF(A38=malumot!$B$81,malumot!$B$67,IF(A38&lt;malumot!$B$81,(Q38),IF(A38&gt;malumot!$B$81,$H$44,0))))))</f>
        <v>46665</v>
      </c>
      <c r="C38" s="51">
        <f t="shared" si="15"/>
        <v>4500000</v>
      </c>
      <c r="D38" s="51">
        <f t="shared" si="16"/>
        <v>750000</v>
      </c>
      <c r="E38" s="51">
        <f t="shared" si="17"/>
        <v>214520.54</v>
      </c>
      <c r="F38" s="51">
        <f t="shared" si="18"/>
        <v>964520.54</v>
      </c>
      <c r="G38" s="83">
        <f t="shared" si="19"/>
        <v>29</v>
      </c>
      <c r="H38" s="83">
        <f t="shared" si="20"/>
        <v>365</v>
      </c>
      <c r="I38" s="91">
        <f t="shared" si="21"/>
        <v>750000</v>
      </c>
      <c r="J38" s="91">
        <f>SUM($I$8:I37)</f>
        <v>22500000</v>
      </c>
      <c r="K38" s="91">
        <f t="shared" si="22"/>
        <v>4500000</v>
      </c>
      <c r="L38" s="85">
        <f>ROUND(C38*malumot!$B$84/H38,2)*G38</f>
        <v>214520.54</v>
      </c>
      <c r="M38" s="85">
        <f t="shared" si="23"/>
        <v>964520.54</v>
      </c>
      <c r="N38" s="85"/>
      <c r="O38" s="100" t="str">
        <f t="shared" si="24"/>
        <v>Вт</v>
      </c>
      <c r="P38" s="102">
        <f t="shared" si="25"/>
        <v>0</v>
      </c>
      <c r="Q38" s="102">
        <f>DAY(malumot!$B$78)+P38</f>
        <v>5</v>
      </c>
      <c r="R38" s="97">
        <f>IF(A38&lt;=malumot!$B$81,DATE(YEAR($B$8),MONTH($B$8)+A37,DAY(malumot!$B$78)),0)</f>
        <v>46665</v>
      </c>
      <c r="S38" s="83"/>
      <c r="T38" s="83"/>
      <c r="U38" s="83"/>
      <c r="V38" s="83"/>
    </row>
    <row r="39" spans="1:22">
      <c r="A39" s="89">
        <f t="shared" si="26"/>
        <v>32</v>
      </c>
      <c r="B39" s="90">
        <f>IF(A39&lt;=malumot!$B$81,DATE(YEAR(R39),MONTH(R39),DAY(IF(A39=malumot!$B$81,malumot!$B$67,IF(A39&lt;malumot!$B$81,(Q39),IF(A39&gt;malumot!$B$81,$H$44,0))))))</f>
        <v>46696</v>
      </c>
      <c r="C39" s="51">
        <f t="shared" si="15"/>
        <v>3750000</v>
      </c>
      <c r="D39" s="51">
        <f t="shared" si="16"/>
        <v>750000</v>
      </c>
      <c r="E39" s="51">
        <f t="shared" si="17"/>
        <v>191095.78</v>
      </c>
      <c r="F39" s="51">
        <f t="shared" si="18"/>
        <v>941095.78</v>
      </c>
      <c r="G39" s="83">
        <f t="shared" si="19"/>
        <v>31</v>
      </c>
      <c r="H39" s="83">
        <f t="shared" si="20"/>
        <v>365</v>
      </c>
      <c r="I39" s="91">
        <f t="shared" si="21"/>
        <v>750000</v>
      </c>
      <c r="J39" s="91">
        <f>SUM($I$8:I38)</f>
        <v>23250000</v>
      </c>
      <c r="K39" s="91">
        <f t="shared" si="22"/>
        <v>3750000</v>
      </c>
      <c r="L39" s="85">
        <f>ROUND(C39*malumot!$B$84/H39,2)*G39</f>
        <v>191095.78</v>
      </c>
      <c r="M39" s="85">
        <f t="shared" si="23"/>
        <v>941095.78</v>
      </c>
      <c r="N39" s="85"/>
      <c r="O39" s="100" t="str">
        <f t="shared" si="24"/>
        <v>Пт</v>
      </c>
      <c r="P39" s="102">
        <f t="shared" si="25"/>
        <v>0</v>
      </c>
      <c r="Q39" s="102">
        <f>DAY(malumot!$B$78)+P39</f>
        <v>5</v>
      </c>
      <c r="R39" s="97">
        <f>IF(A39&lt;=malumot!$B$81,DATE(YEAR($B$8),MONTH($B$8)+A38,DAY(malumot!$B$78)),0)</f>
        <v>46696</v>
      </c>
      <c r="S39" s="83"/>
      <c r="T39" s="83"/>
      <c r="U39" s="83"/>
      <c r="V39" s="83"/>
    </row>
    <row r="40" spans="1:22">
      <c r="A40" s="89">
        <f t="shared" si="26"/>
        <v>33</v>
      </c>
      <c r="B40" s="90">
        <f>IF(A40&lt;=malumot!$B$81,DATE(YEAR(R40),MONTH(R40),DAY(IF(A40=malumot!$B$81,malumot!$B$67,IF(A40&lt;malumot!$B$81,(Q40),IF(A40&gt;malumot!$B$81,$H$44,0))))))</f>
        <v>46727</v>
      </c>
      <c r="C40" s="51">
        <f t="shared" si="15"/>
        <v>3000000</v>
      </c>
      <c r="D40" s="51">
        <f t="shared" si="16"/>
        <v>750000</v>
      </c>
      <c r="E40" s="51">
        <f t="shared" si="17"/>
        <v>152876.81</v>
      </c>
      <c r="F40" s="51">
        <f t="shared" si="18"/>
        <v>902876.81</v>
      </c>
      <c r="G40" s="83">
        <f t="shared" si="19"/>
        <v>31</v>
      </c>
      <c r="H40" s="83">
        <f t="shared" si="20"/>
        <v>365</v>
      </c>
      <c r="I40" s="91">
        <f t="shared" si="21"/>
        <v>750000</v>
      </c>
      <c r="J40" s="91">
        <f>SUM($I$8:I39)</f>
        <v>24000000</v>
      </c>
      <c r="K40" s="91">
        <f t="shared" si="22"/>
        <v>3000000</v>
      </c>
      <c r="L40" s="85">
        <f>ROUND(C40*malumot!$B$84/H40,2)*G40</f>
        <v>152876.81</v>
      </c>
      <c r="M40" s="85">
        <f t="shared" si="23"/>
        <v>902876.81</v>
      </c>
      <c r="N40" s="85"/>
      <c r="O40" s="100" t="str">
        <f t="shared" si="24"/>
        <v>Вс</v>
      </c>
      <c r="P40" s="102">
        <f t="shared" si="25"/>
        <v>1</v>
      </c>
      <c r="Q40" s="102">
        <f>DAY(malumot!$B$78)+P40</f>
        <v>6</v>
      </c>
      <c r="R40" s="97">
        <f>IF(A40&lt;=malumot!$B$81,DATE(YEAR($B$8),MONTH($B$8)+A39,DAY(malumot!$B$78)),0)</f>
        <v>46726</v>
      </c>
      <c r="S40" s="83"/>
      <c r="T40" s="83"/>
      <c r="U40" s="83"/>
      <c r="V40" s="83"/>
    </row>
    <row r="41" spans="1:22">
      <c r="A41" s="89">
        <f t="shared" si="26"/>
        <v>34</v>
      </c>
      <c r="B41" s="90">
        <f>IF(A41&lt;=malumot!$B$81,DATE(YEAR(R41),MONTH(R41),DAY(IF(A41=malumot!$B$81,malumot!$B$67,IF(A41&lt;malumot!$B$81,(Q41),IF(A41&gt;malumot!$B$81,$H$44,0))))))</f>
        <v>46757</v>
      </c>
      <c r="C41" s="51">
        <f t="shared" si="15"/>
        <v>2250000</v>
      </c>
      <c r="D41" s="51">
        <f t="shared" si="16"/>
        <v>750000</v>
      </c>
      <c r="E41" s="51">
        <f t="shared" si="17"/>
        <v>110655.6</v>
      </c>
      <c r="F41" s="51">
        <f t="shared" si="18"/>
        <v>860655.6</v>
      </c>
      <c r="G41" s="83">
        <f t="shared" si="19"/>
        <v>30</v>
      </c>
      <c r="H41" s="83">
        <f t="shared" si="20"/>
        <v>366</v>
      </c>
      <c r="I41" s="91">
        <f t="shared" si="21"/>
        <v>750000</v>
      </c>
      <c r="J41" s="91">
        <f>SUM($I$8:I40)</f>
        <v>24750000</v>
      </c>
      <c r="K41" s="91">
        <f t="shared" si="22"/>
        <v>2250000</v>
      </c>
      <c r="L41" s="85">
        <f>ROUND(C41*malumot!$B$84/H41,2)*G41</f>
        <v>110655.6</v>
      </c>
      <c r="M41" s="85">
        <f t="shared" si="23"/>
        <v>860655.6</v>
      </c>
      <c r="N41" s="85"/>
      <c r="O41" s="100" t="str">
        <f t="shared" si="24"/>
        <v>Ср</v>
      </c>
      <c r="P41" s="102">
        <f t="shared" si="25"/>
        <v>0</v>
      </c>
      <c r="Q41" s="102">
        <f>DAY(malumot!$B$78)+P41</f>
        <v>5</v>
      </c>
      <c r="R41" s="97">
        <f>IF(A41&lt;=malumot!$B$81,DATE(YEAR($B$8),MONTH($B$8)+A40,DAY(malumot!$B$78)),0)</f>
        <v>46757</v>
      </c>
      <c r="S41" s="83"/>
      <c r="T41" s="83"/>
      <c r="U41" s="83"/>
      <c r="V41" s="83"/>
    </row>
    <row r="42" spans="1:22">
      <c r="A42" s="89">
        <f t="shared" si="26"/>
        <v>35</v>
      </c>
      <c r="B42" s="90">
        <f>IF(A42&lt;=malumot!$B$81,DATE(YEAR(R42),MONTH(R42),DAY(IF(A42=malumot!$B$81,malumot!$B$67,IF(A42&lt;malumot!$B$81,(Q42),IF(A42&gt;malumot!$B$81,$H$44,0))))))</f>
        <v>46790</v>
      </c>
      <c r="C42" s="51">
        <f t="shared" si="15"/>
        <v>1500000</v>
      </c>
      <c r="D42" s="51">
        <f t="shared" si="16"/>
        <v>750000</v>
      </c>
      <c r="E42" s="51">
        <f t="shared" si="17"/>
        <v>81147.66</v>
      </c>
      <c r="F42" s="51">
        <f t="shared" si="18"/>
        <v>831147.66</v>
      </c>
      <c r="G42" s="83">
        <f t="shared" si="19"/>
        <v>33</v>
      </c>
      <c r="H42" s="83">
        <f t="shared" si="20"/>
        <v>366</v>
      </c>
      <c r="I42" s="91">
        <f t="shared" si="21"/>
        <v>750000</v>
      </c>
      <c r="J42" s="91">
        <f>SUM($I$8:I41)</f>
        <v>25500000</v>
      </c>
      <c r="K42" s="91">
        <f t="shared" si="22"/>
        <v>1500000</v>
      </c>
      <c r="L42" s="85">
        <f>ROUND(C42*malumot!$B$84/H42,2)*G42</f>
        <v>81147.66</v>
      </c>
      <c r="M42" s="85">
        <f t="shared" si="23"/>
        <v>831147.66</v>
      </c>
      <c r="N42" s="85"/>
      <c r="O42" s="100" t="str">
        <f t="shared" si="24"/>
        <v>Сб</v>
      </c>
      <c r="P42" s="102">
        <f t="shared" si="25"/>
        <v>2</v>
      </c>
      <c r="Q42" s="102">
        <f>DAY(malumot!$B$78)+P42</f>
        <v>7</v>
      </c>
      <c r="R42" s="97">
        <f>IF(A42&lt;=malumot!$B$81,DATE(YEAR($B$8),MONTH($B$8)+A41,DAY(malumot!$B$78)),0)</f>
        <v>46788</v>
      </c>
      <c r="S42" s="83"/>
      <c r="T42" s="83"/>
      <c r="U42" s="83"/>
      <c r="V42" s="83"/>
    </row>
    <row r="43" spans="1:22">
      <c r="A43" s="89">
        <f t="shared" ref="A43" si="27">1+A42</f>
        <v>36</v>
      </c>
      <c r="B43" s="90">
        <f>IF(A43&lt;=malumot!$B$81,DATE(YEAR(R43),MONTH(R43),DAY(IF(A43=malumot!$B$81,malumot!$B$67,IF(A43&lt;malumot!$B$81,(Q43),IF(A43&gt;malumot!$B$81,$H$44,0))))))</f>
        <v>46823</v>
      </c>
      <c r="C43" s="51">
        <f t="shared" ref="C43" si="28">C42-D42</f>
        <v>750000</v>
      </c>
      <c r="D43" s="51">
        <f t="shared" ref="D43" si="29">IF(C43=0,L43,IF(C43&gt;1,I43))</f>
        <v>750000</v>
      </c>
      <c r="E43" s="51">
        <f t="shared" ref="E43" si="30">IF(C43=0,N42,IF(C43&gt;1,L43))</f>
        <v>40573.83</v>
      </c>
      <c r="F43" s="51">
        <f t="shared" ref="F43" si="31">IF(C43=0,N42,IF(C43&gt;1,M43))</f>
        <v>790573.83</v>
      </c>
      <c r="G43" s="83">
        <f t="shared" ref="G43" si="32">B43-B42</f>
        <v>33</v>
      </c>
      <c r="H43" s="83">
        <f t="shared" ref="H43" si="33">DATE(YEAR(B43),12,31)-DATE(YEAR(B43),1,1)+1</f>
        <v>366</v>
      </c>
      <c r="I43" s="91">
        <f t="shared" ref="I43" si="34">IF($L$5=A43,K43,IF($L$5&gt;A43,I42))</f>
        <v>750000</v>
      </c>
      <c r="J43" s="91">
        <f>SUM($I$8:I42)</f>
        <v>26250000</v>
      </c>
      <c r="K43" s="91">
        <f t="shared" ref="K43" si="35">$J$12-J43</f>
        <v>750000</v>
      </c>
      <c r="L43" s="85">
        <f>ROUND(C43*malumot!$B$84/H43,2)*G43</f>
        <v>40573.83</v>
      </c>
      <c r="M43" s="85">
        <f t="shared" ref="M43" si="36">D43+E43</f>
        <v>790573.83</v>
      </c>
      <c r="N43" s="85"/>
      <c r="O43" s="100" t="str">
        <f t="shared" ref="O43" si="37">TEXT(R43,"ддд")</f>
        <v>Вс</v>
      </c>
      <c r="P43" s="102">
        <f t="shared" ref="P43" si="38">IF(O43=$U$8,2,IF(O43=$V$8,1,0))</f>
        <v>1</v>
      </c>
      <c r="Q43" s="102">
        <f>DAY(malumot!$B$78)+P43</f>
        <v>6</v>
      </c>
      <c r="R43" s="97">
        <f>IF(A43&lt;=malumot!$B$81,DATE(YEAR($B$8),MONTH($B$8)+A42,DAY(malumot!$B$78)),0)</f>
        <v>46817</v>
      </c>
      <c r="S43" s="83"/>
      <c r="T43" s="83"/>
      <c r="U43" s="83"/>
      <c r="V43" s="83"/>
    </row>
    <row r="44" spans="1:22">
      <c r="A44" s="92"/>
      <c r="B44" s="93" t="s">
        <v>7</v>
      </c>
      <c r="C44" s="94"/>
      <c r="D44" s="94">
        <f>SUM(D8:D43)</f>
        <v>27000000</v>
      </c>
      <c r="E44" s="94">
        <f t="shared" ref="E44:F44" si="39">SUM(E8:E43)</f>
        <v>24783883.060000002</v>
      </c>
      <c r="F44" s="94">
        <f t="shared" si="39"/>
        <v>51783883.06000001</v>
      </c>
    </row>
    <row r="45" spans="1:22" ht="9" customHeight="1">
      <c r="B45" s="95"/>
      <c r="C45" s="96"/>
      <c r="D45" s="96"/>
      <c r="E45" s="96"/>
      <c r="F45" s="96"/>
    </row>
    <row r="46" spans="1:22" ht="47.25" customHeight="1">
      <c r="A46" s="303" t="s">
        <v>18</v>
      </c>
      <c r="B46" s="303"/>
      <c r="C46" s="303"/>
      <c r="D46" s="303"/>
      <c r="E46" s="303"/>
      <c r="F46" s="303"/>
    </row>
    <row r="47" spans="1:22" ht="7.5" customHeight="1"/>
    <row r="48" spans="1:22">
      <c r="A48" s="304" t="e">
        <f>#REF!</f>
        <v>#REF!</v>
      </c>
      <c r="B48" s="304"/>
      <c r="C48" s="304"/>
      <c r="D48" s="304" t="e">
        <f>#REF!</f>
        <v>#REF!</v>
      </c>
      <c r="E48" s="304"/>
      <c r="F48" s="304"/>
    </row>
    <row r="49" spans="1:6" ht="11.25" customHeight="1">
      <c r="A49" s="305"/>
      <c r="B49" s="305"/>
      <c r="C49" s="305"/>
      <c r="D49" s="305"/>
      <c r="E49" s="305"/>
      <c r="F49" s="305"/>
    </row>
    <row r="50" spans="1:6" ht="30" customHeight="1">
      <c r="A50" s="306" t="e">
        <f>#REF!</f>
        <v>#REF!</v>
      </c>
      <c r="B50" s="306"/>
      <c r="C50" s="306"/>
      <c r="D50" s="306" t="e">
        <f>#REF!</f>
        <v>#REF!</v>
      </c>
      <c r="E50" s="306"/>
      <c r="F50" s="306"/>
    </row>
    <row r="51" spans="1:6" ht="32.25" customHeight="1">
      <c r="A51" s="302" t="e">
        <f>#REF!</f>
        <v>#REF!</v>
      </c>
      <c r="B51" s="302"/>
      <c r="C51" s="302"/>
      <c r="D51" s="302" t="e">
        <f>#REF!</f>
        <v>#REF!</v>
      </c>
      <c r="E51" s="302"/>
      <c r="F51" s="302"/>
    </row>
    <row r="52" spans="1:6">
      <c r="A52" s="302" t="e">
        <f>#REF!</f>
        <v>#REF!</v>
      </c>
      <c r="B52" s="302"/>
      <c r="C52" s="302"/>
      <c r="D52" s="302" t="str">
        <f>"паспорт серии "&amp;malumot!B16&amp;", "&amp;malumot!B20&amp;""</f>
        <v>паспорт серии AA 9481167, BUXORO VILOYATI BUXORO SHAHAR IIB tomonidan 24.04.2015 yilda berilgan</v>
      </c>
      <c r="E52" s="302"/>
      <c r="F52" s="302"/>
    </row>
    <row r="53" spans="1:6" ht="32.25" customHeight="1">
      <c r="A53" s="302" t="e">
        <f>#REF!</f>
        <v>#REF!</v>
      </c>
      <c r="B53" s="302"/>
      <c r="C53" s="302"/>
      <c r="D53" s="302"/>
      <c r="E53" s="302"/>
      <c r="F53" s="302"/>
    </row>
    <row r="54" spans="1:6">
      <c r="A54" s="302" t="e">
        <f>#REF!</f>
        <v>#REF!</v>
      </c>
      <c r="B54" s="302"/>
      <c r="C54" s="302"/>
      <c r="D54" s="302" t="e">
        <f>#REF!</f>
        <v>#REF!</v>
      </c>
      <c r="E54" s="302"/>
      <c r="F54" s="302"/>
    </row>
    <row r="55" spans="1:6">
      <c r="A55" s="302" t="e">
        <f>#REF!</f>
        <v>#REF!</v>
      </c>
      <c r="B55" s="302"/>
      <c r="C55" s="302"/>
      <c r="D55" s="302" t="e">
        <f>#REF!</f>
        <v>#REF!</v>
      </c>
      <c r="E55" s="302"/>
      <c r="F55" s="302"/>
    </row>
    <row r="56" spans="1:6">
      <c r="A56" s="302" t="e">
        <f>#REF!</f>
        <v>#REF!</v>
      </c>
      <c r="B56" s="302"/>
      <c r="C56" s="302"/>
      <c r="D56" s="302" t="e">
        <f>#REF!</f>
        <v>#REF!</v>
      </c>
      <c r="E56" s="302"/>
      <c r="F56" s="302"/>
    </row>
    <row r="57" spans="1:6" ht="8.25" customHeight="1">
      <c r="A57" s="302"/>
      <c r="B57" s="302"/>
      <c r="C57" s="302"/>
      <c r="D57" s="302"/>
      <c r="E57" s="302"/>
      <c r="F57" s="302"/>
    </row>
    <row r="58" spans="1:6">
      <c r="A58" s="306" t="e">
        <f>#REF!</f>
        <v>#REF!</v>
      </c>
      <c r="B58" s="306"/>
      <c r="C58" s="306"/>
      <c r="D58" s="306" t="e">
        <f>#REF!</f>
        <v>#REF!</v>
      </c>
      <c r="E58" s="306"/>
      <c r="F58" s="306"/>
    </row>
    <row r="59" spans="1:6" ht="7.5" customHeight="1">
      <c r="A59" s="306"/>
      <c r="B59" s="306"/>
      <c r="C59" s="306"/>
      <c r="D59" s="306"/>
      <c r="E59" s="306"/>
      <c r="F59" s="306"/>
    </row>
    <row r="60" spans="1:6">
      <c r="A60" s="306" t="e">
        <f>#REF!</f>
        <v>#REF!</v>
      </c>
      <c r="B60" s="306"/>
      <c r="C60" s="306"/>
      <c r="D60" s="306" t="e">
        <f>#REF!</f>
        <v>#REF!</v>
      </c>
      <c r="E60" s="306"/>
      <c r="F60" s="306"/>
    </row>
    <row r="61" spans="1:6" ht="8.25" customHeight="1">
      <c r="A61" s="302"/>
      <c r="B61" s="302"/>
      <c r="C61" s="302"/>
      <c r="D61" s="302"/>
      <c r="E61" s="302"/>
      <c r="F61" s="302"/>
    </row>
    <row r="62" spans="1:6" ht="30" customHeight="1">
      <c r="A62" s="308"/>
      <c r="B62" s="308"/>
      <c r="C62" s="308"/>
      <c r="D62" s="309" t="e">
        <f>#REF!</f>
        <v>#REF!</v>
      </c>
      <c r="E62" s="309"/>
      <c r="F62" s="309"/>
    </row>
    <row r="63" spans="1:6">
      <c r="A63" s="310"/>
      <c r="B63" s="310"/>
      <c r="C63" s="310"/>
      <c r="D63" s="310"/>
      <c r="E63" s="310"/>
      <c r="F63" s="310"/>
    </row>
    <row r="64" spans="1:6">
      <c r="A64" s="307"/>
      <c r="B64" s="307"/>
      <c r="C64" s="307"/>
      <c r="D64" s="307"/>
      <c r="E64" s="307"/>
      <c r="F64" s="307"/>
    </row>
  </sheetData>
  <mergeCells count="40">
    <mergeCell ref="A64:C64"/>
    <mergeCell ref="D64:F64"/>
    <mergeCell ref="A61:C61"/>
    <mergeCell ref="D61:F61"/>
    <mergeCell ref="A62:C62"/>
    <mergeCell ref="D62:F62"/>
    <mergeCell ref="A63:C63"/>
    <mergeCell ref="D63:F63"/>
    <mergeCell ref="A58:C58"/>
    <mergeCell ref="D58:F58"/>
    <mergeCell ref="A59:C59"/>
    <mergeCell ref="D59:F59"/>
    <mergeCell ref="A60:C60"/>
    <mergeCell ref="D60:F60"/>
    <mergeCell ref="A55:C55"/>
    <mergeCell ref="D55:F55"/>
    <mergeCell ref="A56:C56"/>
    <mergeCell ref="D56:F56"/>
    <mergeCell ref="A57:C57"/>
    <mergeCell ref="D57:F57"/>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E1:F1"/>
    <mergeCell ref="A4:F4"/>
    <mergeCell ref="A6:A7"/>
    <mergeCell ref="B6:B7"/>
    <mergeCell ref="C6:C7"/>
    <mergeCell ref="D6:F6"/>
  </mergeCells>
  <conditionalFormatting sqref="B8:B43">
    <cfRule type="cellIs" dxfId="7" priority="4" operator="lessThan">
      <formula>22105</formula>
    </cfRule>
  </conditionalFormatting>
  <conditionalFormatting sqref="C8:C43">
    <cfRule type="cellIs" dxfId="6" priority="3" operator="lessThan">
      <formula>1</formula>
    </cfRule>
  </conditionalFormatting>
  <conditionalFormatting sqref="C8:F43">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cols>
    <col min="1" max="1" width="16.7109375" style="109"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15" customFormat="1" ht="36.75" customHeight="1">
      <c r="A1" s="114" t="s">
        <v>15</v>
      </c>
      <c r="B1" s="115" t="s">
        <v>3</v>
      </c>
      <c r="D1" s="114"/>
      <c r="E1" s="114" t="s">
        <v>40</v>
      </c>
      <c r="F1" s="114" t="s">
        <v>41</v>
      </c>
      <c r="G1" s="114"/>
      <c r="H1" s="114"/>
      <c r="I1" s="114"/>
      <c r="J1" s="114"/>
      <c r="K1" s="114"/>
      <c r="L1" s="114" t="s">
        <v>42</v>
      </c>
      <c r="M1" s="114" t="s">
        <v>44</v>
      </c>
      <c r="N1" s="114" t="s">
        <v>43</v>
      </c>
    </row>
    <row r="2" spans="1:23" ht="15" customHeight="1">
      <c r="A2" s="108">
        <v>1</v>
      </c>
      <c r="B2" t="s">
        <v>256</v>
      </c>
      <c r="C2" t="s">
        <v>67</v>
      </c>
      <c r="D2" s="110" t="s">
        <v>256</v>
      </c>
      <c r="E2" s="110" t="s">
        <v>46</v>
      </c>
      <c r="F2" s="111">
        <v>44207</v>
      </c>
      <c r="G2" s="101">
        <f>MONTH(F2)</f>
        <v>1</v>
      </c>
      <c r="H2" s="111" t="str">
        <f>IF(G2=$A$26,$A$28,IF(G2=$B$26,$B$28,IF(G2=$C$26,$C$28,IF(G2=$D$26,$D$28,IF(G2=$E$26,$E$28,IF(G2=$F$26,$F$28,IF(G2=$K$26,$K$28,IF(G2=$L$26,$L$28,IF(G2=$M$26,$M$28,IF(G2=$N$26,$N$28,IF(G2=$O$26,$O$28,IF(G2=$P$26,$P$28,0))))))))))))</f>
        <v>yanvar</v>
      </c>
      <c r="I2" s="101">
        <f>DAY(F2)</f>
        <v>11</v>
      </c>
      <c r="J2" s="113">
        <f>YEAR(F2)</f>
        <v>2021</v>
      </c>
      <c r="K2" s="111" t="str">
        <f>""&amp;I2&amp;" "&amp;H2&amp;" "&amp;J2&amp;" г."</f>
        <v>11 yanvar 2021 г.</v>
      </c>
      <c r="L2" s="110">
        <v>5</v>
      </c>
      <c r="M2" s="112">
        <v>15000000</v>
      </c>
      <c r="N2" s="110" t="s">
        <v>130</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61"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c r="A3" s="108">
        <v>2</v>
      </c>
      <c r="D3" s="110" t="s">
        <v>256</v>
      </c>
      <c r="E3" s="110" t="s">
        <v>45</v>
      </c>
      <c r="F3" s="111">
        <v>43775</v>
      </c>
      <c r="G3" s="101">
        <f>MONTH(F3)</f>
        <v>11</v>
      </c>
      <c r="H3" s="111" t="str">
        <f>IF(G3=$A$26,$A$28,IF(G3=$B$26,$B$28,IF(G3=$C$26,$C$28,IF(G3=$D$26,$D$28,IF(G3=$E$26,$E$28,IF(G3=$F$26,$F$28,IF(G3=$K$26,$K$28,IF(G3=$L$26,$L$28,IF(G3=$M$26,$M$28,IF(G3=$N$26,$N$28,IF(G3=$O$26,$O$28,IF(G3=$P$26,$P$28,0))))))))))))</f>
        <v>noyabr</v>
      </c>
      <c r="I3" s="101">
        <f>DAY(F3)</f>
        <v>6</v>
      </c>
      <c r="J3" s="113">
        <f>YEAR(F3)</f>
        <v>2019</v>
      </c>
      <c r="K3" s="111" t="str">
        <f>""&amp;I3&amp;" "&amp;H3&amp;" "&amp;J3&amp;" г."</f>
        <v>6 noyabr 2019 г.</v>
      </c>
      <c r="L3" s="110">
        <v>386</v>
      </c>
      <c r="M3" s="112">
        <v>15000000</v>
      </c>
      <c r="N3" s="110" t="s">
        <v>130</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c r="A4" s="108">
        <v>3</v>
      </c>
      <c r="D4" s="110" t="s">
        <v>256</v>
      </c>
      <c r="E4" s="110" t="s">
        <v>45</v>
      </c>
      <c r="F4" s="111">
        <v>44217</v>
      </c>
      <c r="G4" s="101">
        <f>MONTH(F4)</f>
        <v>1</v>
      </c>
      <c r="H4" s="111" t="str">
        <f>IF(G4=$A$26,$A$28,IF(G4=$B$26,$B$28,IF(G4=$C$26,$C$28,IF(G4=$D$26,$D$28,IF(G4=$E$26,$E$28,IF(G4=$F$26,$F$28,IF(G4=$K$26,$K$28,IF(G4=$L$26,$L$28,IF(G4=$M$26,$M$28,IF(G4=$N$26,$N$28,IF(G4=$O$26,$O$28,IF(G4=$P$26,$P$28,0))))))))))))</f>
        <v>yanvar</v>
      </c>
      <c r="I4" s="101">
        <f>DAY(F4)</f>
        <v>21</v>
      </c>
      <c r="J4" s="113">
        <f>YEAR(F4)</f>
        <v>2021</v>
      </c>
      <c r="K4" s="111" t="str">
        <f>""&amp;I4&amp;" "&amp;H4&amp;" "&amp;J4&amp;" г."</f>
        <v>21 yanvar 2021 г.</v>
      </c>
      <c r="L4" s="110">
        <v>33</v>
      </c>
      <c r="M4" s="112">
        <v>15000000</v>
      </c>
      <c r="N4" s="110" t="s">
        <v>130</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c r="A5" s="108">
        <v>4</v>
      </c>
      <c r="D5" s="110" t="s">
        <v>256</v>
      </c>
      <c r="E5" s="110"/>
      <c r="F5" s="111"/>
      <c r="G5" s="101">
        <f t="shared" ref="G5:G21" si="2">MONTH(F5)</f>
        <v>1</v>
      </c>
      <c r="H5" s="111" t="str">
        <f t="shared" ref="H5:H21" si="3">IF(G5=$A$26,$A$28,IF(G5=$B$26,$B$28,IF(G5=$C$26,$C$28,IF(G5=$D$26,$D$28,IF(G5=$E$26,$E$28,IF(G5=$F$26,$F$28,IF(G5=$K$26,$K$28,IF(G5=$L$26,$L$28,IF(G5=$M$26,$M$28,IF(G5=$N$26,$N$28,IF(G5=$O$26,$O$28,IF(G5=$P$26,$P$28,0))))))))))))</f>
        <v>yanvar</v>
      </c>
      <c r="I5" s="101">
        <f t="shared" ref="I5:I21" si="4">DAY(F5)</f>
        <v>0</v>
      </c>
      <c r="J5" s="113">
        <f t="shared" ref="J5:J21" si="5">YEAR(F5)</f>
        <v>1900</v>
      </c>
      <c r="K5" s="111" t="str">
        <f t="shared" ref="K5:K21" si="6">""&amp;I5&amp;" "&amp;H5&amp;" "&amp;J5&amp;" г."</f>
        <v>0 yanvar 1900 г.</v>
      </c>
      <c r="L5" s="110"/>
      <c r="M5" s="112"/>
      <c r="N5" s="110"/>
      <c r="P5">
        <f t="shared" si="1"/>
        <v>0</v>
      </c>
    </row>
    <row r="6" spans="1:23" ht="15" customHeight="1">
      <c r="A6" s="108">
        <v>5</v>
      </c>
      <c r="D6" s="110" t="s">
        <v>256</v>
      </c>
      <c r="E6" s="110"/>
      <c r="F6" s="111"/>
      <c r="G6" s="101">
        <f t="shared" si="2"/>
        <v>1</v>
      </c>
      <c r="H6" s="111" t="str">
        <f t="shared" si="3"/>
        <v>yanvar</v>
      </c>
      <c r="I6" s="101">
        <f t="shared" si="4"/>
        <v>0</v>
      </c>
      <c r="J6" s="113">
        <f t="shared" si="5"/>
        <v>1900</v>
      </c>
      <c r="K6" s="111" t="str">
        <f t="shared" si="6"/>
        <v>0 yanvar 1900 г.</v>
      </c>
      <c r="L6" s="110"/>
      <c r="M6" s="112"/>
      <c r="N6" s="110"/>
      <c r="P6">
        <f t="shared" si="1"/>
        <v>0</v>
      </c>
    </row>
    <row r="7" spans="1:23" ht="15" customHeight="1">
      <c r="A7" s="108">
        <v>6</v>
      </c>
      <c r="D7" s="110" t="s">
        <v>256</v>
      </c>
      <c r="E7" s="110"/>
      <c r="F7" s="111"/>
      <c r="G7" s="101">
        <f t="shared" si="2"/>
        <v>1</v>
      </c>
      <c r="H7" s="111" t="str">
        <f t="shared" si="3"/>
        <v>yanvar</v>
      </c>
      <c r="I7" s="101">
        <f t="shared" si="4"/>
        <v>0</v>
      </c>
      <c r="J7" s="113">
        <f t="shared" si="5"/>
        <v>1900</v>
      </c>
      <c r="K7" s="111" t="str">
        <f t="shared" si="6"/>
        <v>0 yanvar 1900 г.</v>
      </c>
      <c r="L7" s="110"/>
      <c r="M7" s="112"/>
      <c r="N7" s="110"/>
      <c r="P7">
        <f t="shared" si="1"/>
        <v>0</v>
      </c>
    </row>
    <row r="8" spans="1:23" ht="15" customHeight="1">
      <c r="A8" s="108">
        <v>7</v>
      </c>
      <c r="D8" s="110" t="s">
        <v>256</v>
      </c>
      <c r="E8" s="110"/>
      <c r="F8" s="111"/>
      <c r="G8" s="101">
        <f t="shared" si="2"/>
        <v>1</v>
      </c>
      <c r="H8" s="111" t="str">
        <f t="shared" si="3"/>
        <v>yanvar</v>
      </c>
      <c r="I8" s="101">
        <f t="shared" si="4"/>
        <v>0</v>
      </c>
      <c r="J8" s="113">
        <f t="shared" si="5"/>
        <v>1900</v>
      </c>
      <c r="K8" s="111" t="str">
        <f t="shared" si="6"/>
        <v>0 yanvar 1900 г.</v>
      </c>
      <c r="L8" s="110"/>
      <c r="M8" s="112"/>
      <c r="N8" s="110"/>
      <c r="P8">
        <f t="shared" si="1"/>
        <v>0</v>
      </c>
    </row>
    <row r="9" spans="1:23" ht="15" customHeight="1">
      <c r="A9" s="108">
        <v>8</v>
      </c>
      <c r="D9" s="110" t="s">
        <v>256</v>
      </c>
      <c r="E9" s="110"/>
      <c r="F9" s="111"/>
      <c r="G9" s="101">
        <f t="shared" si="2"/>
        <v>1</v>
      </c>
      <c r="H9" s="111" t="str">
        <f t="shared" si="3"/>
        <v>yanvar</v>
      </c>
      <c r="I9" s="101">
        <f t="shared" si="4"/>
        <v>0</v>
      </c>
      <c r="J9" s="113">
        <f t="shared" si="5"/>
        <v>1900</v>
      </c>
      <c r="K9" s="111" t="str">
        <f t="shared" si="6"/>
        <v>0 yanvar 1900 г.</v>
      </c>
      <c r="L9" s="110"/>
      <c r="M9" s="112"/>
      <c r="N9" s="110"/>
      <c r="P9">
        <f t="shared" si="1"/>
        <v>0</v>
      </c>
    </row>
    <row r="10" spans="1:23" ht="15" customHeight="1">
      <c r="A10" s="108">
        <v>9</v>
      </c>
      <c r="D10" s="110" t="s">
        <v>256</v>
      </c>
      <c r="E10" s="110"/>
      <c r="F10" s="111"/>
      <c r="G10" s="101">
        <f t="shared" si="2"/>
        <v>1</v>
      </c>
      <c r="H10" s="111" t="str">
        <f t="shared" si="3"/>
        <v>yanvar</v>
      </c>
      <c r="I10" s="101">
        <f t="shared" si="4"/>
        <v>0</v>
      </c>
      <c r="J10" s="113">
        <f t="shared" si="5"/>
        <v>1900</v>
      </c>
      <c r="K10" s="111" t="str">
        <f t="shared" si="6"/>
        <v>0 yanvar 1900 г.</v>
      </c>
      <c r="L10" s="110"/>
      <c r="M10" s="112"/>
      <c r="N10" s="110"/>
      <c r="P10">
        <f t="shared" si="1"/>
        <v>0</v>
      </c>
    </row>
    <row r="11" spans="1:23" ht="15" customHeight="1">
      <c r="A11" s="108">
        <v>10</v>
      </c>
      <c r="D11" s="110" t="s">
        <v>256</v>
      </c>
      <c r="E11" s="110"/>
      <c r="F11" s="111"/>
      <c r="G11" s="101">
        <f t="shared" si="2"/>
        <v>1</v>
      </c>
      <c r="H11" s="111" t="str">
        <f t="shared" si="3"/>
        <v>yanvar</v>
      </c>
      <c r="I11" s="101">
        <f t="shared" si="4"/>
        <v>0</v>
      </c>
      <c r="J11" s="113">
        <f t="shared" si="5"/>
        <v>1900</v>
      </c>
      <c r="K11" s="111" t="str">
        <f t="shared" si="6"/>
        <v>0 yanvar 1900 г.</v>
      </c>
      <c r="L11" s="110"/>
      <c r="M11" s="112"/>
      <c r="N11" s="110"/>
      <c r="P11">
        <f t="shared" si="1"/>
        <v>0</v>
      </c>
    </row>
    <row r="12" spans="1:23" ht="15" customHeight="1">
      <c r="A12" s="108">
        <v>11</v>
      </c>
      <c r="D12" s="110" t="s">
        <v>256</v>
      </c>
      <c r="E12" s="110"/>
      <c r="F12" s="111"/>
      <c r="G12" s="101">
        <f t="shared" si="2"/>
        <v>1</v>
      </c>
      <c r="H12" s="111" t="str">
        <f t="shared" si="3"/>
        <v>yanvar</v>
      </c>
      <c r="I12" s="101">
        <f t="shared" si="4"/>
        <v>0</v>
      </c>
      <c r="J12" s="113">
        <f t="shared" si="5"/>
        <v>1900</v>
      </c>
      <c r="K12" s="111" t="str">
        <f t="shared" si="6"/>
        <v>0 yanvar 1900 г.</v>
      </c>
      <c r="L12" s="110"/>
      <c r="M12" s="112"/>
      <c r="N12" s="110"/>
      <c r="P12">
        <f t="shared" si="1"/>
        <v>0</v>
      </c>
    </row>
    <row r="13" spans="1:23" ht="15" customHeight="1">
      <c r="A13" s="108">
        <v>12</v>
      </c>
      <c r="D13" s="110" t="s">
        <v>256</v>
      </c>
      <c r="E13" s="110"/>
      <c r="F13" s="111"/>
      <c r="G13" s="101">
        <f t="shared" si="2"/>
        <v>1</v>
      </c>
      <c r="H13" s="111" t="str">
        <f t="shared" si="3"/>
        <v>yanvar</v>
      </c>
      <c r="I13" s="101">
        <f t="shared" si="4"/>
        <v>0</v>
      </c>
      <c r="J13" s="113">
        <f t="shared" si="5"/>
        <v>1900</v>
      </c>
      <c r="K13" s="111" t="str">
        <f t="shared" si="6"/>
        <v>0 yanvar 1900 г.</v>
      </c>
      <c r="L13" s="110"/>
      <c r="M13" s="112"/>
      <c r="N13" s="110"/>
      <c r="P13">
        <f t="shared" si="1"/>
        <v>0</v>
      </c>
    </row>
    <row r="14" spans="1:23" ht="15" customHeight="1">
      <c r="A14" s="108">
        <v>13</v>
      </c>
      <c r="D14" s="110" t="s">
        <v>256</v>
      </c>
      <c r="E14" s="110"/>
      <c r="F14" s="111"/>
      <c r="G14" s="101">
        <f t="shared" si="2"/>
        <v>1</v>
      </c>
      <c r="H14" s="111" t="str">
        <f t="shared" si="3"/>
        <v>yanvar</v>
      </c>
      <c r="I14" s="101">
        <f t="shared" si="4"/>
        <v>0</v>
      </c>
      <c r="J14" s="113">
        <f t="shared" si="5"/>
        <v>1900</v>
      </c>
      <c r="K14" s="111" t="str">
        <f t="shared" si="6"/>
        <v>0 yanvar 1900 г.</v>
      </c>
      <c r="L14" s="110"/>
      <c r="M14" s="112"/>
      <c r="N14" s="110"/>
      <c r="P14">
        <f t="shared" si="1"/>
        <v>0</v>
      </c>
    </row>
    <row r="15" spans="1:23" ht="15" customHeight="1">
      <c r="A15" s="108">
        <v>14</v>
      </c>
      <c r="D15" s="110" t="s">
        <v>256</v>
      </c>
      <c r="E15" s="110"/>
      <c r="F15" s="111"/>
      <c r="G15" s="101">
        <f t="shared" si="2"/>
        <v>1</v>
      </c>
      <c r="H15" s="111" t="str">
        <f t="shared" si="3"/>
        <v>yanvar</v>
      </c>
      <c r="I15" s="101">
        <f t="shared" si="4"/>
        <v>0</v>
      </c>
      <c r="J15" s="113">
        <f t="shared" si="5"/>
        <v>1900</v>
      </c>
      <c r="K15" s="111" t="str">
        <f t="shared" si="6"/>
        <v>0 yanvar 1900 г.</v>
      </c>
      <c r="L15" s="110"/>
      <c r="M15" s="112"/>
      <c r="N15" s="110"/>
      <c r="P15">
        <f t="shared" si="1"/>
        <v>0</v>
      </c>
    </row>
    <row r="16" spans="1:23" ht="15" customHeight="1">
      <c r="A16" s="108">
        <v>15</v>
      </c>
      <c r="D16" s="110" t="s">
        <v>256</v>
      </c>
      <c r="E16" s="110"/>
      <c r="F16" s="111"/>
      <c r="G16" s="101">
        <f t="shared" si="2"/>
        <v>1</v>
      </c>
      <c r="H16" s="111" t="str">
        <f t="shared" si="3"/>
        <v>yanvar</v>
      </c>
      <c r="I16" s="101">
        <f t="shared" si="4"/>
        <v>0</v>
      </c>
      <c r="J16" s="113">
        <f t="shared" si="5"/>
        <v>1900</v>
      </c>
      <c r="K16" s="111" t="str">
        <f t="shared" si="6"/>
        <v>0 yanvar 1900 г.</v>
      </c>
      <c r="L16" s="110"/>
      <c r="M16" s="112"/>
      <c r="N16" s="110"/>
      <c r="P16">
        <f t="shared" si="1"/>
        <v>0</v>
      </c>
    </row>
    <row r="17" spans="1:17" ht="15" customHeight="1">
      <c r="A17" s="108">
        <v>16</v>
      </c>
      <c r="D17" s="110" t="s">
        <v>256</v>
      </c>
      <c r="E17" s="110"/>
      <c r="F17" s="111"/>
      <c r="G17" s="101">
        <f t="shared" si="2"/>
        <v>1</v>
      </c>
      <c r="H17" s="111" t="str">
        <f t="shared" si="3"/>
        <v>yanvar</v>
      </c>
      <c r="I17" s="101">
        <f t="shared" si="4"/>
        <v>0</v>
      </c>
      <c r="J17" s="113">
        <f t="shared" si="5"/>
        <v>1900</v>
      </c>
      <c r="K17" s="111" t="str">
        <f t="shared" si="6"/>
        <v>0 yanvar 1900 г.</v>
      </c>
      <c r="L17" s="110"/>
      <c r="M17" s="112"/>
      <c r="N17" s="110"/>
      <c r="P17">
        <f t="shared" si="1"/>
        <v>0</v>
      </c>
    </row>
    <row r="18" spans="1:17" ht="15" customHeight="1">
      <c r="A18" s="108">
        <v>17</v>
      </c>
      <c r="D18" s="110" t="s">
        <v>256</v>
      </c>
      <c r="E18" s="110"/>
      <c r="F18" s="111"/>
      <c r="G18" s="101">
        <f t="shared" si="2"/>
        <v>1</v>
      </c>
      <c r="H18" s="111" t="str">
        <f t="shared" si="3"/>
        <v>yanvar</v>
      </c>
      <c r="I18" s="101">
        <f t="shared" si="4"/>
        <v>0</v>
      </c>
      <c r="J18" s="113">
        <f t="shared" si="5"/>
        <v>1900</v>
      </c>
      <c r="K18" s="111" t="str">
        <f t="shared" si="6"/>
        <v>0 yanvar 1900 г.</v>
      </c>
      <c r="L18" s="110"/>
      <c r="M18" s="112"/>
      <c r="N18" s="110"/>
      <c r="P18">
        <f t="shared" si="1"/>
        <v>0</v>
      </c>
    </row>
    <row r="19" spans="1:17" ht="15" customHeight="1">
      <c r="A19" s="108">
        <v>18</v>
      </c>
      <c r="D19" s="110" t="s">
        <v>256</v>
      </c>
      <c r="E19" s="110"/>
      <c r="F19" s="111"/>
      <c r="G19" s="101">
        <f t="shared" si="2"/>
        <v>1</v>
      </c>
      <c r="H19" s="111" t="str">
        <f t="shared" si="3"/>
        <v>yanvar</v>
      </c>
      <c r="I19" s="101">
        <f t="shared" si="4"/>
        <v>0</v>
      </c>
      <c r="J19" s="113">
        <f t="shared" si="5"/>
        <v>1900</v>
      </c>
      <c r="K19" s="111" t="str">
        <f t="shared" si="6"/>
        <v>0 yanvar 1900 г.</v>
      </c>
      <c r="L19" s="110"/>
      <c r="M19" s="112"/>
      <c r="N19" s="110"/>
      <c r="P19">
        <f t="shared" si="1"/>
        <v>0</v>
      </c>
    </row>
    <row r="20" spans="1:17" ht="15" customHeight="1">
      <c r="A20" s="108">
        <v>19</v>
      </c>
      <c r="D20" s="110" t="s">
        <v>256</v>
      </c>
      <c r="E20" s="110"/>
      <c r="F20" s="111"/>
      <c r="G20" s="101">
        <f t="shared" si="2"/>
        <v>1</v>
      </c>
      <c r="H20" s="111" t="str">
        <f t="shared" si="3"/>
        <v>yanvar</v>
      </c>
      <c r="I20" s="101">
        <f t="shared" si="4"/>
        <v>0</v>
      </c>
      <c r="J20" s="113">
        <f t="shared" si="5"/>
        <v>1900</v>
      </c>
      <c r="K20" s="111" t="str">
        <f t="shared" si="6"/>
        <v>0 yanvar 1900 г.</v>
      </c>
      <c r="L20" s="110"/>
      <c r="M20" s="112"/>
      <c r="N20" s="110"/>
      <c r="P20">
        <f t="shared" si="1"/>
        <v>0</v>
      </c>
    </row>
    <row r="21" spans="1:17" ht="15" customHeight="1">
      <c r="A21" s="108">
        <v>20</v>
      </c>
      <c r="D21" s="110" t="s">
        <v>256</v>
      </c>
      <c r="E21" s="110"/>
      <c r="F21" s="111"/>
      <c r="G21" s="101">
        <f t="shared" si="2"/>
        <v>1</v>
      </c>
      <c r="H21" s="111" t="str">
        <f t="shared" si="3"/>
        <v>yanvar</v>
      </c>
      <c r="I21" s="101">
        <f t="shared" si="4"/>
        <v>0</v>
      </c>
      <c r="J21" s="113">
        <f t="shared" si="5"/>
        <v>1900</v>
      </c>
      <c r="K21" s="111" t="str">
        <f t="shared" si="6"/>
        <v>0 yanvar 1900 г.</v>
      </c>
      <c r="L21" s="110"/>
      <c r="M21" s="112"/>
      <c r="N21" s="110"/>
      <c r="P21">
        <f t="shared" si="1"/>
        <v>0</v>
      </c>
    </row>
    <row r="22" spans="1:17">
      <c r="M22" s="116">
        <f>SUM(M2:M21)+malumot!B142</f>
        <v>85500000</v>
      </c>
      <c r="Q22" t="s">
        <v>255</v>
      </c>
    </row>
    <row r="23" spans="1:17">
      <c r="A23" s="97"/>
      <c r="B23" s="98"/>
      <c r="C23" s="98"/>
      <c r="D23" s="98"/>
      <c r="E23" s="98"/>
      <c r="F23" s="98"/>
      <c r="G23" s="98"/>
      <c r="H23" s="98"/>
      <c r="I23" s="98"/>
      <c r="J23" s="98"/>
      <c r="K23" s="98"/>
      <c r="L23" s="98"/>
      <c r="M23" s="98"/>
      <c r="N23" s="98"/>
      <c r="O23" s="98"/>
    </row>
    <row r="24" spans="1:17">
      <c r="A24" s="98"/>
      <c r="B24" s="98"/>
      <c r="C24" s="98"/>
      <c r="D24" s="98"/>
      <c r="E24" s="98"/>
      <c r="F24" s="98"/>
      <c r="G24" s="98"/>
      <c r="H24" s="98"/>
      <c r="I24" s="98"/>
      <c r="J24" s="98"/>
      <c r="K24" s="98"/>
      <c r="L24" s="98"/>
      <c r="M24" s="98"/>
      <c r="N24" s="98"/>
      <c r="O24" s="98"/>
    </row>
    <row r="25" spans="1:17">
      <c r="A25" s="98">
        <f>MONTH(F2)</f>
        <v>1</v>
      </c>
      <c r="B25" s="98" t="str">
        <f>IF(A25=A26,A28,IF(A25=B26,B28,IF(A25=C26,C28,IF(A25=D26,D28,IF(A25=E26,E28,IF(A25=F26,F28,IF(A25=K26,K28,IF(A25=L26,L28,IF(A25=M26,M28,IF(A25=N26,N28,IF(A25=O26,O28,IF(A25=#REF!,#REF!,))))))))))))</f>
        <v>yanvar</v>
      </c>
      <c r="C25" s="98">
        <f>DAY(F2)</f>
        <v>11</v>
      </c>
      <c r="D25" s="98">
        <f>YEAR(F2)</f>
        <v>2021</v>
      </c>
      <c r="E25" s="98"/>
      <c r="F25" s="98"/>
      <c r="G25" s="98"/>
      <c r="H25" s="98"/>
      <c r="I25" s="98"/>
      <c r="J25" s="98"/>
      <c r="K25" s="98"/>
      <c r="L25" s="98"/>
      <c r="M25" s="98"/>
      <c r="N25" s="98"/>
      <c r="O25" s="98"/>
    </row>
    <row r="26" spans="1:17">
      <c r="A26" s="98">
        <v>1</v>
      </c>
      <c r="B26" s="98">
        <v>2</v>
      </c>
      <c r="C26" s="98">
        <v>3</v>
      </c>
      <c r="D26" s="98">
        <v>4</v>
      </c>
      <c r="E26" s="98">
        <v>5</v>
      </c>
      <c r="F26" s="98">
        <v>6</v>
      </c>
      <c r="G26" s="98"/>
      <c r="H26" s="98"/>
      <c r="I26" s="98"/>
      <c r="J26" s="98"/>
      <c r="K26" s="98">
        <v>7</v>
      </c>
      <c r="L26" s="98">
        <v>8</v>
      </c>
      <c r="M26" s="98">
        <v>9</v>
      </c>
      <c r="N26" s="98">
        <v>10</v>
      </c>
      <c r="O26" s="98">
        <v>11</v>
      </c>
      <c r="P26" s="98">
        <v>12</v>
      </c>
    </row>
    <row r="27" spans="1:17">
      <c r="A27" s="98"/>
      <c r="B27" s="98"/>
      <c r="C27" s="98"/>
      <c r="D27" s="98"/>
      <c r="E27" s="98"/>
      <c r="F27" s="98"/>
      <c r="G27" s="98"/>
      <c r="H27" s="98"/>
      <c r="I27" s="98"/>
      <c r="J27" s="98"/>
      <c r="K27" s="98"/>
      <c r="L27" s="98"/>
      <c r="M27" s="98"/>
      <c r="N27" s="98"/>
      <c r="O27" s="98"/>
    </row>
    <row r="28" spans="1:17">
      <c r="A28" s="98" t="s">
        <v>119</v>
      </c>
      <c r="B28" s="98" t="s">
        <v>120</v>
      </c>
      <c r="C28" s="98" t="s">
        <v>109</v>
      </c>
      <c r="D28" s="98" t="s">
        <v>110</v>
      </c>
      <c r="E28" s="98" t="s">
        <v>111</v>
      </c>
      <c r="F28" s="98" t="s">
        <v>112</v>
      </c>
      <c r="G28" s="98"/>
      <c r="H28" s="98"/>
      <c r="I28" s="98"/>
      <c r="J28" s="98"/>
      <c r="K28" s="98" t="s">
        <v>24</v>
      </c>
      <c r="L28" s="98" t="s">
        <v>114</v>
      </c>
      <c r="M28" s="98" t="s">
        <v>254</v>
      </c>
      <c r="N28" s="98" t="s">
        <v>253</v>
      </c>
      <c r="O28" s="98" t="s">
        <v>117</v>
      </c>
      <c r="P28" s="98" t="s">
        <v>118</v>
      </c>
    </row>
    <row r="29" spans="1:17">
      <c r="A29" s="98" t="s">
        <v>119</v>
      </c>
      <c r="B29" s="98" t="s">
        <v>120</v>
      </c>
      <c r="C29" s="98" t="s">
        <v>109</v>
      </c>
      <c r="D29" s="98" t="s">
        <v>110</v>
      </c>
      <c r="E29" s="98" t="s">
        <v>111</v>
      </c>
      <c r="F29" s="98" t="s">
        <v>112</v>
      </c>
      <c r="G29" s="98"/>
      <c r="H29" s="98"/>
      <c r="I29" s="98"/>
      <c r="J29" s="98"/>
      <c r="K29" s="98" t="s">
        <v>28</v>
      </c>
      <c r="L29" s="98" t="s">
        <v>114</v>
      </c>
      <c r="M29" s="98" t="s">
        <v>254</v>
      </c>
      <c r="N29" s="98" t="s">
        <v>253</v>
      </c>
      <c r="O29" s="98" t="s">
        <v>117</v>
      </c>
      <c r="P29" s="98" t="s">
        <v>118</v>
      </c>
    </row>
    <row r="30" spans="1:17">
      <c r="A30" s="98"/>
      <c r="B30" s="98"/>
      <c r="C30" s="98"/>
      <c r="D30" s="98"/>
      <c r="E30" s="98"/>
      <c r="F30" s="98"/>
      <c r="G30" s="98"/>
      <c r="H30" s="98"/>
      <c r="I30" s="98"/>
      <c r="J30" s="98"/>
      <c r="K30" s="98"/>
      <c r="L30" s="99"/>
      <c r="M30" s="99"/>
      <c r="N30" s="99"/>
      <c r="O30" s="99"/>
    </row>
  </sheetData>
  <dataValidations count="1">
    <dataValidation type="list" allowBlank="1" showInputMessage="1" showErrorMessage="1" sqref="D2:D21" xr:uid="{00000000-0002-0000-0200-000000000000}">
      <formula1>$B$2:$C$2</formula1>
    </dataValidation>
  </dataValidations>
  <pageMargins left="0.7" right="0.7" top="0.75" bottom="0.75" header="0.3" footer="0.3"/>
  <pageSetup paperSize="9" scale="6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8">
    <tabColor theme="1"/>
  </sheetPr>
  <dimension ref="A1:H64"/>
  <sheetViews>
    <sheetView view="pageBreakPreview" topLeftCell="A17" zoomScaleSheetLayoutView="100" workbookViewId="0">
      <selection activeCell="D37" sqref="D37"/>
    </sheetView>
  </sheetViews>
  <sheetFormatPr defaultColWidth="9.140625" defaultRowHeight="15" outlineLevelCol="1"/>
  <cols>
    <col min="1" max="1" width="9.140625" style="15"/>
    <col min="2" max="2" width="10.140625" style="15" bestFit="1" customWidth="1"/>
    <col min="3" max="3" width="16.5703125" style="15" customWidth="1"/>
    <col min="4" max="4" width="17.140625" style="15" customWidth="1"/>
    <col min="5" max="5" width="17.85546875" style="15" customWidth="1"/>
    <col min="6" max="6" width="20.85546875" style="15" customWidth="1"/>
    <col min="7" max="7" width="10.140625" style="15" customWidth="1" outlineLevel="1"/>
    <col min="8" max="16384" width="9.140625" style="15"/>
  </cols>
  <sheetData>
    <row r="1" spans="1:8">
      <c r="A1" s="37"/>
      <c r="B1" s="37"/>
      <c r="C1" s="37"/>
      <c r="D1" s="37"/>
      <c r="E1" s="311" t="s">
        <v>16</v>
      </c>
      <c r="F1" s="311"/>
    </row>
    <row r="2" spans="1:8">
      <c r="A2" s="37"/>
      <c r="B2" s="37"/>
      <c r="C2" s="37"/>
      <c r="D2" s="37"/>
      <c r="E2" s="37"/>
      <c r="F2" s="38" t="str">
        <f>"к договору микрозайма "&amp;malumot!B74&amp;""</f>
        <v>к договору микрозайма 11 mart 2025 y.dan № 23-AL</v>
      </c>
    </row>
    <row r="3" spans="1:8" ht="6.75" customHeight="1">
      <c r="A3" s="37"/>
      <c r="B3" s="37"/>
      <c r="C3" s="37"/>
      <c r="D3" s="37"/>
      <c r="E3" s="37"/>
      <c r="F3" s="37"/>
    </row>
    <row r="4" spans="1:8">
      <c r="A4" s="312" t="s">
        <v>17</v>
      </c>
      <c r="B4" s="312"/>
      <c r="C4" s="312"/>
      <c r="D4" s="312"/>
      <c r="E4" s="312"/>
      <c r="F4" s="312"/>
    </row>
    <row r="5" spans="1:8" ht="7.5" customHeight="1"/>
    <row r="6" spans="1:8">
      <c r="A6" s="313" t="s">
        <v>15</v>
      </c>
      <c r="B6" s="314" t="s">
        <v>9</v>
      </c>
      <c r="C6" s="314" t="s">
        <v>10</v>
      </c>
      <c r="D6" s="315" t="s">
        <v>11</v>
      </c>
      <c r="E6" s="315"/>
      <c r="F6" s="315"/>
    </row>
    <row r="7" spans="1:8" s="16" customFormat="1">
      <c r="A7" s="313"/>
      <c r="B7" s="314"/>
      <c r="C7" s="314"/>
      <c r="D7" s="17" t="s">
        <v>12</v>
      </c>
      <c r="E7" s="17" t="s">
        <v>13</v>
      </c>
      <c r="F7" s="17" t="s">
        <v>14</v>
      </c>
    </row>
    <row r="8" spans="1:8">
      <c r="A8" s="18">
        <v>1</v>
      </c>
      <c r="B8" s="33">
        <f>'График дифференц'!B8</f>
        <v>45754</v>
      </c>
      <c r="C8" s="34">
        <f>malumot!B75</f>
        <v>27000000</v>
      </c>
      <c r="D8" s="34">
        <f>IF(A8&lt;malumot!$B$81,'График аннуитет.'!F8-'График аннуитет.'!E8,'График аннуитет.'!C8)</f>
        <v>853561.64000000013</v>
      </c>
      <c r="E8" s="34">
        <f>ROUND(C8*malumot!$B$84/H8,2)*'График аннуитет.'!G8</f>
        <v>1198356.1199999999</v>
      </c>
      <c r="F8" s="34">
        <f>malumot!B90</f>
        <v>2051917.76</v>
      </c>
      <c r="G8" s="15">
        <f>B8-malumot!B67</f>
        <v>27</v>
      </c>
      <c r="H8" s="15">
        <f>DATE(YEAR(B8),12,31)-DATE(YEAR(B8),1,1)+1</f>
        <v>365</v>
      </c>
    </row>
    <row r="9" spans="1:8">
      <c r="A9" s="18">
        <v>2</v>
      </c>
      <c r="B9" s="33">
        <f>'График дифференц'!B9</f>
        <v>45782</v>
      </c>
      <c r="C9" s="34">
        <f t="shared" ref="C9:C30" si="0">C8-D8</f>
        <v>26146438.359999999</v>
      </c>
      <c r="D9" s="34">
        <f>IF(A9&lt;malumot!$B$81,'График аннуитет.'!F9-'График аннуитет.'!E9,'График аннуитет.'!C9)</f>
        <v>848465.16000000015</v>
      </c>
      <c r="E9" s="34">
        <f>ROUND(C9*malumot!$B$84/H9,2)*'График аннуитет.'!G9</f>
        <v>1203452.5999999999</v>
      </c>
      <c r="F9" s="34">
        <f>IF(A9&lt;malumot!$B$81,'График аннуитет.'!F8,'График аннуитет.'!D9+'График аннуитет.'!E9)</f>
        <v>2051917.76</v>
      </c>
      <c r="G9" s="15">
        <f>B9-B8</f>
        <v>28</v>
      </c>
      <c r="H9" s="15">
        <f t="shared" ref="H9:H31" si="1">DATE(YEAR(B9),12,31)-DATE(YEAR(B9),1,1)+1</f>
        <v>365</v>
      </c>
    </row>
    <row r="10" spans="1:8">
      <c r="A10" s="18">
        <v>3</v>
      </c>
      <c r="B10" s="33">
        <f>'График дифференц'!B10</f>
        <v>45813</v>
      </c>
      <c r="C10" s="34">
        <f t="shared" si="0"/>
        <v>25297973.199999999</v>
      </c>
      <c r="D10" s="34">
        <f>IF(A10&lt;malumot!$B$81,'График аннуитет.'!F10-'График аннуитет.'!E10,'График аннуитет.'!C10)</f>
        <v>762760.75</v>
      </c>
      <c r="E10" s="34">
        <f>ROUND(C10*malumot!$B$84/H10,2)*'График аннуитет.'!G10</f>
        <v>1289157.01</v>
      </c>
      <c r="F10" s="34">
        <f>IF(A10&lt;malumot!$B$81,'График аннуитет.'!F9,'График аннуитет.'!D10+'График аннуитет.'!E10)</f>
        <v>2051917.76</v>
      </c>
      <c r="G10" s="15">
        <f t="shared" ref="G10:G24" si="2">B10-B9</f>
        <v>31</v>
      </c>
      <c r="H10" s="15">
        <f t="shared" si="1"/>
        <v>365</v>
      </c>
    </row>
    <row r="11" spans="1:8">
      <c r="A11" s="18">
        <v>4</v>
      </c>
      <c r="B11" s="33">
        <f>'График дифференц'!B11</f>
        <v>45845</v>
      </c>
      <c r="C11" s="34">
        <f t="shared" si="0"/>
        <v>24535212.449999999</v>
      </c>
      <c r="D11" s="34">
        <f>IF(A11&lt;malumot!$B$81,'График аннуитет.'!F11-'График аннуитет.'!E11,'График аннуитет.'!C11)</f>
        <v>761298.24</v>
      </c>
      <c r="E11" s="34">
        <f>ROUND(C11*malumot!$B$84/H11,2)*'График аннуитет.'!G11</f>
        <v>1290619.52</v>
      </c>
      <c r="F11" s="34">
        <f>IF(A11&lt;malumot!$B$81,'График аннуитет.'!F10,'График аннуитет.'!D11+'График аннуитет.'!E11)</f>
        <v>2051917.76</v>
      </c>
      <c r="G11" s="15">
        <f t="shared" si="2"/>
        <v>32</v>
      </c>
      <c r="H11" s="15">
        <f t="shared" si="1"/>
        <v>365</v>
      </c>
    </row>
    <row r="12" spans="1:8">
      <c r="A12" s="18">
        <v>5</v>
      </c>
      <c r="B12" s="33">
        <f>'График дифференц'!B12</f>
        <v>45874</v>
      </c>
      <c r="C12" s="34">
        <f t="shared" si="0"/>
        <v>23773914.210000001</v>
      </c>
      <c r="D12" s="34">
        <f>IF(A12&lt;malumot!$B$81,'График аннуитет.'!F12-'График аннуитет.'!E12,'График аннуитет.'!C12)</f>
        <v>918585.86999999988</v>
      </c>
      <c r="E12" s="34">
        <f>ROUND(C12*malumot!$B$84/H12,2)*'График аннуитет.'!G12</f>
        <v>1133331.8900000001</v>
      </c>
      <c r="F12" s="34">
        <f>IF(A12&lt;malumot!$B$81,'График аннуитет.'!F11,'График аннуитет.'!D12+'График аннуитет.'!E12)</f>
        <v>2051917.76</v>
      </c>
      <c r="G12" s="15">
        <f t="shared" si="2"/>
        <v>29</v>
      </c>
      <c r="H12" s="15">
        <f t="shared" si="1"/>
        <v>365</v>
      </c>
    </row>
    <row r="13" spans="1:8">
      <c r="A13" s="18">
        <v>6</v>
      </c>
      <c r="B13" s="33">
        <f>'График дифференц'!B13</f>
        <v>45905</v>
      </c>
      <c r="C13" s="34">
        <f t="shared" si="0"/>
        <v>22855328.34</v>
      </c>
      <c r="D13" s="34">
        <f>IF(A13&lt;malumot!$B$81,'График аннуитет.'!F13-'График аннуитет.'!E13,'График аннуитет.'!C13)</f>
        <v>887235.35999999987</v>
      </c>
      <c r="E13" s="34">
        <f>ROUND(C13*malumot!$B$84/H13,2)*'График аннуитет.'!G13</f>
        <v>1164682.4000000001</v>
      </c>
      <c r="F13" s="34">
        <f>IF(A13&lt;malumot!$B$81,'График аннуитет.'!F12,'График аннуитет.'!D13+'График аннуитет.'!E13)</f>
        <v>2051917.76</v>
      </c>
      <c r="G13" s="15">
        <f t="shared" si="2"/>
        <v>31</v>
      </c>
      <c r="H13" s="15">
        <f t="shared" si="1"/>
        <v>365</v>
      </c>
    </row>
    <row r="14" spans="1:8">
      <c r="A14" s="18">
        <v>7</v>
      </c>
      <c r="B14" s="33">
        <f>'График дифференц'!B14</f>
        <v>45936</v>
      </c>
      <c r="C14" s="34">
        <f t="shared" si="0"/>
        <v>21968092.98</v>
      </c>
      <c r="D14" s="34">
        <f>IF(A14&lt;malumot!$B$81,'График аннуитет.'!F14-'График аннуитет.'!E14,'График аннуитет.'!C14)</f>
        <v>932447.92999999993</v>
      </c>
      <c r="E14" s="34">
        <f>ROUND(C14*malumot!$B$84/H14,2)*'График аннуитет.'!G14</f>
        <v>1119469.83</v>
      </c>
      <c r="F14" s="34">
        <f>IF(A14&lt;malumot!$B$81,'График аннуитет.'!F13,'График аннуитет.'!D14+'График аннуитет.'!E14)</f>
        <v>2051917.76</v>
      </c>
      <c r="G14" s="15">
        <f t="shared" si="2"/>
        <v>31</v>
      </c>
      <c r="H14" s="15">
        <f t="shared" si="1"/>
        <v>365</v>
      </c>
    </row>
    <row r="15" spans="1:8">
      <c r="A15" s="18">
        <v>8</v>
      </c>
      <c r="B15" s="33">
        <f>'График дифференц'!B15</f>
        <v>45966</v>
      </c>
      <c r="C15" s="34">
        <f t="shared" si="0"/>
        <v>21035645.050000001</v>
      </c>
      <c r="D15" s="34">
        <f>IF(A15&lt;malumot!$B$81,'График аннуитет.'!F15-'График аннуитет.'!E15,'График аннуитет.'!C15)</f>
        <v>1014543.56</v>
      </c>
      <c r="E15" s="34">
        <f>ROUND(C15*malumot!$B$84/H15,2)*'График аннуитет.'!G15</f>
        <v>1037374.2</v>
      </c>
      <c r="F15" s="34">
        <f>IF(A15&lt;malumot!$B$81,'График аннуитет.'!F14,'График аннуитет.'!D15+'График аннуитет.'!E15)</f>
        <v>2051917.76</v>
      </c>
      <c r="G15" s="15">
        <f t="shared" si="2"/>
        <v>30</v>
      </c>
      <c r="H15" s="15">
        <f t="shared" si="1"/>
        <v>365</v>
      </c>
    </row>
    <row r="16" spans="1:8">
      <c r="A16" s="18">
        <v>9</v>
      </c>
      <c r="B16" s="33">
        <f>'График дифференц'!B16</f>
        <v>45996</v>
      </c>
      <c r="C16" s="34">
        <f t="shared" si="0"/>
        <v>20021101.490000002</v>
      </c>
      <c r="D16" s="34">
        <f>IF(A16&lt;malumot!$B$81,'График аннуитет.'!F16-'График аннуитет.'!E16,'График аннуитет.'!C16)</f>
        <v>1064575.76</v>
      </c>
      <c r="E16" s="34">
        <f>ROUND(C16*malumot!$B$84/H16,2)*'График аннуитет.'!G16</f>
        <v>987342</v>
      </c>
      <c r="F16" s="34">
        <f>IF(A16&lt;malumot!$B$81,'График аннуитет.'!F15,'График аннуитет.'!D16+'График аннуитет.'!E16)</f>
        <v>2051917.76</v>
      </c>
      <c r="G16" s="15">
        <f t="shared" si="2"/>
        <v>30</v>
      </c>
      <c r="H16" s="15">
        <f t="shared" si="1"/>
        <v>365</v>
      </c>
    </row>
    <row r="17" spans="1:8">
      <c r="A17" s="18">
        <v>10</v>
      </c>
      <c r="B17" s="33">
        <f>'График дифференц'!B17</f>
        <v>46027</v>
      </c>
      <c r="C17" s="34">
        <f t="shared" si="0"/>
        <v>18956525.73</v>
      </c>
      <c r="D17" s="34">
        <f>IF(A17&lt;malumot!$B$81,'График аннуитет.'!F17-'График аннуитет.'!E17,'График аннуитет.'!C17)</f>
        <v>1085914.05</v>
      </c>
      <c r="E17" s="34">
        <f>ROUND(C17*malumot!$B$84/H17,2)*'График аннуитет.'!G17</f>
        <v>966003.71</v>
      </c>
      <c r="F17" s="34">
        <f>IF(A17&lt;malumot!$B$81,'График аннуитет.'!F16,'График аннуитет.'!D17+'График аннуитет.'!E17)</f>
        <v>2051917.76</v>
      </c>
      <c r="G17" s="15">
        <f t="shared" si="2"/>
        <v>31</v>
      </c>
      <c r="H17" s="15">
        <f t="shared" si="1"/>
        <v>365</v>
      </c>
    </row>
    <row r="18" spans="1:8">
      <c r="A18" s="18">
        <v>11</v>
      </c>
      <c r="B18" s="33">
        <f>'График дифференц'!B18</f>
        <v>46058</v>
      </c>
      <c r="C18" s="34">
        <f t="shared" si="0"/>
        <v>17870611.68</v>
      </c>
      <c r="D18" s="34">
        <f>IF(A18&lt;malumot!$B$81,'График аннуитет.'!F18-'График аннуитет.'!E18,'График аннуитет.'!C18)</f>
        <v>1141250.9100000001</v>
      </c>
      <c r="E18" s="34">
        <f>ROUND(C18*malumot!$B$84/H18,2)*'График аннуитет.'!G18</f>
        <v>910666.85</v>
      </c>
      <c r="F18" s="34">
        <f>IF(A18&lt;malumot!$B$81,'График аннуитет.'!F17,'График аннуитет.'!D18+'График аннуитет.'!E18)</f>
        <v>2051917.76</v>
      </c>
      <c r="G18" s="15">
        <f t="shared" si="2"/>
        <v>31</v>
      </c>
      <c r="H18" s="15">
        <f t="shared" si="1"/>
        <v>365</v>
      </c>
    </row>
    <row r="19" spans="1:8">
      <c r="A19" s="18">
        <v>12</v>
      </c>
      <c r="B19" s="33">
        <f>'График дифференц'!B19</f>
        <v>46086</v>
      </c>
      <c r="C19" s="34">
        <f t="shared" si="0"/>
        <v>16729360.77</v>
      </c>
      <c r="D19" s="34">
        <f>IF(A19&lt;malumot!$B$81,'График аннуитет.'!F19-'График аннуитет.'!E19,'График аннуитет.'!C19)</f>
        <v>1281908.8</v>
      </c>
      <c r="E19" s="34">
        <f>ROUND(C19*malumot!$B$84/H19,2)*'График аннуитет.'!G19</f>
        <v>770008.96</v>
      </c>
      <c r="F19" s="34">
        <f>IF(A19&lt;malumot!$B$81,'График аннуитет.'!F18,'График аннуитет.'!D19+'График аннуитет.'!E19)</f>
        <v>2051917.76</v>
      </c>
      <c r="G19" s="15">
        <f>B19-B18</f>
        <v>28</v>
      </c>
      <c r="H19" s="15">
        <f t="shared" si="1"/>
        <v>365</v>
      </c>
    </row>
    <row r="20" spans="1:8">
      <c r="A20" s="18">
        <v>13</v>
      </c>
      <c r="B20" s="33">
        <f>'График дифференц'!B20</f>
        <v>46118</v>
      </c>
      <c r="C20" s="34">
        <f t="shared" si="0"/>
        <v>15447451.969999999</v>
      </c>
      <c r="D20" s="34">
        <f>IF(A20&lt;malumot!$B$81,'График аннуитет.'!F20-'График аннуитет.'!E20,'График аннуитет.'!C20)</f>
        <v>1239339.52</v>
      </c>
      <c r="E20" s="34">
        <f>ROUND(C20*malumot!$B$84/H20,2)*'График аннуитет.'!G20</f>
        <v>812578.24</v>
      </c>
      <c r="F20" s="34">
        <f>IF(A20&lt;malumot!$B$81,'График аннуитет.'!F19,'График аннуитет.'!D20+'График аннуитет.'!E20)</f>
        <v>2051917.76</v>
      </c>
      <c r="G20" s="15">
        <f t="shared" si="2"/>
        <v>32</v>
      </c>
      <c r="H20" s="15">
        <f t="shared" si="1"/>
        <v>365</v>
      </c>
    </row>
    <row r="21" spans="1:8">
      <c r="A21" s="18">
        <v>14</v>
      </c>
      <c r="B21" s="33">
        <f>'График дифференц'!B21</f>
        <v>46147</v>
      </c>
      <c r="C21" s="34">
        <f t="shared" si="0"/>
        <v>14208112.449999999</v>
      </c>
      <c r="D21" s="34">
        <f>IF(A21&lt;malumot!$B$81,'График аннуитет.'!F21-'График аннуитет.'!E21,'График аннуитет.'!C21)</f>
        <v>1374599.56</v>
      </c>
      <c r="E21" s="34">
        <f>ROUND(C21*malumot!$B$84/H21,2)*'График аннуитет.'!G21</f>
        <v>677318.2</v>
      </c>
      <c r="F21" s="34">
        <f>IF(A21&lt;malumot!$B$81,'График аннуитет.'!F20,'График аннуитет.'!D21+'График аннуитет.'!E21)</f>
        <v>2051917.76</v>
      </c>
      <c r="G21" s="15">
        <f t="shared" si="2"/>
        <v>29</v>
      </c>
      <c r="H21" s="15">
        <f t="shared" si="1"/>
        <v>365</v>
      </c>
    </row>
    <row r="22" spans="1:8">
      <c r="A22" s="18">
        <v>15</v>
      </c>
      <c r="B22" s="33">
        <f>'График дифференц'!B22</f>
        <v>46178</v>
      </c>
      <c r="C22" s="34">
        <f t="shared" si="0"/>
        <v>12833512.889999999</v>
      </c>
      <c r="D22" s="34">
        <f>IF(A22&lt;malumot!$B$81,'График аннуитет.'!F22-'График аннуитет.'!E22,'График аннуитет.'!C22)</f>
        <v>1397935.87</v>
      </c>
      <c r="E22" s="34">
        <f>ROUND(C22*malumot!$B$84/H22,2)*'График аннуитет.'!G22</f>
        <v>653981.89</v>
      </c>
      <c r="F22" s="34">
        <f>IF(A22&lt;malumot!$B$81,'График аннуитет.'!F21,'График аннуитет.'!D22+'График аннуитет.'!E22)</f>
        <v>2051917.76</v>
      </c>
      <c r="G22" s="15">
        <f t="shared" si="2"/>
        <v>31</v>
      </c>
      <c r="H22" s="15">
        <f t="shared" si="1"/>
        <v>365</v>
      </c>
    </row>
    <row r="23" spans="1:8">
      <c r="A23" s="18">
        <v>16</v>
      </c>
      <c r="B23" s="33">
        <f>'График дифференц'!B23</f>
        <v>46209</v>
      </c>
      <c r="C23" s="34">
        <f t="shared" si="0"/>
        <v>11435577.02</v>
      </c>
      <c r="D23" s="34">
        <f>IF(A23&lt;malumot!$B$81,'График аннуитет.'!F23-'График аннуитет.'!E23,'График аннуитет.'!C23)</f>
        <v>1469173.25</v>
      </c>
      <c r="E23" s="34">
        <f>ROUND(C23*malumot!$B$84/H23,2)*'График аннуитет.'!G23</f>
        <v>582744.51</v>
      </c>
      <c r="F23" s="34">
        <f>IF(A23&lt;malumot!$B$81,'График аннуитет.'!F22,'График аннуитет.'!D23+'График аннуитет.'!E23)</f>
        <v>2051917.76</v>
      </c>
      <c r="G23" s="15">
        <f t="shared" si="2"/>
        <v>31</v>
      </c>
      <c r="H23" s="15">
        <f t="shared" si="1"/>
        <v>365</v>
      </c>
    </row>
    <row r="24" spans="1:8">
      <c r="A24" s="18">
        <v>17</v>
      </c>
      <c r="B24" s="33">
        <f>'График дифференц'!B24</f>
        <v>46239</v>
      </c>
      <c r="C24" s="34">
        <f t="shared" si="0"/>
        <v>9966403.7699999996</v>
      </c>
      <c r="D24" s="34">
        <f>IF(A24&lt;malumot!$B$81,'График аннуитет.'!F24-'График аннуитет.'!E24,'График аннуитет.'!C24)</f>
        <v>1560423.86</v>
      </c>
      <c r="E24" s="34">
        <f>ROUND(C24*malumot!$B$84/H24,2)*'График аннуитет.'!G24</f>
        <v>491493.89999999997</v>
      </c>
      <c r="F24" s="34">
        <f>IF(A24&lt;malumot!$B$81,'График аннуитет.'!F23,'График аннуитет.'!D24+'График аннуитет.'!E24)</f>
        <v>2051917.76</v>
      </c>
      <c r="G24" s="15">
        <f t="shared" si="2"/>
        <v>30</v>
      </c>
      <c r="H24" s="15">
        <f t="shared" si="1"/>
        <v>365</v>
      </c>
    </row>
    <row r="25" spans="1:8">
      <c r="A25" s="18">
        <v>18</v>
      </c>
      <c r="B25" s="33">
        <f>'График дифференц'!B25</f>
        <v>46272</v>
      </c>
      <c r="C25" s="34">
        <f t="shared" si="0"/>
        <v>8405979.9100000001</v>
      </c>
      <c r="D25" s="34">
        <f>IF(A25&lt;malumot!$B$81,'График аннуитет.'!F25-'График аннуитет.'!E25,'График аннуитет.'!C25)</f>
        <v>1595922.11</v>
      </c>
      <c r="E25" s="34">
        <f>ROUND(C25*malumot!$B$84/H25,2)*'График аннуитет.'!G25</f>
        <v>455995.64999999997</v>
      </c>
      <c r="F25" s="34">
        <f>IF(A25&lt;malumot!$B$81,'График аннуитет.'!F24,'График аннуитет.'!D25+'График аннуитет.'!E25)</f>
        <v>2051917.76</v>
      </c>
      <c r="G25" s="15">
        <f>B25-B24</f>
        <v>33</v>
      </c>
      <c r="H25" s="15">
        <f t="shared" si="1"/>
        <v>365</v>
      </c>
    </row>
    <row r="26" spans="1:8">
      <c r="A26" s="18">
        <v>19</v>
      </c>
      <c r="B26" s="33">
        <f>'График дифференц'!B26</f>
        <v>46300</v>
      </c>
      <c r="C26" s="34">
        <f t="shared" si="0"/>
        <v>6810057.7999999998</v>
      </c>
      <c r="D26" s="34">
        <f>IF(A26&lt;malumot!$B$81,'График аннуитет.'!F26-'График аннуитет.'!E26,'График аннуитет.'!C26)</f>
        <v>1738468.4</v>
      </c>
      <c r="E26" s="34">
        <f>ROUND(C26*malumot!$B$84/H26,2)*'График аннуитет.'!G26</f>
        <v>313449.36000000004</v>
      </c>
      <c r="F26" s="34">
        <f>IF(A26&lt;malumot!$B$81,'График аннуитет.'!F25,'График аннуитет.'!D26+'График аннуитет.'!E26)</f>
        <v>2051917.76</v>
      </c>
      <c r="G26" s="15">
        <f t="shared" ref="G26:G30" si="3">B26-B25</f>
        <v>28</v>
      </c>
      <c r="H26" s="15">
        <f t="shared" si="1"/>
        <v>365</v>
      </c>
    </row>
    <row r="27" spans="1:8">
      <c r="A27" s="18">
        <v>20</v>
      </c>
      <c r="B27" s="33">
        <f>'График дифференц'!B27</f>
        <v>46331</v>
      </c>
      <c r="C27" s="34">
        <f t="shared" si="0"/>
        <v>5071589.4000000004</v>
      </c>
      <c r="D27" s="34">
        <f>IF(A27&lt;malumot!$B$81,'График аннуитет.'!F27-'График аннуитет.'!E27,'График аннуитет.'!C27)</f>
        <v>1793475.1</v>
      </c>
      <c r="E27" s="34">
        <f>ROUND(C27*malumot!$B$84/H27,2)*'График аннуитет.'!G27</f>
        <v>258442.66000000003</v>
      </c>
      <c r="F27" s="34">
        <f>IF(A27&lt;malumot!$B$81,'График аннуитет.'!F26,'График аннуитет.'!D27+'График аннуитет.'!E27)</f>
        <v>2051917.76</v>
      </c>
      <c r="G27" s="15">
        <f t="shared" si="3"/>
        <v>31</v>
      </c>
      <c r="H27" s="15">
        <f t="shared" si="1"/>
        <v>365</v>
      </c>
    </row>
    <row r="28" spans="1:8">
      <c r="A28" s="18">
        <v>21</v>
      </c>
      <c r="B28" s="33">
        <f>'График дифференц'!B28</f>
        <v>46363</v>
      </c>
      <c r="C28" s="34">
        <f t="shared" si="0"/>
        <v>3278114.3000000003</v>
      </c>
      <c r="D28" s="34">
        <f>IF(A28&lt;malumot!$B$81,'График аннуитет.'!F28-'График аннуитет.'!E28,'График аннуитет.'!C28)</f>
        <v>1879480</v>
      </c>
      <c r="E28" s="34">
        <f>ROUND(C28*malumot!$B$84/H28,2)*'График аннуитет.'!G28</f>
        <v>172437.76000000001</v>
      </c>
      <c r="F28" s="34">
        <f>IF(A28&lt;malumot!$B$81,'График аннуитет.'!F27,'График аннуитет.'!D28+'График аннуитет.'!E28)</f>
        <v>2051917.76</v>
      </c>
      <c r="G28" s="15">
        <f t="shared" si="3"/>
        <v>32</v>
      </c>
      <c r="H28" s="15">
        <f t="shared" si="1"/>
        <v>365</v>
      </c>
    </row>
    <row r="29" spans="1:8">
      <c r="A29" s="18">
        <v>22</v>
      </c>
      <c r="B29" s="33">
        <f>'График дифференц'!B29</f>
        <v>46392</v>
      </c>
      <c r="C29" s="34">
        <f t="shared" si="0"/>
        <v>1398634.3000000003</v>
      </c>
      <c r="D29" s="34">
        <f>IF(A29&lt;malumot!$B$81,'График аннуитет.'!F29-'График аннуитет.'!E29,'График аннуитет.'!C29)</f>
        <v>1985243.28</v>
      </c>
      <c r="E29" s="34">
        <f>ROUND(C29*malumot!$B$84/H29,2)*'График аннуитет.'!G29</f>
        <v>66674.48</v>
      </c>
      <c r="F29" s="34">
        <f>IF(A29&lt;malumot!$B$81,'График аннуитет.'!F28,'График аннуитет.'!D29+'График аннуитет.'!E29)</f>
        <v>2051917.76</v>
      </c>
      <c r="G29" s="15">
        <f t="shared" si="3"/>
        <v>29</v>
      </c>
      <c r="H29" s="15">
        <f t="shared" si="1"/>
        <v>365</v>
      </c>
    </row>
    <row r="30" spans="1:8">
      <c r="A30" s="18">
        <v>23</v>
      </c>
      <c r="B30" s="33">
        <f>'График дифференц'!B30</f>
        <v>46423</v>
      </c>
      <c r="C30" s="34">
        <f t="shared" si="0"/>
        <v>-586608.97999999975</v>
      </c>
      <c r="D30" s="34">
        <f>IF(A30&lt;malumot!$B$81,'График аннуитет.'!F30-'График аннуитет.'!E30,'График аннуитет.'!C30)</f>
        <v>2081810.75</v>
      </c>
      <c r="E30" s="34">
        <f>ROUND(C30*malumot!$B$84/H30,2)*'График аннуитет.'!G30</f>
        <v>-29892.989999999998</v>
      </c>
      <c r="F30" s="34">
        <f>IF(A30&lt;malumot!$B$81,'График аннуитет.'!F29,'График аннуитет.'!D30+'График аннуитет.'!E30)</f>
        <v>2051917.76</v>
      </c>
      <c r="G30" s="15">
        <f t="shared" si="3"/>
        <v>31</v>
      </c>
      <c r="H30" s="15">
        <f t="shared" si="1"/>
        <v>365</v>
      </c>
    </row>
    <row r="31" spans="1:8">
      <c r="A31" s="18">
        <v>24</v>
      </c>
      <c r="B31" s="33">
        <f>'График дифференц'!B31</f>
        <v>46451</v>
      </c>
      <c r="C31" s="34">
        <f t="shared" ref="C31" si="4">C30-D30</f>
        <v>-2668419.7299999995</v>
      </c>
      <c r="D31" s="34">
        <f>IF(A31&lt;malumot!$B$81,'График аннуитет.'!F31-'График аннуитет.'!E31,'График аннуитет.'!C31)</f>
        <v>2174738.08</v>
      </c>
      <c r="E31" s="34">
        <f>ROUND(C31*malumot!$B$84/H31,2)*'График аннуитет.'!G31</f>
        <v>-122820.31999999999</v>
      </c>
      <c r="F31" s="34">
        <f>IF(A31&lt;malumot!$B$81,'График аннуитет.'!F30,'График аннуитет.'!D31+'График аннуитет.'!E31)</f>
        <v>2051917.76</v>
      </c>
      <c r="G31" s="15">
        <f>B31-B30</f>
        <v>28</v>
      </c>
      <c r="H31" s="15">
        <f t="shared" si="1"/>
        <v>365</v>
      </c>
    </row>
    <row r="32" spans="1:8">
      <c r="A32" s="18">
        <f>1+A31</f>
        <v>25</v>
      </c>
      <c r="B32" s="33">
        <f>'График дифференц'!B32</f>
        <v>46482</v>
      </c>
      <c r="C32" s="34">
        <f t="shared" ref="C32:C43" si="5">C31-D31</f>
        <v>-4843157.8099999996</v>
      </c>
      <c r="D32" s="34">
        <f>IF(A32&lt;malumot!$B$81,'График аннуитет.'!F32-'График аннуитет.'!E32,'График аннуитет.'!C32)</f>
        <v>2298719.92</v>
      </c>
      <c r="E32" s="34">
        <f>ROUND(C32*malumot!$B$84/H32,2)*'График аннуитет.'!G32</f>
        <v>-246802.16</v>
      </c>
      <c r="F32" s="34">
        <f>IF(A32&lt;malumot!$B$81,'График аннуитет.'!F31,'График аннуитет.'!D32+'График аннуитет.'!E32)</f>
        <v>2051917.76</v>
      </c>
      <c r="G32" s="15">
        <f t="shared" ref="G32:G43" si="6">B32-B31</f>
        <v>31</v>
      </c>
      <c r="H32" s="15">
        <f t="shared" ref="H32:H43" si="7">DATE(YEAR(B32),12,31)-DATE(YEAR(B32),1,1)+1</f>
        <v>365</v>
      </c>
    </row>
    <row r="33" spans="1:8">
      <c r="A33" s="18">
        <f t="shared" ref="A33:A43" si="8">1+A32</f>
        <v>26</v>
      </c>
      <c r="B33" s="33">
        <f>'График дифференц'!B33</f>
        <v>46512</v>
      </c>
      <c r="C33" s="34">
        <f t="shared" si="5"/>
        <v>-7141877.7299999995</v>
      </c>
      <c r="D33" s="34">
        <f>IF(A33&lt;malumot!$B$81,'График аннуитет.'!F33-'График аннуитет.'!E33,'График аннуитет.'!C33)</f>
        <v>2404119.86</v>
      </c>
      <c r="E33" s="34">
        <f>ROUND(C33*malumot!$B$84/H33,2)*'График аннуитет.'!G33</f>
        <v>-352202.1</v>
      </c>
      <c r="F33" s="34">
        <f>IF(A33&lt;malumot!$B$81,'График аннуитет.'!F32,'График аннуитет.'!D33+'График аннуитет.'!E33)</f>
        <v>2051917.76</v>
      </c>
      <c r="G33" s="15">
        <f t="shared" si="6"/>
        <v>30</v>
      </c>
      <c r="H33" s="15">
        <f t="shared" si="7"/>
        <v>365</v>
      </c>
    </row>
    <row r="34" spans="1:8">
      <c r="A34" s="18">
        <f t="shared" si="8"/>
        <v>27</v>
      </c>
      <c r="B34" s="33">
        <f>'График дифференц'!B34</f>
        <v>46545</v>
      </c>
      <c r="C34" s="34">
        <f t="shared" si="5"/>
        <v>-9545997.5899999999</v>
      </c>
      <c r="D34" s="34">
        <f>IF(A34&lt;malumot!$B$81,'График аннуитет.'!F34-'График аннуитет.'!E34,'График аннуитет.'!C34)</f>
        <v>2569755.41</v>
      </c>
      <c r="E34" s="34">
        <f>ROUND(C34*malumot!$B$84/H34,2)*'График аннуитет.'!G34</f>
        <v>-517837.64999999997</v>
      </c>
      <c r="F34" s="34">
        <f>IF(A34&lt;malumot!$B$81,'График аннуитет.'!F33,'График аннуитет.'!D34+'График аннуитет.'!E34)</f>
        <v>2051917.76</v>
      </c>
      <c r="G34" s="15">
        <f t="shared" si="6"/>
        <v>33</v>
      </c>
      <c r="H34" s="15">
        <f t="shared" si="7"/>
        <v>365</v>
      </c>
    </row>
    <row r="35" spans="1:8">
      <c r="A35" s="18">
        <f t="shared" si="8"/>
        <v>28</v>
      </c>
      <c r="B35" s="33">
        <f>'График дифференц'!B35</f>
        <v>46573</v>
      </c>
      <c r="C35" s="34">
        <f t="shared" si="5"/>
        <v>-12115753</v>
      </c>
      <c r="D35" s="34">
        <f>IF(A35&lt;malumot!$B$81,'График аннуитет.'!F35-'График аннуитет.'!E35,'График аннуитет.'!C35)</f>
        <v>2609574.44</v>
      </c>
      <c r="E35" s="34">
        <f>ROUND(C35*malumot!$B$84/H35,2)*'График аннуитет.'!G35</f>
        <v>-557656.68000000005</v>
      </c>
      <c r="F35" s="34">
        <f>IF(A35&lt;malumot!$B$81,'График аннуитет.'!F34,'График аннуитет.'!D35+'График аннуитет.'!E35)</f>
        <v>2051917.76</v>
      </c>
      <c r="G35" s="15">
        <f t="shared" si="6"/>
        <v>28</v>
      </c>
      <c r="H35" s="15">
        <f t="shared" si="7"/>
        <v>365</v>
      </c>
    </row>
    <row r="36" spans="1:8">
      <c r="A36" s="18">
        <f t="shared" si="8"/>
        <v>29</v>
      </c>
      <c r="B36" s="33">
        <f>'График дифференц'!B36</f>
        <v>46604</v>
      </c>
      <c r="C36" s="34">
        <f t="shared" si="5"/>
        <v>-14725327.439999999</v>
      </c>
      <c r="D36" s="34">
        <f>IF(A36&lt;malumot!$B$81,'График аннуитет.'!F36-'График аннуитет.'!E36,'График аннуитет.'!C36)</f>
        <v>2802304.38</v>
      </c>
      <c r="E36" s="34">
        <f>ROUND(C36*malumot!$B$84/H36,2)*'График аннуитет.'!G36</f>
        <v>-750386.62</v>
      </c>
      <c r="F36" s="34">
        <f>IF(A36&lt;malumot!$B$81,'График аннуитет.'!F35,'График аннуитет.'!D36+'График аннуитет.'!E36)</f>
        <v>2051917.76</v>
      </c>
      <c r="G36" s="15">
        <f t="shared" si="6"/>
        <v>31</v>
      </c>
      <c r="H36" s="15">
        <f t="shared" si="7"/>
        <v>365</v>
      </c>
    </row>
    <row r="37" spans="1:8">
      <c r="A37" s="18">
        <f t="shared" si="8"/>
        <v>30</v>
      </c>
      <c r="B37" s="33">
        <f>'График дифференц'!B37</f>
        <v>46636</v>
      </c>
      <c r="C37" s="34">
        <f t="shared" si="5"/>
        <v>-17527631.82</v>
      </c>
      <c r="D37" s="34">
        <f>IF(A37&lt;malumot!$B$81,'График аннуитет.'!F37-'График аннуитет.'!E37,'График аннуитет.'!C37)</f>
        <v>2973919.36</v>
      </c>
      <c r="E37" s="34">
        <f>ROUND(C37*malumot!$B$84/H37,2)*'График аннуитет.'!G37</f>
        <v>-922001.6</v>
      </c>
      <c r="F37" s="34">
        <f>IF(A37&lt;malumot!$B$81,'График аннуитет.'!F36,'График аннуитет.'!D37+'График аннуитет.'!E37)</f>
        <v>2051917.76</v>
      </c>
      <c r="G37" s="15">
        <f t="shared" si="6"/>
        <v>32</v>
      </c>
      <c r="H37" s="15">
        <f t="shared" si="7"/>
        <v>365</v>
      </c>
    </row>
    <row r="38" spans="1:8">
      <c r="A38" s="18">
        <f t="shared" si="8"/>
        <v>31</v>
      </c>
      <c r="B38" s="33">
        <f>'График дифференц'!B38</f>
        <v>46665</v>
      </c>
      <c r="C38" s="34">
        <f t="shared" si="5"/>
        <v>-20501551.18</v>
      </c>
      <c r="D38" s="34">
        <f>IF(A38&lt;malumot!$B$81,'График аннуитет.'!F38-'График аннуитет.'!E38,'График аннуитет.'!C38)</f>
        <v>3029251.98</v>
      </c>
      <c r="E38" s="34">
        <f>ROUND(C38*malumot!$B$84/H38,2)*'График аннуитет.'!G38</f>
        <v>-977334.22</v>
      </c>
      <c r="F38" s="34">
        <f>IF(A38&lt;malumot!$B$81,'График аннуитет.'!F37,'График аннуитет.'!D38+'График аннуитет.'!E38)</f>
        <v>2051917.76</v>
      </c>
      <c r="G38" s="15">
        <f t="shared" si="6"/>
        <v>29</v>
      </c>
      <c r="H38" s="15">
        <f t="shared" si="7"/>
        <v>365</v>
      </c>
    </row>
    <row r="39" spans="1:8">
      <c r="A39" s="18">
        <f t="shared" si="8"/>
        <v>32</v>
      </c>
      <c r="B39" s="33">
        <f>'График дифференц'!B39</f>
        <v>46696</v>
      </c>
      <c r="C39" s="34">
        <f t="shared" si="5"/>
        <v>-23530803.16</v>
      </c>
      <c r="D39" s="34">
        <f>IF(A39&lt;malumot!$B$81,'График аннуитет.'!F39-'График аннуитет.'!E39,'График аннуитет.'!C39)</f>
        <v>3251021.63</v>
      </c>
      <c r="E39" s="34">
        <f>ROUND(C39*malumot!$B$84/H39,2)*'График аннуитет.'!G39</f>
        <v>-1199103.8699999999</v>
      </c>
      <c r="F39" s="34">
        <f>IF(A39&lt;malumot!$B$81,'График аннуитет.'!F38,'График аннуитет.'!D39+'График аннуитет.'!E39)</f>
        <v>2051917.76</v>
      </c>
      <c r="G39" s="15">
        <f t="shared" si="6"/>
        <v>31</v>
      </c>
      <c r="H39" s="15">
        <f t="shared" si="7"/>
        <v>365</v>
      </c>
    </row>
    <row r="40" spans="1:8">
      <c r="A40" s="18">
        <f t="shared" si="8"/>
        <v>33</v>
      </c>
      <c r="B40" s="33">
        <f>'График дифференц'!B40</f>
        <v>46727</v>
      </c>
      <c r="C40" s="34">
        <f t="shared" si="5"/>
        <v>-26781824.789999999</v>
      </c>
      <c r="D40" s="34">
        <f>IF(A40&lt;malumot!$B$81,'График аннуитет.'!F40-'График аннуитет.'!E40,'График аннуитет.'!C40)</f>
        <v>3416690.2800000003</v>
      </c>
      <c r="E40" s="34">
        <f>ROUND(C40*malumot!$B$84/H40,2)*'График аннуитет.'!G40</f>
        <v>-1364772.52</v>
      </c>
      <c r="F40" s="34">
        <f>IF(A40&lt;malumot!$B$81,'График аннуитет.'!F39,'График аннуитет.'!D40+'График аннуитет.'!E40)</f>
        <v>2051917.76</v>
      </c>
      <c r="G40" s="15">
        <f t="shared" si="6"/>
        <v>31</v>
      </c>
      <c r="H40" s="15">
        <f t="shared" si="7"/>
        <v>365</v>
      </c>
    </row>
    <row r="41" spans="1:8">
      <c r="A41" s="18">
        <f t="shared" si="8"/>
        <v>34</v>
      </c>
      <c r="B41" s="33">
        <f>'График дифференц'!B41</f>
        <v>46757</v>
      </c>
      <c r="C41" s="34">
        <f t="shared" si="5"/>
        <v>-30198515.07</v>
      </c>
      <c r="D41" s="34">
        <f>IF(A41&lt;malumot!$B$81,'График аннуитет.'!F41-'График аннуитет.'!E41,'График аннуитет.'!C41)</f>
        <v>3537090.5600000001</v>
      </c>
      <c r="E41" s="34">
        <f>ROUND(C41*malumot!$B$84/H41,2)*'График аннуитет.'!G41</f>
        <v>-1485172.8</v>
      </c>
      <c r="F41" s="34">
        <f>IF(A41&lt;malumot!$B$81,'График аннуитет.'!F40,'График аннуитет.'!D41+'График аннуитет.'!E41)</f>
        <v>2051917.76</v>
      </c>
      <c r="G41" s="15">
        <f t="shared" si="6"/>
        <v>30</v>
      </c>
      <c r="H41" s="15">
        <f t="shared" si="7"/>
        <v>366</v>
      </c>
    </row>
    <row r="42" spans="1:8">
      <c r="A42" s="18">
        <f t="shared" si="8"/>
        <v>35</v>
      </c>
      <c r="B42" s="33">
        <f>'График дифференц'!B42</f>
        <v>46790</v>
      </c>
      <c r="C42" s="34">
        <f t="shared" si="5"/>
        <v>-33735605.630000003</v>
      </c>
      <c r="D42" s="34">
        <f>IF(A42&lt;malumot!$B$81,'График аннуитет.'!F42-'График аннуитет.'!E42,'График аннуитет.'!C42)</f>
        <v>3876958.67</v>
      </c>
      <c r="E42" s="34">
        <f>ROUND(C42*malumot!$B$84/H42,2)*'График аннуитет.'!G42</f>
        <v>-1825040.91</v>
      </c>
      <c r="F42" s="34">
        <f>IF(A42&lt;malumot!$B$81,'График аннуитет.'!F41,'График аннуитет.'!D42+'График аннуитет.'!E42)</f>
        <v>2051917.76</v>
      </c>
      <c r="G42" s="15">
        <f t="shared" si="6"/>
        <v>33</v>
      </c>
      <c r="H42" s="15">
        <f t="shared" si="7"/>
        <v>366</v>
      </c>
    </row>
    <row r="43" spans="1:8">
      <c r="A43" s="18">
        <f t="shared" si="8"/>
        <v>36</v>
      </c>
      <c r="B43" s="33">
        <f>'График дифференц'!B43</f>
        <v>46823</v>
      </c>
      <c r="C43" s="34">
        <f t="shared" si="5"/>
        <v>-37612564.300000004</v>
      </c>
      <c r="D43" s="34">
        <f>IF(A43&lt;malumot!$B$81,'График аннуитет.'!F43-'График аннуитет.'!E43,'График аннуитет.'!C43)</f>
        <v>-37612564.300000004</v>
      </c>
      <c r="E43" s="34">
        <f>ROUND(C43*malumot!$B$84/H43,2)*'График аннуитет.'!G43</f>
        <v>-2034778.02</v>
      </c>
      <c r="F43" s="34">
        <f>IF(A43&lt;malumot!$B$81,'График аннуитет.'!F42,'График аннуитет.'!D43+'График аннуитет.'!E43)</f>
        <v>-39647342.320000008</v>
      </c>
      <c r="G43" s="15">
        <f t="shared" si="6"/>
        <v>33</v>
      </c>
      <c r="H43" s="15">
        <f t="shared" si="7"/>
        <v>366</v>
      </c>
    </row>
    <row r="44" spans="1:8">
      <c r="A44" s="46"/>
      <c r="B44" s="47" t="s">
        <v>7</v>
      </c>
      <c r="C44" s="48"/>
      <c r="D44" s="48">
        <f>SUM(D8:D43)</f>
        <v>27000000</v>
      </c>
      <c r="E44" s="48">
        <f t="shared" ref="E44:F44" si="9">SUM(E8:E43)</f>
        <v>5169779.2800000031</v>
      </c>
      <c r="F44" s="48">
        <f t="shared" si="9"/>
        <v>32169779.279999986</v>
      </c>
    </row>
    <row r="45" spans="1:8" ht="9" customHeight="1">
      <c r="B45" s="35"/>
      <c r="C45" s="36"/>
      <c r="D45" s="36"/>
      <c r="E45" s="36"/>
      <c r="F45" s="36"/>
    </row>
    <row r="46" spans="1:8" ht="47.25" customHeight="1">
      <c r="A46" s="288" t="s">
        <v>18</v>
      </c>
      <c r="B46" s="288"/>
      <c r="C46" s="288"/>
      <c r="D46" s="288"/>
      <c r="E46" s="288"/>
      <c r="F46" s="288"/>
    </row>
    <row r="47" spans="1:8" ht="7.5" customHeight="1"/>
    <row r="48" spans="1:8">
      <c r="A48" s="317" t="e">
        <f>#REF!</f>
        <v>#REF!</v>
      </c>
      <c r="B48" s="317"/>
      <c r="C48" s="317"/>
      <c r="D48" s="317" t="e">
        <f>#REF!</f>
        <v>#REF!</v>
      </c>
      <c r="E48" s="317"/>
      <c r="F48" s="317"/>
    </row>
    <row r="49" spans="1:6" ht="11.25" customHeight="1">
      <c r="A49" s="318"/>
      <c r="B49" s="318"/>
      <c r="C49" s="318"/>
      <c r="D49" s="318"/>
      <c r="E49" s="318"/>
      <c r="F49" s="318"/>
    </row>
    <row r="50" spans="1:6" ht="30" customHeight="1">
      <c r="A50" s="287" t="e">
        <f>#REF!</f>
        <v>#REF!</v>
      </c>
      <c r="B50" s="287"/>
      <c r="C50" s="287"/>
      <c r="D50" s="287" t="e">
        <f>#REF!</f>
        <v>#REF!</v>
      </c>
      <c r="E50" s="287"/>
      <c r="F50" s="287"/>
    </row>
    <row r="51" spans="1:6" ht="32.25" customHeight="1">
      <c r="A51" s="316" t="e">
        <f>#REF!</f>
        <v>#REF!</v>
      </c>
      <c r="B51" s="316"/>
      <c r="C51" s="316"/>
      <c r="D51" s="316" t="e">
        <f>#REF!</f>
        <v>#REF!</v>
      </c>
      <c r="E51" s="316"/>
      <c r="F51" s="316"/>
    </row>
    <row r="52" spans="1:6">
      <c r="A52" s="316" t="e">
        <f>#REF!</f>
        <v>#REF!</v>
      </c>
      <c r="B52" s="316"/>
      <c r="C52" s="316"/>
      <c r="D52" s="316" t="str">
        <f>"паспорт серии "&amp;malumot!B16&amp;", "&amp;malumot!B20&amp;""</f>
        <v>паспорт серии AA 9481167, BUXORO VILOYATI BUXORO SHAHAR IIB tomonidan 24.04.2015 yilda berilgan</v>
      </c>
      <c r="E52" s="316"/>
      <c r="F52" s="316"/>
    </row>
    <row r="53" spans="1:6" ht="32.25" customHeight="1">
      <c r="A53" s="316" t="e">
        <f>#REF!</f>
        <v>#REF!</v>
      </c>
      <c r="B53" s="316"/>
      <c r="C53" s="316"/>
      <c r="D53" s="316"/>
      <c r="E53" s="316"/>
      <c r="F53" s="316"/>
    </row>
    <row r="54" spans="1:6">
      <c r="A54" s="316" t="e">
        <f>#REF!</f>
        <v>#REF!</v>
      </c>
      <c r="B54" s="316"/>
      <c r="C54" s="316"/>
      <c r="D54" s="316" t="e">
        <f>#REF!</f>
        <v>#REF!</v>
      </c>
      <c r="E54" s="316"/>
      <c r="F54" s="316"/>
    </row>
    <row r="55" spans="1:6">
      <c r="A55" s="316" t="e">
        <f>#REF!</f>
        <v>#REF!</v>
      </c>
      <c r="B55" s="316"/>
      <c r="C55" s="316"/>
      <c r="D55" s="316" t="e">
        <f>#REF!</f>
        <v>#REF!</v>
      </c>
      <c r="E55" s="316"/>
      <c r="F55" s="316"/>
    </row>
    <row r="56" spans="1:6">
      <c r="A56" s="316" t="e">
        <f>#REF!</f>
        <v>#REF!</v>
      </c>
      <c r="B56" s="316"/>
      <c r="C56" s="316"/>
      <c r="D56" s="316" t="e">
        <f>#REF!</f>
        <v>#REF!</v>
      </c>
      <c r="E56" s="316"/>
      <c r="F56" s="316"/>
    </row>
    <row r="57" spans="1:6" ht="8.25" customHeight="1">
      <c r="A57" s="316"/>
      <c r="B57" s="316"/>
      <c r="C57" s="316"/>
      <c r="D57" s="316"/>
      <c r="E57" s="316"/>
      <c r="F57" s="316"/>
    </row>
    <row r="58" spans="1:6">
      <c r="A58" s="287" t="e">
        <f>#REF!</f>
        <v>#REF!</v>
      </c>
      <c r="B58" s="287"/>
      <c r="C58" s="287"/>
      <c r="D58" s="287" t="e">
        <f>#REF!</f>
        <v>#REF!</v>
      </c>
      <c r="E58" s="287"/>
      <c r="F58" s="287"/>
    </row>
    <row r="59" spans="1:6" ht="7.5" customHeight="1">
      <c r="A59" s="287"/>
      <c r="B59" s="287"/>
      <c r="C59" s="287"/>
      <c r="D59" s="287"/>
      <c r="E59" s="287"/>
      <c r="F59" s="287"/>
    </row>
    <row r="60" spans="1:6">
      <c r="A60" s="287" t="e">
        <f>#REF!</f>
        <v>#REF!</v>
      </c>
      <c r="B60" s="287"/>
      <c r="C60" s="287"/>
      <c r="D60" s="287" t="e">
        <f>#REF!</f>
        <v>#REF!</v>
      </c>
      <c r="E60" s="287"/>
      <c r="F60" s="287"/>
    </row>
    <row r="61" spans="1:6" ht="8.25" customHeight="1">
      <c r="A61" s="316"/>
      <c r="B61" s="316"/>
      <c r="C61" s="316"/>
      <c r="D61" s="316"/>
      <c r="E61" s="316"/>
      <c r="F61" s="316"/>
    </row>
    <row r="62" spans="1:6" ht="30" customHeight="1">
      <c r="A62" s="320"/>
      <c r="B62" s="320"/>
      <c r="C62" s="320"/>
      <c r="D62" s="321"/>
      <c r="E62" s="321"/>
      <c r="F62" s="321"/>
    </row>
    <row r="63" spans="1:6">
      <c r="A63" s="322"/>
      <c r="B63" s="322"/>
      <c r="C63" s="322"/>
      <c r="D63" s="322"/>
      <c r="E63" s="322"/>
      <c r="F63" s="322"/>
    </row>
    <row r="64" spans="1:6">
      <c r="A64" s="319"/>
      <c r="B64" s="319"/>
      <c r="C64" s="319"/>
      <c r="D64" s="319"/>
      <c r="E64" s="319"/>
      <c r="F64" s="319"/>
    </row>
  </sheetData>
  <mergeCells count="40">
    <mergeCell ref="A64:C64"/>
    <mergeCell ref="D64:F64"/>
    <mergeCell ref="A61:C61"/>
    <mergeCell ref="D61:F61"/>
    <mergeCell ref="A62:C62"/>
    <mergeCell ref="D62:F62"/>
    <mergeCell ref="A63:C63"/>
    <mergeCell ref="D63:F63"/>
    <mergeCell ref="A58:C58"/>
    <mergeCell ref="D58:F58"/>
    <mergeCell ref="A59:C59"/>
    <mergeCell ref="D59:F59"/>
    <mergeCell ref="A60:C60"/>
    <mergeCell ref="D60:F60"/>
    <mergeCell ref="A55:C55"/>
    <mergeCell ref="D55:F55"/>
    <mergeCell ref="A56:C56"/>
    <mergeCell ref="D56:F56"/>
    <mergeCell ref="A57:C57"/>
    <mergeCell ref="D57:F57"/>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E1:F1"/>
    <mergeCell ref="A4:F4"/>
    <mergeCell ref="A6:A7"/>
    <mergeCell ref="B6:B7"/>
    <mergeCell ref="C6:C7"/>
    <mergeCell ref="D6:F6"/>
  </mergeCells>
  <conditionalFormatting sqref="B8:B43">
    <cfRule type="cellIs" dxfId="4" priority="4" operator="lessThan">
      <formula>22105</formula>
    </cfRule>
  </conditionalFormatting>
  <conditionalFormatting sqref="C8:C43">
    <cfRule type="cellIs" dxfId="3" priority="3" operator="lessThan">
      <formula>1</formula>
    </cfRule>
  </conditionalFormatting>
  <conditionalFormatting sqref="C8:F43">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7">
    <tabColor rgb="FF00B050"/>
  </sheetPr>
  <dimension ref="A1:E58"/>
  <sheetViews>
    <sheetView view="pageBreakPreview" topLeftCell="A35" zoomScaleSheetLayoutView="100" workbookViewId="0">
      <selection activeCell="C54" sqref="C54:C57"/>
    </sheetView>
  </sheetViews>
  <sheetFormatPr defaultColWidth="9.140625" defaultRowHeight="15" outlineLevelRow="1"/>
  <cols>
    <col min="1" max="1" width="17.28515625" style="15" customWidth="1"/>
    <col min="2" max="2" width="24.7109375" style="15" customWidth="1"/>
    <col min="3" max="5" width="17" style="15" customWidth="1"/>
    <col min="6" max="16384" width="9.140625" style="15"/>
  </cols>
  <sheetData>
    <row r="1" spans="1:5" ht="36" customHeight="1">
      <c r="A1" s="287" t="str">
        <f>""&amp;malumot!B153&amp;"
mikromoliya tashkilotining Xulosasi"</f>
        <v>«CLEVER MIKROMOLIYA TASHKILOTI» MChJ
mikromoliya tashkilotining Xulosasi</v>
      </c>
      <c r="B1" s="287"/>
      <c r="C1" s="287"/>
      <c r="D1" s="287"/>
      <c r="E1" s="287"/>
    </row>
    <row r="2" spans="1:5">
      <c r="A2" s="288"/>
      <c r="B2" s="288"/>
      <c r="C2" s="288"/>
      <c r="D2" s="288"/>
      <c r="E2" s="288"/>
    </row>
    <row r="3" spans="1:5">
      <c r="A3" s="287" t="s">
        <v>204</v>
      </c>
      <c r="B3" s="287"/>
      <c r="C3" s="287"/>
      <c r="D3" s="287"/>
      <c r="E3" s="287"/>
    </row>
    <row r="4" spans="1:5" ht="19.5" customHeight="1">
      <c r="A4" s="288" t="str">
        <f>"Mijozning to'liq ismi sharifi: "&amp;malumot!B5&amp;""</f>
        <v>Mijozning to'liq ismi sharifi: NUTFULLAYEV AKBARJON AXMEDOVICH</v>
      </c>
      <c r="B4" s="288"/>
      <c r="C4" s="288"/>
      <c r="D4" s="288"/>
      <c r="E4" s="288"/>
    </row>
    <row r="5" spans="1:5">
      <c r="A5" s="288" t="str">
        <f>"Tug'ilgan sanasi: "&amp;malumot!B15&amp;""</f>
        <v>Tug'ilgan sanasi: 14.09.1989 y</v>
      </c>
      <c r="B5" s="288"/>
      <c r="C5" s="288"/>
      <c r="D5" s="288"/>
      <c r="E5" s="288"/>
    </row>
    <row r="6" spans="1:5" ht="31.5" customHeight="1">
      <c r="A6" s="288" t="str">
        <f>"Pasport seriyasi "&amp;malumot!B16&amp;" "&amp;malumot!B20&amp;", amal qilish muddati - "&amp;malumot!B21&amp;""</f>
        <v>Pasport seriyasi AA 9481167 BUXORO VILOYATI BUXORO SHAHAR IIB tomonidan 24.04.2015 yilda berilgan, amal qilish muddati - 23.04.2025 y.</v>
      </c>
      <c r="B6" s="288"/>
      <c r="C6" s="288"/>
      <c r="D6" s="288"/>
      <c r="E6" s="288"/>
    </row>
    <row r="7" spans="1:5" ht="39.75" customHeight="1">
      <c r="A7" s="288" t="str">
        <f>"Ro‘yxatdan o‘tgan manzili: "&amp;malumot!B28&amp;", mo'ljal: "&amp;malumot!B26&amp;""</f>
        <v>Ro‘yxatdan o‘tgan manzili: BUXORO VILOYATI BUXORO SHAHAR TADBIRKOR KO'CHASI 12-UY, mo'ljal: GOR VODAKANAL</v>
      </c>
      <c r="B7" s="288"/>
      <c r="C7" s="288"/>
      <c r="D7" s="288"/>
      <c r="E7" s="288"/>
    </row>
    <row r="8" spans="1:5" ht="26.25" customHeight="1">
      <c r="A8" s="288" t="str">
        <f>"Ish joyi: "&amp;malumot!B52&amp;" lavozimi "&amp;malumot!B49&amp;"da "&amp;malumot!B44&amp;""</f>
        <v>Ish joyi:  lavozimi Yakka tartibdagi tadbirkorda Yakka tartibdagi tadbirkor</v>
      </c>
      <c r="B8" s="288"/>
      <c r="C8" s="288"/>
      <c r="D8" s="288"/>
      <c r="E8" s="288"/>
    </row>
    <row r="9" spans="1:5">
      <c r="A9" s="288"/>
      <c r="B9" s="288"/>
      <c r="C9" s="288"/>
      <c r="D9" s="288"/>
      <c r="E9" s="288"/>
    </row>
    <row r="10" spans="1:5">
      <c r="A10" s="287" t="str">
        <f>"Mijoz tomonidan so’ralgan "&amp;malumot!B65&amp;" shartlari:"</f>
        <v>Mijoz tomonidan so’ralgan mikroqarz shartlari:</v>
      </c>
      <c r="B10" s="287"/>
      <c r="C10" s="287"/>
      <c r="D10" s="287"/>
      <c r="E10" s="287"/>
    </row>
    <row r="11" spans="1:5">
      <c r="A11" s="288" t="str">
        <f>'Кредитная заявка'!A13:D13</f>
        <v>Mikroqarz summasi: 27 000 000,00 (yigirma yetti million so'm) so'm.</v>
      </c>
      <c r="B11" s="288"/>
      <c r="C11" s="288"/>
      <c r="D11" s="288"/>
      <c r="E11" s="288"/>
    </row>
    <row r="12" spans="1:5">
      <c r="A12" s="288" t="str">
        <f>'Кредитная заявка'!A14:D14</f>
        <v>Mikroqarz muddati: 36 (o'ttiz olti) oy.</v>
      </c>
      <c r="B12" s="288"/>
      <c r="C12" s="288"/>
      <c r="D12" s="288"/>
      <c r="E12" s="288"/>
    </row>
    <row r="13" spans="1:5">
      <c r="A13" s="288" t="str">
        <f>'Кредитная заявка'!A15:D15</f>
        <v>Mikroqarzdan foydalanganlik uchun foiz stavkasi: yillik  60% (Oltmish) foiz</v>
      </c>
      <c r="B13" s="288"/>
      <c r="C13" s="288"/>
      <c r="D13" s="288"/>
      <c r="E13" s="288"/>
    </row>
    <row r="14" spans="1:5">
      <c r="A14" s="288" t="str">
        <f>'Кредитная заявка'!A16:D16</f>
        <v>Mikroqarz bo'yicha asosiy qarz va foizlarni to'lash:</v>
      </c>
      <c r="B14" s="288"/>
      <c r="C14" s="288"/>
      <c r="D14" s="288"/>
      <c r="E14" s="288"/>
    </row>
    <row r="15" spans="1:5" ht="18.75" customHeight="1">
      <c r="A15" s="288" t="str">
        <f>'Кредитная заявка'!A19:D19</f>
        <v xml:space="preserve"> - mikroqarz shartnomasi bo'yicha har oy differensial to'lovlari amalga oshiriladi</v>
      </c>
      <c r="B15" s="288"/>
      <c r="C15" s="288"/>
      <c r="D15" s="288"/>
      <c r="E15" s="288"/>
    </row>
    <row r="16" spans="1:5" ht="14.25" customHeight="1">
      <c r="A16" s="289" t="str">
        <f>'Кредитная заявка'!A20:D20</f>
        <v xml:space="preserve">   </v>
      </c>
      <c r="B16" s="289"/>
      <c r="C16" s="289"/>
      <c r="D16" s="289"/>
      <c r="E16" s="289"/>
    </row>
    <row r="17" spans="1:5">
      <c r="A17" s="288" t="str">
        <f>'Кредитная заявка'!A21:D21</f>
        <v>Mikroqarz ta’minoti::</v>
      </c>
      <c r="B17" s="288"/>
      <c r="C17" s="288"/>
      <c r="D17" s="288"/>
      <c r="E17" s="288"/>
    </row>
    <row r="18" spans="1:5" ht="83.25" customHeight="1">
      <c r="A18" s="288" t="str">
        <f>'Кредитная заявка'!A22:D22</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8" s="288"/>
      <c r="C18" s="288"/>
      <c r="D18" s="288"/>
      <c r="E18" s="288"/>
    </row>
    <row r="19" spans="1:5">
      <c r="A19" s="287" t="s">
        <v>205</v>
      </c>
      <c r="B19" s="287"/>
      <c r="C19" s="287"/>
      <c r="D19" s="287"/>
      <c r="E19" s="287"/>
    </row>
    <row r="20" spans="1:5" ht="21" customHeight="1">
      <c r="A20" s="288" t="str">
        <f>"Anketaga muvofiq "&amp;malumot!B9&amp;"ning o‘rtacha oylik daromadi  "&amp;FIXED(malumot!B60)&amp;" so‘mni tashkil etdi."</f>
        <v>Anketaga muvofiq A.A.NUTFULLAYEVning o‘rtacha oylik daromadi  10 000 000,00 so‘mni tashkil etdi.</v>
      </c>
      <c r="B20" s="288"/>
      <c r="C20" s="288"/>
      <c r="D20" s="288"/>
      <c r="E20" s="288"/>
    </row>
    <row r="21" spans="1:5" ht="27" customHeight="1">
      <c r="A21" s="288" t="str">
        <f>"Mijozning o'rtacha oylik xarajatlari "&amp;FIXED(mijoz_anketasi!F27)&amp;" so'mni tashkil etdi"</f>
        <v>Mijozning o'rtacha oylik xarajatlari 1 650 000,00 so'mni tashkil etdi</v>
      </c>
      <c r="B21" s="288"/>
      <c r="C21" s="288"/>
      <c r="D21" s="288"/>
      <c r="E21" s="288"/>
    </row>
    <row r="22" spans="1:5" ht="24.75" customHeight="1">
      <c r="A22" s="288" t="str">
        <f>IF(malumot!B77=malumot!C77,xulosa!A23:E23,xulosa!A24:E24)</f>
        <v>Mikroqarz shartnomasi bo'yicha birinchi oy uchun to'lov 2 051 917,76 so'mni tashkil etadi.</v>
      </c>
      <c r="B22" s="288"/>
      <c r="C22" s="288"/>
      <c r="D22" s="288"/>
      <c r="E22" s="288"/>
    </row>
    <row r="23" spans="1:5" ht="19.5" hidden="1" customHeight="1">
      <c r="A23" s="288" t="str">
        <f>""&amp;malumot!C64&amp;" shartnomasi bo'yicha birinchi oy uchun to'lov "&amp;FIXED(malumot!B90)&amp;" so'mni tashkil etadi."</f>
        <v>Mikroqarz shartnomasi bo'yicha birinchi oy uchun to'lov 2 051 917,76 so'mni tashkil etadi.</v>
      </c>
      <c r="B23" s="288"/>
      <c r="C23" s="288"/>
      <c r="D23" s="288"/>
      <c r="E23" s="288"/>
    </row>
    <row r="24" spans="1:5" ht="19.5" hidden="1" customHeight="1">
      <c r="A24" s="288" t="str">
        <f>""&amp;malumot!C64&amp;" bo‘yicha oylik "&amp;malumot!B77&amp;" to‘lovi miqdori "&amp;FIXED(malumot!B90)&amp;" so‘mni tashkil etadi."</f>
        <v>Mikroqarz bo‘yicha oylik differensial to‘lovi miqdori 2 051 917,76 so‘mni tashkil etadi.</v>
      </c>
      <c r="B24" s="288"/>
      <c r="C24" s="288"/>
      <c r="D24" s="288"/>
      <c r="E24" s="288"/>
    </row>
    <row r="25" spans="1:5" ht="56.25" hidden="1" customHeight="1">
      <c r="A25" s="289" t="s">
        <v>394</v>
      </c>
      <c r="B25" s="289"/>
      <c r="C25" s="289"/>
      <c r="D25" s="289"/>
      <c r="E25" s="289"/>
    </row>
    <row r="26" spans="1:5">
      <c r="A26" s="287" t="str">
        <f>""&amp;malumot!C64&amp;" bo’yicha ta’minot:"</f>
        <v>Mikroqarz bo’yicha ta’minot:</v>
      </c>
      <c r="B26" s="287"/>
      <c r="C26" s="287"/>
      <c r="D26" s="287"/>
      <c r="E26" s="287"/>
    </row>
    <row r="27" spans="1:5" ht="31.5" hidden="1" customHeight="1">
      <c r="A27" s="288" t="str">
        <f>" - "&amp;malumot!B123&amp;" ga mulk huquqi asosida tegishli avtotransport vositasi "&amp;malumot!B131&amp;" , quyidagi tafsilotlarga muvofiq:"</f>
        <v xml:space="preserve"> - NUTFULLAYEV AKBARJON AXMEDOVICH ga mulk huquqi asosida tegishli avtotransport vositasi CHANGAN CHANGAN SC 1027SB , quyidagi tafsilotlarga muvofiq:</v>
      </c>
      <c r="B27" s="288"/>
      <c r="C27" s="288"/>
      <c r="D27" s="288"/>
      <c r="E27" s="288"/>
    </row>
    <row r="28" spans="1:5" ht="67.5" hidden="1" customHeight="1">
      <c r="A28" s="288" t="str">
        <f>" -   "&amp;malumot!C123&amp;" ga mulk huquqi asosida tegishli ko'chmas mulk shaklida "&amp;malumot!C132&amp;", manzili: "&amp;malumot!C129&amp;", quyidagi tafsilotlarga muvofiq:"</f>
        <v xml:space="preserve"> -   NUTFULLAYEV AKBARJON AXMEDOVICH ga mulk huquqi asosida tegishli ko'chmas mulk shaklida 3 - xonali yakka tartibdagi uy-joy, manzili: SAMARQAND VILOYATI TAYLOQ TUMANI CHAROG'BON MFY YANGI TAYLOQ QISHLOG'I 6 TURAR JOY 12 QAVAT 58 XONADON, quyidagi tafsilotlarga muvofiq:</v>
      </c>
      <c r="B28" s="288"/>
      <c r="C28" s="288"/>
      <c r="D28" s="288"/>
      <c r="E28" s="288"/>
    </row>
    <row r="29" spans="1:5" ht="44.25" customHeight="1">
      <c r="A29" s="288" t="str">
        <f>IF(malumot!B109="Avtotransport",xulosa!A27:E27,xulosa!A28:E28)</f>
        <v xml:space="preserve"> - NUTFULLAYEV AKBARJON AXMEDOVICH ga mulk huquqi asosida tegishli avtotransport vositasi CHANGAN CHANGAN SC 1027SB , quyidagi tafsilotlarga muvofiq:</v>
      </c>
      <c r="B29" s="288"/>
      <c r="C29" s="288"/>
      <c r="D29" s="288"/>
      <c r="E29" s="288"/>
    </row>
    <row r="30" spans="1:5" s="16" customFormat="1" ht="47.25" customHeight="1" outlineLevel="1">
      <c r="A30" s="39" t="str">
        <f>dalolatnoma!A29</f>
        <v>Nomi</v>
      </c>
      <c r="B30" s="39" t="str">
        <f>dalolatnoma!B29</f>
        <v>Kuzov turi  va kuzov raqami*</v>
      </c>
      <c r="C30" s="39" t="str">
        <f>dalolatnoma!C29</f>
        <v>Dvigatel va shassi raqami*</v>
      </c>
      <c r="D30" s="39" t="str">
        <f>dalolatnoma!D29</f>
        <v>Ishlab chiqarilgan yili va rangi*</v>
      </c>
      <c r="E30" s="39" t="str">
        <f>dalolatnoma!E29</f>
        <v>Kelishilgan garov qiymati, so'm</v>
      </c>
    </row>
    <row r="31" spans="1:5" s="20" customFormat="1" ht="92.25" customHeight="1" outlineLevel="1">
      <c r="A31" s="17" t="str">
        <f>dalolatnoma!A30</f>
        <v>CHANGAN CHANGAN SC 1027SB</v>
      </c>
      <c r="B31" s="17" t="str">
        <f>dalolatnoma!B30</f>
        <v>kuzov turi - YUK BORTLI TENT, kuzov raqami LSCAB23D8EG228387</v>
      </c>
      <c r="C31" s="17" t="str">
        <f>dalolatnoma!C30</f>
        <v>dvigatel raqami JL466Q1%E61H022801, shassi raqami - URINDIKLAR SONI 5TA</v>
      </c>
      <c r="D31" s="17" t="str">
        <f>dalolatnoma!D30</f>
        <v>rangi -  OQ BELIY, ishlab chiqarilgan yili - 2014</v>
      </c>
      <c r="E31" s="17" t="str">
        <f>dalolatnoma!E30</f>
        <v>40 500 000,00 
(qirq million besh yuz ming so'm)</v>
      </c>
    </row>
    <row r="32" spans="1:5" ht="17.25" customHeight="1" outlineLevel="1">
      <c r="A32" s="288" t="str">
        <f>dalolatnoma!A22</f>
        <v>-* avtotransport egasi: NUTFULLAYEV AKBARJON AXMEDOVICH</v>
      </c>
      <c r="B32" s="288"/>
      <c r="C32" s="288"/>
      <c r="D32" s="288"/>
      <c r="E32" s="288"/>
    </row>
    <row r="33" spans="1:5" ht="15" customHeight="1" outlineLevel="1">
      <c r="A33" s="288" t="str">
        <f>dalolatnoma!A23</f>
        <v>-* texnik pasport: AAG   2346592  13.09.2023y</v>
      </c>
      <c r="B33" s="288"/>
      <c r="C33" s="288"/>
      <c r="D33" s="288"/>
      <c r="E33" s="288"/>
    </row>
    <row r="34" spans="1:5" ht="33" customHeight="1" outlineLevel="1">
      <c r="A34" s="288" t="str">
        <f>dalolatnoma!A24</f>
        <v>-* roʻyxatdan oʻtgan manzili/garaj manzili: BUXORO VILOYATI BUXORO SHAHAR TADBIRKOR KO'CHASI 12-UY</v>
      </c>
      <c r="B34" s="288"/>
      <c r="C34" s="288"/>
      <c r="D34" s="288"/>
      <c r="E34" s="288"/>
    </row>
    <row r="35" spans="1:5" ht="15" customHeight="1" outlineLevel="1">
      <c r="A35" s="288" t="str">
        <f>dalolatnoma!A25</f>
        <v>-* davlat raqami: 80T312WA</v>
      </c>
      <c r="B35" s="288"/>
      <c r="C35" s="288"/>
      <c r="D35" s="288"/>
      <c r="E35" s="288"/>
    </row>
    <row r="36" spans="1:5" ht="9" customHeight="1">
      <c r="A36" s="288"/>
      <c r="B36" s="288"/>
      <c r="C36" s="288"/>
      <c r="D36" s="288"/>
      <c r="E36" s="288"/>
    </row>
    <row r="37" spans="1:5" ht="39" customHeight="1">
      <c r="A37" s="287" t="str">
        <f>""&amp;malumot!B153&amp;"
mikromoliya tashkilotining Xulosasi"</f>
        <v>«CLEVER MIKROMOLIYA TASHKILOTI» MChJ
mikromoliya tashkilotining Xulosasi</v>
      </c>
      <c r="B37" s="287"/>
      <c r="C37" s="287"/>
      <c r="D37" s="287"/>
      <c r="E37" s="287"/>
    </row>
    <row r="38" spans="1:5" ht="48" customHeight="1">
      <c r="A38" s="288" t="str">
        <f>""&amp;malumot!B153&amp;" kredit qo‘mitasining xulosasiga quyidagi shartlarda "&amp;malumot!B10&amp;"ga "&amp;malumot!B65&amp;" berish masalasi kiritiladi:"</f>
        <v>«CLEVER MIKROMOLIYA TASHKILOTI» MChJ kredit qo‘mitasining xulosasiga quyidagi shartlarda NUTFULLAYEV AKBARJON AXMEDOVICHga mikroqarz berish masalasi kiritiladi:</v>
      </c>
      <c r="B38" s="288"/>
      <c r="C38" s="288"/>
      <c r="D38" s="288"/>
      <c r="E38" s="288"/>
    </row>
    <row r="39" spans="1:5">
      <c r="A39" s="288" t="str">
        <f>A11</f>
        <v>Mikroqarz summasi: 27 000 000,00 (yigirma yetti million so'm) so'm.</v>
      </c>
      <c r="B39" s="288"/>
      <c r="C39" s="288"/>
      <c r="D39" s="288"/>
      <c r="E39" s="288"/>
    </row>
    <row r="40" spans="1:5">
      <c r="A40" s="288" t="str">
        <f t="shared" ref="A40:A46" si="0">A12</f>
        <v>Mikroqarz muddati: 36 (o'ttiz olti) oy.</v>
      </c>
      <c r="B40" s="288"/>
      <c r="C40" s="288"/>
      <c r="D40" s="288"/>
      <c r="E40" s="288"/>
    </row>
    <row r="41" spans="1:5">
      <c r="A41" s="288" t="str">
        <f t="shared" si="0"/>
        <v>Mikroqarzdan foydalanganlik uchun foiz stavkasi: yillik  60% (Oltmish) foiz</v>
      </c>
      <c r="B41" s="288"/>
      <c r="C41" s="288"/>
      <c r="D41" s="288"/>
      <c r="E41" s="288"/>
    </row>
    <row r="42" spans="1:5">
      <c r="A42" s="288" t="str">
        <f t="shared" si="0"/>
        <v>Mikroqarz bo'yicha asosiy qarz va foizlarni to'lash:</v>
      </c>
      <c r="B42" s="288"/>
      <c r="C42" s="288"/>
      <c r="D42" s="288"/>
      <c r="E42" s="288"/>
    </row>
    <row r="43" spans="1:5" ht="20.25" customHeight="1">
      <c r="A43" s="288" t="str">
        <f t="shared" si="0"/>
        <v xml:space="preserve"> - mikroqarz shartnomasi bo'yicha har oy differensial to'lovlari amalga oshiriladi</v>
      </c>
      <c r="B43" s="288"/>
      <c r="C43" s="288"/>
      <c r="D43" s="288"/>
      <c r="E43" s="288"/>
    </row>
    <row r="44" spans="1:5" ht="26.25" customHeight="1">
      <c r="A44" s="288" t="str">
        <f t="shared" si="0"/>
        <v xml:space="preserve">   </v>
      </c>
      <c r="B44" s="288"/>
      <c r="C44" s="288"/>
      <c r="D44" s="288"/>
      <c r="E44" s="288"/>
    </row>
    <row r="45" spans="1:5">
      <c r="A45" s="288" t="str">
        <f t="shared" si="0"/>
        <v>Mikroqarz ta’minoti::</v>
      </c>
      <c r="B45" s="288"/>
      <c r="C45" s="288"/>
      <c r="D45" s="288"/>
      <c r="E45" s="288"/>
    </row>
    <row r="46" spans="1:5" ht="72" customHeight="1">
      <c r="A46" s="288" t="str">
        <f t="shared" si="0"/>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46" s="288"/>
      <c r="C46" s="288"/>
      <c r="D46" s="288"/>
      <c r="E46" s="288"/>
    </row>
    <row r="47" spans="1:5">
      <c r="A47" s="288"/>
      <c r="B47" s="288"/>
      <c r="C47" s="288"/>
      <c r="D47" s="288"/>
      <c r="E47" s="288"/>
    </row>
    <row r="48" spans="1:5" ht="36.75" customHeight="1">
      <c r="A48" s="288" t="str">
        <f>""&amp;malumot!B153&amp;" mikromoliya tashkilotining xulosasi  "&amp;TEXT(malumot!B2,"ДД.ММ.ГГГГ")&amp;" y. tayyorlangan"</f>
        <v>«CLEVER MIKROMOLIYA TASHKILOTI» MChJ mikromoliya tashkilotining xulosasi  11.03.2025 y. tayyorlangan</v>
      </c>
      <c r="B48" s="288"/>
      <c r="C48" s="288"/>
      <c r="D48" s="288"/>
      <c r="E48" s="288"/>
    </row>
    <row r="49" spans="1:5">
      <c r="A49" s="127"/>
      <c r="B49" s="217"/>
      <c r="C49" s="217"/>
      <c r="D49" s="127"/>
      <c r="E49" s="23"/>
    </row>
    <row r="50" spans="1:5">
      <c r="A50" s="288"/>
      <c r="B50" s="288"/>
      <c r="C50" s="288"/>
      <c r="D50" s="288"/>
      <c r="E50" s="288"/>
    </row>
    <row r="51" spans="1:5" ht="47.25" customHeight="1">
      <c r="A51" s="288" t="str">
        <f>""&amp;malumot!B153&amp;" mikromoliya tashkilotining Kredit qo‘mitasi a’zolari "&amp;malumot!B153&amp;"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1" s="288"/>
      <c r="C51" s="288"/>
      <c r="D51" s="288"/>
      <c r="E51" s="288"/>
    </row>
    <row r="52" spans="1:5">
      <c r="A52" s="220"/>
      <c r="B52" s="220"/>
      <c r="C52" s="220"/>
      <c r="D52" s="220"/>
      <c r="E52" s="220"/>
    </row>
    <row r="53" spans="1:5">
      <c r="A53" s="19"/>
      <c r="B53" s="323" t="s">
        <v>425</v>
      </c>
      <c r="C53" s="323"/>
      <c r="D53" s="323"/>
      <c r="E53" s="19"/>
    </row>
    <row r="54" spans="1:5">
      <c r="B54" s="224" t="str">
        <f>malumot!A156</f>
        <v>Olmaliq filiali boshlig'i</v>
      </c>
      <c r="C54" s="268" t="str">
        <f>malumot!B156</f>
        <v>V. Yerjanov</v>
      </c>
      <c r="D54" s="222"/>
      <c r="E54" s="222"/>
    </row>
    <row r="55" spans="1:5">
      <c r="B55" s="126" t="str">
        <f>malumot!A165</f>
        <v>Kreditlash bo’limi boshlig’i</v>
      </c>
      <c r="C55" s="258" t="str">
        <f>malumot!B165</f>
        <v>B. Mominov</v>
      </c>
      <c r="D55" s="127"/>
      <c r="E55" s="218"/>
    </row>
    <row r="56" spans="1:5">
      <c r="B56" s="221" t="str">
        <f>malumot!A166</f>
        <v>Monitoring bo’limi boshlig’i</v>
      </c>
      <c r="C56" s="258" t="str">
        <f>malumot!B166</f>
        <v>B. Jumanazarov</v>
      </c>
      <c r="D56" s="127"/>
      <c r="E56" s="212"/>
    </row>
    <row r="57" spans="1:5">
      <c r="B57" s="219" t="s">
        <v>426</v>
      </c>
      <c r="C57" s="268" t="s">
        <v>423</v>
      </c>
      <c r="D57" s="222"/>
      <c r="E57" s="212"/>
    </row>
    <row r="58" spans="1:5" ht="35.25" customHeight="1">
      <c r="B58" s="212"/>
      <c r="C58" s="211"/>
      <c r="D58" s="127"/>
      <c r="E58" s="212"/>
    </row>
  </sheetData>
  <mergeCells count="49">
    <mergeCell ref="A6:E6"/>
    <mergeCell ref="A1:E1"/>
    <mergeCell ref="A2:E2"/>
    <mergeCell ref="A3:E3"/>
    <mergeCell ref="A4:E4"/>
    <mergeCell ref="A5:E5"/>
    <mergeCell ref="A7:E7"/>
    <mergeCell ref="A8:E8"/>
    <mergeCell ref="A9:E9"/>
    <mergeCell ref="A26:E26"/>
    <mergeCell ref="A10:E10"/>
    <mergeCell ref="A11:E11"/>
    <mergeCell ref="A12:E12"/>
    <mergeCell ref="A13:E13"/>
    <mergeCell ref="A23:E23"/>
    <mergeCell ref="A22:E22"/>
    <mergeCell ref="A21:E21"/>
    <mergeCell ref="A32:E32"/>
    <mergeCell ref="A14:E14"/>
    <mergeCell ref="A15:E15"/>
    <mergeCell ref="A16:E16"/>
    <mergeCell ref="A17:E17"/>
    <mergeCell ref="A18:E18"/>
    <mergeCell ref="A27:E27"/>
    <mergeCell ref="A19:E19"/>
    <mergeCell ref="A20:E20"/>
    <mergeCell ref="A24:E24"/>
    <mergeCell ref="A25:E25"/>
    <mergeCell ref="A28:E28"/>
    <mergeCell ref="A29:E29"/>
    <mergeCell ref="A33:E33"/>
    <mergeCell ref="A34:E34"/>
    <mergeCell ref="A35:E35"/>
    <mergeCell ref="A36:E36"/>
    <mergeCell ref="A37:E37"/>
    <mergeCell ref="B53:D53"/>
    <mergeCell ref="A51:E51"/>
    <mergeCell ref="A38:E38"/>
    <mergeCell ref="A39:E39"/>
    <mergeCell ref="A40:E40"/>
    <mergeCell ref="A41:E41"/>
    <mergeCell ref="A42:E42"/>
    <mergeCell ref="A43:E43"/>
    <mergeCell ref="A44:E44"/>
    <mergeCell ref="A45:E45"/>
    <mergeCell ref="A46:E46"/>
    <mergeCell ref="A47:E47"/>
    <mergeCell ref="A48:E48"/>
    <mergeCell ref="A50:E50"/>
  </mergeCells>
  <pageMargins left="0.7" right="0.7" top="0.75" bottom="0.75" header="0.3" footer="0.3"/>
  <pageSetup paperSize="9" scale="84" orientation="portrait" r:id="rId1"/>
  <rowBreaks count="1" manualBreakCount="1">
    <brk id="36"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3">
    <tabColor rgb="FF00B050"/>
  </sheetPr>
  <dimension ref="A1:F64"/>
  <sheetViews>
    <sheetView view="pageBreakPreview" topLeftCell="A26" zoomScaleNormal="100" zoomScaleSheetLayoutView="100" workbookViewId="0">
      <selection activeCell="C51" sqref="C51"/>
    </sheetView>
  </sheetViews>
  <sheetFormatPr defaultColWidth="9.140625" defaultRowHeight="15" outlineLevelRow="1"/>
  <cols>
    <col min="1" max="1" width="28.42578125" style="15" customWidth="1"/>
    <col min="2" max="2" width="22.85546875" style="15" customWidth="1"/>
    <col min="3" max="3" width="22.42578125" style="15" customWidth="1"/>
    <col min="4" max="4" width="21.42578125" style="15" customWidth="1"/>
    <col min="5" max="5" width="25.140625" style="15" customWidth="1"/>
    <col min="6" max="16384" width="9.140625" style="15"/>
  </cols>
  <sheetData>
    <row r="1" spans="1:5" ht="106.5" customHeight="1"/>
    <row r="2" spans="1:5">
      <c r="A2" s="312" t="str">
        <f>"GAROV PREDMETI QIYMATINI KELISHISH 
№"&amp;malumot!B147&amp;" SONLI DALOLATNOMASI
 "</f>
        <v xml:space="preserve">GAROV PREDMETI QIYMATINI KELISHISH 
№1 SONLI DALOLATNOMASI
 </v>
      </c>
      <c r="B2" s="312"/>
      <c r="C2" s="312"/>
      <c r="D2" s="312"/>
      <c r="E2" s="312"/>
    </row>
    <row r="3" spans="1:5">
      <c r="A3" s="40"/>
      <c r="B3" s="40"/>
      <c r="C3" s="40"/>
      <c r="D3" s="40"/>
      <c r="E3" s="40"/>
    </row>
    <row r="4" spans="1:5">
      <c r="A4" s="37" t="s">
        <v>208</v>
      </c>
      <c r="B4" s="37"/>
      <c r="C4" s="37"/>
      <c r="D4" s="37"/>
      <c r="E4" s="37" t="str">
        <f>malumot!B148</f>
        <v>11 mart 2025 y.</v>
      </c>
    </row>
    <row r="5" spans="1:5" ht="9" customHeight="1">
      <c r="A5" s="288"/>
      <c r="B5" s="288"/>
      <c r="C5" s="288"/>
      <c r="D5" s="288"/>
      <c r="E5" s="288"/>
    </row>
    <row r="6" spans="1:5" ht="76.5" customHeight="1">
      <c r="A6" s="288" t="str">
        <f>IF(malumot!B109="avtotransport",dalolatnoma!A10:E10,dalolatnoma!A7:E7)</f>
        <v>«CLEVER MIKROMOLIYA TASHKILOTI» MChJning (1-tomon) vakili bo‘lgan  Olmaliq filiali boshlig'i V. Yerjanov, O‘zbekiston Respublikasi fuqarosi va garovga beruvchi NUTFULLAYEV AKBARJON AXMEDOVICH (2-tomon) o’rtalarida, 11 mart 2025 y.dan № 23-AL-sonli Mikroqarz shartnomasiga muvofiq 1-tomon 2-tomonga berilgan mikroqarz bo‘yicha ta’minot sifatida taqdim etilgan, 2-tomonga mulk huquqi asosida tegishli bo‘lgan mulkning garov qiymatini kelishish muzokaralari o’tkazildi.</v>
      </c>
      <c r="B6" s="288"/>
      <c r="C6" s="288"/>
      <c r="D6" s="288"/>
      <c r="E6" s="288"/>
    </row>
    <row r="7" spans="1:5" ht="88.5" hidden="1" customHeight="1">
      <c r="A7" s="288" t="str">
        <f>IF(malumot!B99="ha",dalolatnoma!A9:E9,dalolatnoma!A8:E8)</f>
        <v xml:space="preserve">«CLEVER MIKROMOLIYA TASHKILOTI» MChJning (1-tomon) vakili bo‘lgan  Olmaliq filiali boshlig'i V. Yerjanov, va O‘zbekiston Respublikasi fuqarosi  NUTFULLAYEV AKBARJON AXMEDOVICH (2-tomon) va garov egasi NUTFULLAYEV AKBARJON AXMEDOVICH (3-tomon) 11 mart 2025 y.dan № 23-AL Mikroqarz shartnomasiga muvofiq 1-tomon 2-tomonga berilgan mikroqarz bo‘yicha ta’minot sifatida taqdim etilgan, 2-tomonga mulk huquqi asosida tegishli bo‘lgan mulkning garov qiymatini kelishish muzokaralari o’tkazildi. </v>
      </c>
      <c r="B7" s="288"/>
      <c r="C7" s="288"/>
      <c r="D7" s="288"/>
      <c r="E7" s="288"/>
    </row>
    <row r="8" spans="1:5" ht="88.5" hidden="1" customHeight="1">
      <c r="A8" s="288" t="str">
        <f>""&amp;malumot!B153&amp;"ning (1-tomon) vakili bo‘lgan  "&amp;malumot!A156&amp;" "&amp;malumot!B156&amp;", va O‘zbekiston Respublikasi fuqarosi  "&amp;malumot!B5&amp;" (2-tomon) va garov egasi "&amp;malumot!C123&amp;" (3-tomon) "&amp;malumot!B74&amp;" "&amp;malumot!C64&amp;" shartnomasiga muvofiq 1-tomon 2-tomonga berilgan "&amp;malumot!B65&amp;" bo‘yicha ta’minot sifatida taqdim etilgan, 2-tomonga mulk huquqi asosida tegishli bo‘lgan mulkning garov qiymatini kelishish muzokaralari o’tkazildi. "</f>
        <v xml:space="preserve">«CLEVER MIKROMOLIYA TASHKILOTI» MChJning (1-tomon) vakili bo‘lgan  Olmaliq filiali boshlig'i V. Yerjanov, va O‘zbekiston Respublikasi fuqarosi  NUTFULLAYEV AKBARJON AXMEDOVICH (2-tomon) va garov egasi NUTFULLAYEV AKBARJON AXMEDOVICH (3-tomon) 11 mart 2025 y.dan № 23-AL Mikroqarz shartnomasiga muvofiq 1-tomon 2-tomonga berilgan mikroqarz bo‘yicha ta’minot sifatida taqdim etilgan, 2-tomonga mulk huquqi asosida tegishli bo‘lgan mulkning garov qiymatini kelishish muzokaralari o’tkazildi. </v>
      </c>
      <c r="B8" s="288"/>
      <c r="C8" s="288"/>
      <c r="D8" s="288"/>
      <c r="E8" s="288"/>
    </row>
    <row r="9" spans="1:5" ht="88.5" hidden="1" customHeight="1">
      <c r="A9" s="288" t="str">
        <f>""&amp;malumot!B153&amp;"ning (1-tomon) vakili bo‘lgan  "&amp;malumot!A156&amp;" "&amp;malumot!B156&amp;", va O‘zbekiston Respublikasi fuqarosi  "&amp;malumot!B5&amp;" (2-tomon) va garov egasi "&amp;malumot!C123&amp;" (3-tomon) "&amp;malumot!B74&amp;" "&amp;malumot!C64&amp;" shartnomasiga muvofiq 1-tomon 2-tomonga berilgan "&amp;malumot!B65&amp;" bo‘yicha ta’minot sifatida taqdim etilgan, 2-tomonga mulk huquqi asosida tegishli bo‘lgan mulkning garov qiymatini kelishish muzokaralari o’tkazildi. "</f>
        <v xml:space="preserve">«CLEVER MIKROMOLIYA TASHKILOTI» MChJning (1-tomon) vakili bo‘lgan  Olmaliq filiali boshlig'i V. Yerjanov, va O‘zbekiston Respublikasi fuqarosi  NUTFULLAYEV AKBARJON AXMEDOVICH (2-tomon) va garov egasi NUTFULLAYEV AKBARJON AXMEDOVICH (3-tomon) 11 mart 2025 y.dan № 23-AL Mikroqarz shartnomasiga muvofiq 1-tomon 2-tomonga berilgan mikroqarz bo‘yicha ta’minot sifatida taqdim etilgan, 2-tomonga mulk huquqi asosida tegishli bo‘lgan mulkning garov qiymatini kelishish muzokaralari o’tkazildi. </v>
      </c>
      <c r="B9" s="288"/>
      <c r="C9" s="288"/>
      <c r="D9" s="288"/>
      <c r="E9" s="288"/>
    </row>
    <row r="10" spans="1:5" ht="88.5" hidden="1" customHeight="1">
      <c r="A10" s="288" t="str">
        <f>IF(malumot!B99="ha",dalolatnoma!A12:E12,dalolatnoma!A11:E11)</f>
        <v>«CLEVER MIKROMOLIYA TASHKILOTI» MChJning (1-tomon) vakili bo‘lgan  Olmaliq filiali boshlig'i V. Yerjanov, O‘zbekiston Respublikasi fuqarosi va garovga beruvchi NUTFULLAYEV AKBARJON AXMEDOVICH (2-tomon) o’rtalarida, 11 mart 2025 y.dan № 23-AL-sonli Mikroqarz shartnomasiga muvofiq 1-tomon 2-tomonga berilgan mikroqarz bo‘yicha ta’minot sifatida taqdim etilgan, 2-tomonga mulk huquqi asosida tegishli bo‘lgan mulkning garov qiymatini kelishish muzokaralari o’tkazildi.</v>
      </c>
      <c r="B10" s="288"/>
      <c r="C10" s="288"/>
      <c r="D10" s="288"/>
      <c r="E10" s="288"/>
    </row>
    <row r="11" spans="1:5" ht="88.5" hidden="1" customHeight="1">
      <c r="A11" s="288" t="str">
        <f>""&amp;malumot!B153&amp;"ning (1-tomon) vakili bo‘lgan  "&amp;malumot!A156&amp;" "&amp;malumot!B156&amp;", O‘zbekiston Respublikasi fuqarosi "&amp;malumot!B5&amp;" (2-tomon) va garovga beruvchi O‘zbekiston Respublikasi fuqarosi "&amp;malumot!B123&amp;" (3-tomon) o’rtalarida, "&amp;malumot!B74&amp;"-sonli "&amp;malumot!C64&amp;" shartnomasiga muvofiq 1-tomon 2-tomonga berilgan "&amp;malumot!B65&amp;" bo‘yicha ta’minot sifatida taqdim etilgan, 3-tomonga mulk huquqi asosida tegishli bo‘lgan mulkning garov qiymatini kelishish muzokaralari o’tkazildi."</f>
        <v>«CLEVER MIKROMOLIYA TASHKILOTI» MChJning (1-tomon) vakili bo‘lgan  Olmaliq filiali boshlig'i V. Yerjanov, O‘zbekiston Respublikasi fuqarosi NUTFULLAYEV AKBARJON AXMEDOVICH (2-tomon) va garovga beruvchi O‘zbekiston Respublikasi fuqarosi NUTFULLAYEV AKBARJON AXMEDOVICH (3-tomon) o’rtalarida, 11 mart 2025 y.dan № 23-AL-sonli Mikroqarz shartnomasiga muvofiq 1-tomon 2-tomonga berilgan mikroqarz bo‘yicha ta’minot sifatida taqdim etilgan, 3-tomonga mulk huquqi asosida tegishli bo‘lgan mulkning garov qiymatini kelishish muzokaralari o’tkazildi.</v>
      </c>
      <c r="B11" s="288"/>
      <c r="C11" s="288"/>
      <c r="D11" s="288"/>
      <c r="E11" s="288"/>
    </row>
    <row r="12" spans="1:5" ht="88.5" hidden="1" customHeight="1">
      <c r="A12" s="288" t="str">
        <f>""&amp;malumot!B153&amp;"ning (1-tomon) vakili bo‘lgan  "&amp;malumot!A156&amp;" "&amp;malumot!B156&amp;", O‘zbekiston Respublikasi fuqarosi va garovga beruvchi "&amp;malumot!B5&amp;" (2-tomon) o’rtalarida, "&amp;malumot!B74&amp;"-sonli "&amp;malumot!C64&amp;" shartnomasiga muvofiq 1-tomon 2-tomonga berilgan "&amp;malumot!B65&amp;" bo‘yicha ta’minot sifatida taqdim etilgan, 2-tomonga mulk huquqi asosida tegishli bo‘lgan mulkning garov qiymatini kelishish muzokaralari o’tkazildi."</f>
        <v>«CLEVER MIKROMOLIYA TASHKILOTI» MChJning (1-tomon) vakili bo‘lgan  Olmaliq filiali boshlig'i V. Yerjanov, O‘zbekiston Respublikasi fuqarosi va garovga beruvchi NUTFULLAYEV AKBARJON AXMEDOVICH (2-tomon) o’rtalarida, 11 mart 2025 y.dan № 23-AL-sonli Mikroqarz shartnomasiga muvofiq 1-tomon 2-tomonga berilgan mikroqarz bo‘yicha ta’minot sifatida taqdim etilgan, 2-tomonga mulk huquqi asosida tegishli bo‘lgan mulkning garov qiymatini kelishish muzokaralari o’tkazildi.</v>
      </c>
      <c r="B12" s="288"/>
      <c r="C12" s="288"/>
      <c r="D12" s="288"/>
      <c r="E12" s="288"/>
    </row>
    <row r="13" spans="1:5" ht="88.5" hidden="1" customHeight="1">
      <c r="A13" s="288" t="str">
        <f>"Garov predmeti sifatida "&amp;malumot!B131&amp;", 3-tomonga egalik huquqi tegishli bo'lgan, quyidagi tafsilotlarga ega avtotransport vositasi taqdim etiladi:"</f>
        <v>Garov predmeti sifatida CHANGAN CHANGAN SC 1027SB, 3-tomonga egalik huquqi tegishli bo'lgan, quyidagi tafsilotlarga ega avtotransport vositasi taqdim etiladi:</v>
      </c>
      <c r="B13" s="288"/>
      <c r="C13" s="288"/>
      <c r="D13" s="288"/>
      <c r="E13" s="288"/>
    </row>
    <row r="14" spans="1:5" ht="88.5" hidden="1" customHeight="1">
      <c r="A14" s="288" t="str">
        <f>"Garov predmeti sifatida "&amp;malumot!B131&amp;", 2-tomonga egalik huquqi tegishli bo'lgan, quyidagi tafsilotlarga ega avtotransport vositasi taqdim etiladi:"</f>
        <v>Garov predmeti sifatida CHANGAN CHANGAN SC 1027SB, 2-tomonga egalik huquqi tegishli bo'lgan, quyidagi tafsilotlarga ega avtotransport vositasi taqdim etiladi:</v>
      </c>
      <c r="B14" s="288"/>
      <c r="C14" s="288"/>
      <c r="D14" s="288"/>
      <c r="E14" s="288"/>
    </row>
    <row r="15" spans="1:5" ht="88.5" hidden="1" customHeight="1">
      <c r="A15" s="288" t="str">
        <f>IF(malumot!B99="ha",dalolatnoma!A14:E14,dalolatnoma!A13:E13)</f>
        <v>Garov predmeti sifatida CHANGAN CHANGAN SC 1027SB, 2-tomonga egalik huquqi tegishli bo'lgan, quyidagi tafsilotlarga ega avtotransport vositasi taqdim etiladi:</v>
      </c>
      <c r="B15" s="288"/>
      <c r="C15" s="288"/>
      <c r="D15" s="288"/>
      <c r="E15" s="288"/>
    </row>
    <row r="16" spans="1:5" ht="88.5" hidden="1" customHeight="1">
      <c r="A16" s="288" t="str">
        <f>"Garov predmeti sifatida "&amp;malumot!C132&amp;", 2-tomonga egalik huquqi tegishli bo'lgan, quyidagi tafsilotlarga ega ko'chmas mulk taqdim etiladi:"</f>
        <v>Garov predmeti sifatida 3 - xonali yakka tartibdagi uy-joy, 2-tomonga egalik huquqi tegishli bo'lgan, quyidagi tafsilotlarga ega ko'chmas mulk taqdim etiladi:</v>
      </c>
      <c r="B16" s="288"/>
      <c r="C16" s="288"/>
      <c r="D16" s="288"/>
      <c r="E16" s="288"/>
    </row>
    <row r="17" spans="1:5" ht="13.5" hidden="1" customHeight="1">
      <c r="A17" s="288" t="str">
        <f>"Garov predmeti sifatida "&amp;malumot!C132&amp;", 3-tomonga egalik huquqi tegishli bo'lgan, quyidagi tafsilotlarga ega ko'chmas mulk taqdim etiladi:"</f>
        <v>Garov predmeti sifatida 3 - xonali yakka tartibdagi uy-joy, 3-tomonga egalik huquqi tegishli bo'lgan, quyidagi tafsilotlarga ega ko'chmas mulk taqdim etiladi:</v>
      </c>
      <c r="B17" s="288"/>
      <c r="C17" s="288"/>
      <c r="D17" s="288"/>
      <c r="E17" s="288"/>
    </row>
    <row r="18" spans="1:5" ht="11.25" hidden="1" customHeight="1">
      <c r="A18" s="288" t="str">
        <f>IF(malumot!B99="ha",dalolatnoma!A16:E16,dalolatnoma!A17:E17)</f>
        <v>Garov predmeti sifatida 3 - xonali yakka tartibdagi uy-joy, 2-tomonga egalik huquqi tegishli bo'lgan, quyidagi tafsilotlarga ega ko'chmas mulk taqdim etiladi:</v>
      </c>
      <c r="B18" s="288"/>
      <c r="C18" s="288"/>
      <c r="D18" s="288"/>
      <c r="E18" s="288"/>
    </row>
    <row r="19" spans="1:5" ht="32.25" customHeight="1">
      <c r="A19" s="288" t="str">
        <f>IF(malumot!B109="Avtotransport",dalolatnoma!A15:E15,dalolatnoma!A18:E18)</f>
        <v>Garov predmeti sifatida CHANGAN CHANGAN SC 1027SB, 2-tomonga egalik huquqi tegishli bo'lgan, quyidagi tafsilotlarga ega avtotransport vositasi taqdim etiladi:</v>
      </c>
      <c r="B19" s="288"/>
      <c r="C19" s="288"/>
      <c r="D19" s="288"/>
      <c r="E19" s="288"/>
    </row>
    <row r="20" spans="1:5" ht="48" customHeight="1" outlineLevel="1">
      <c r="A20" s="39" t="s">
        <v>206</v>
      </c>
      <c r="B20" s="329" t="str">
        <f>IF(malumot!B109=malumot!C109,"Kuzov turi  va kuzov raqami*","Foydali maydoni")</f>
        <v>Kuzov turi  va kuzov raqami*</v>
      </c>
      <c r="C20" s="330"/>
      <c r="D20" s="39" t="str">
        <f>IF(malumot!B109=malumot!C109,"Dvigatel va shassi raqami*","Yashash maydoni")</f>
        <v>Dvigatel va shassi raqami*</v>
      </c>
      <c r="E20" s="39" t="str">
        <f>IF(malumot!B109=malumot!C109,"Ishlab chiqarilgan yili va rangi**","Umumiy maydoni")</f>
        <v>Ishlab chiqarilgan yili va rangi**</v>
      </c>
    </row>
    <row r="21" spans="1:5" ht="65.25" customHeight="1" outlineLevel="1">
      <c r="A21" s="17" t="str">
        <f>IF(malumot!B109=malumot!C109,malumot!B131,malumot!C131)</f>
        <v>CHANGAN CHANGAN SC 1027SB</v>
      </c>
      <c r="B21" s="314" t="str">
        <f>IF(malumot!B109=malumot!C109,malumot!B133,CONCATENATE(malumot!F136," ","kv.m"))</f>
        <v>kuzov turi - YUK BORTLI TENT, kuzov raqami LSCAB23D8EG228387</v>
      </c>
      <c r="C21" s="314"/>
      <c r="D21" s="17" t="str">
        <f>IF(malumot!B109=malumot!C109,malumot!B136,malumot!E139)</f>
        <v>dvigatel raqami JL466Q1%E61H022801, shassi raqami - URINDIKLAR SONI 5TA</v>
      </c>
      <c r="E21" s="17" t="str">
        <f>IF(malumot!B109=malumot!C109,malumot!B139,malumot!E136)</f>
        <v>rangi -  OQ BELIY, ishlab chiqarilgan yili - 2014</v>
      </c>
    </row>
    <row r="22" spans="1:5" ht="17.25" customHeight="1" outlineLevel="1">
      <c r="A22" s="288" t="str">
        <f>"-* "&amp;IF(malumot!B109=malumot!C109,"avtotransport "&amp;"egasi: "&amp;malumot!B123&amp;"","ko'chmas mulk"&amp;" egasi: "&amp;malumot!B123&amp;"")</f>
        <v>-* avtotransport egasi: NUTFULLAYEV AKBARJON AXMEDOVICH</v>
      </c>
      <c r="B22" s="288"/>
      <c r="C22" s="288"/>
      <c r="D22" s="288"/>
      <c r="E22" s="288"/>
    </row>
    <row r="23" spans="1:5" outlineLevel="1">
      <c r="A23" s="288" t="str">
        <f>IF(malumot!B109=malumot!C109,"-* texnik pasport: "&amp;malumot!B130&amp;"","-* reest raqami: "&amp;malumot!C130&amp;"")</f>
        <v>-* texnik pasport: AAG   2346592  13.09.2023y</v>
      </c>
      <c r="B23" s="288"/>
      <c r="C23" s="288"/>
      <c r="D23" s="288"/>
      <c r="E23" s="288"/>
    </row>
    <row r="24" spans="1:5" s="172" customFormat="1" outlineLevel="1">
      <c r="A24" s="288" t="str">
        <f>IF(malumot!B109=malumot!C109,"-* roʻyxatdan oʻtgan manzili/garaj manzili: "&amp;malumot!B128&amp;"","-*  kadastr raqami: "&amp;malumot!C133&amp;"")</f>
        <v>-* roʻyxatdan oʻtgan manzili/garaj manzili: BUXORO VILOYATI BUXORO SHAHAR TADBIRKOR KO'CHASI 12-UY</v>
      </c>
      <c r="B24" s="288"/>
      <c r="C24" s="288"/>
      <c r="D24" s="288"/>
      <c r="E24" s="288"/>
    </row>
    <row r="25" spans="1:5" ht="27" customHeight="1" outlineLevel="1">
      <c r="A25" s="288" t="str">
        <f>IF(malumot!B109=malumot!C109,"-* davlat raqami: "&amp;malumot!B132&amp;"","-* manzili: "&amp;malumot!C129&amp;"")</f>
        <v>-* davlat raqami: 80T312WA</v>
      </c>
      <c r="B25" s="288"/>
      <c r="C25" s="288"/>
      <c r="D25" s="288"/>
      <c r="E25" s="288"/>
    </row>
    <row r="26" spans="1:5" ht="65.25" customHeight="1">
      <c r="A26" s="288" t="str">
        <f>IF(malumot!B99="ha",dalolatnoma!A28:E28,dalolatnoma!A27:E27)</f>
        <v>Tomonlar o’rtasida o’tkazilgan muzokaralar natijalariga ko‘ra, 2-tomon ta’minot sifatida quyidagi tafsilotlarga ega bo’lgan garov predmetini taqdim etadi, 1-tomon esa ushbu garov predmetini  11 mart 2025 y.dan № 23-AL Mikroqarz shartnomasi bo‘yicha berilgan mikroqarz bo‘yicha  
40 500 000,00 (qirq million besh yuz ming so'm) so’m bo‘lgan kelishilgan garov qiymatida qabul qiladi::</v>
      </c>
      <c r="B26" s="288"/>
      <c r="C26" s="288"/>
      <c r="D26" s="288"/>
      <c r="E26" s="288"/>
    </row>
    <row r="27" spans="1:5" ht="66" hidden="1" customHeight="1">
      <c r="A27" s="288" t="str">
        <f>"Tomonlar o’rtasida o’tkazilgan muzokaralar natijalariga ko‘ra, 2-tomon ta’minot sifatida quyidagi tafsilotlarga ega bo’lgan garov predmetini taqdim etadi, 1-tomon esa ushbu garov predmetini  "&amp;malumot!B74&amp;" "&amp;malumot!B65&amp;" shartnomasi bo‘yicha berilgan "&amp;malumot!B65&amp;" bo‘yicha  
"&amp;FIXED(malumot!B142,2)&amp;" ("&amp;malumot!B143&amp;") so’m bo‘lgan kelishilgan garov qiymatida qabul qiladi::"</f>
        <v>Tomonlar o’rtasida o’tkazilgan muzokaralar natijalariga ko‘ra, 2-tomon ta’minot sifatida quyidagi tafsilotlarga ega bo’lgan garov predmetini taqdim etadi, 1-tomon esa ushbu garov predmetini  11 mart 2025 y.dan № 23-AL mikroqarz shartnomasi bo‘yicha berilgan mikroqarz bo‘yicha  
40 500 000,00 (qirq million besh yuz ming so'm) so’m bo‘lgan kelishilgan garov qiymatida qabul qiladi::</v>
      </c>
      <c r="B27" s="288"/>
      <c r="C27" s="288"/>
      <c r="D27" s="288"/>
      <c r="E27" s="288"/>
    </row>
    <row r="28" spans="1:5" ht="58.5" hidden="1" customHeight="1">
      <c r="A28" s="288" t="str">
        <f>"Tomonlar o’rtasida o’tkazilgan muzokaralar natijalariga ko‘ra, 2-tomon ta’minot sifatida quyidagi tafsilotlarga ega bo’lgan garov predmetini taqdim etadi, 1-tomon esa ushbu garov predmetini  "&amp;malumot!B74&amp;" "&amp;malumot!C64&amp;" shartnomasi bo‘yicha berilgan "&amp;malumot!B65&amp;" bo‘yicha  
"&amp;FIXED(malumot!B142,2)&amp;" ("&amp;malumot!B143&amp;") so’m bo‘lgan kelishilgan garov qiymatida qabul qiladi::"</f>
        <v>Tomonlar o’rtasida o’tkazilgan muzokaralar natijalariga ko‘ra, 2-tomon ta’minot sifatida quyidagi tafsilotlarga ega bo’lgan garov predmetini taqdim etadi, 1-tomon esa ushbu garov predmetini  11 mart 2025 y.dan № 23-AL Mikroqarz shartnomasi bo‘yicha berilgan mikroqarz bo‘yicha  
40 500 000,00 (qirq million besh yuz ming so'm) so’m bo‘lgan kelishilgan garov qiymatida qabul qiladi::</v>
      </c>
      <c r="B28" s="288"/>
      <c r="C28" s="288"/>
      <c r="D28" s="288"/>
      <c r="E28" s="288"/>
    </row>
    <row r="29" spans="1:5" ht="51.75" customHeight="1" outlineLevel="1">
      <c r="A29" s="39" t="s">
        <v>206</v>
      </c>
      <c r="B29" s="39" t="str">
        <f>B20</f>
        <v>Kuzov turi  va kuzov raqami*</v>
      </c>
      <c r="C29" s="39" t="str">
        <f>D20</f>
        <v>Dvigatel va shassi raqami*</v>
      </c>
      <c r="D29" s="39" t="str">
        <f>IF(malumot!B109=malumot!C109,"Ishlab chiqarilgan yili va rangi*","Foydalanishga topshirilgan sanasi")</f>
        <v>Ishlab chiqarilgan yili va rangi*</v>
      </c>
      <c r="E29" s="39" t="s">
        <v>207</v>
      </c>
    </row>
    <row r="30" spans="1:5" ht="76.5" customHeight="1" outlineLevel="1">
      <c r="A30" s="17" t="str">
        <f>A21</f>
        <v>CHANGAN CHANGAN SC 1027SB</v>
      </c>
      <c r="B30" s="17" t="str">
        <f>B21</f>
        <v>kuzov turi - YUK BORTLI TENT, kuzov raqami LSCAB23D8EG228387</v>
      </c>
      <c r="C30" s="17" t="str">
        <f>D21</f>
        <v>dvigatel raqami JL466Q1%E61H022801, shassi raqami - URINDIKLAR SONI 5TA</v>
      </c>
      <c r="D30" s="17" t="str">
        <f>IF(malumot!B109=malumot!C109,E21,TEXT(malumot!C141,"ДД.ММ.ГГГГ"))</f>
        <v>rangi -  OQ BELIY, ishlab chiqarilgan yili - 2014</v>
      </c>
      <c r="E30" s="17" t="str">
        <f>""&amp;FIXED(malumot!B142,2)&amp;" 
("&amp;malumot!B143&amp;")"</f>
        <v>40 500 000,00 
(qirq million besh yuz ming so'm)</v>
      </c>
    </row>
    <row r="31" spans="1:5" ht="16.5" customHeight="1">
      <c r="A31" s="16"/>
      <c r="B31" s="16"/>
      <c r="C31" s="16"/>
      <c r="D31" s="16"/>
      <c r="E31" s="16"/>
    </row>
    <row r="32" spans="1:5" ht="56.25" hidden="1" customHeight="1" outlineLevel="1">
      <c r="A32" s="39" t="s">
        <v>5</v>
      </c>
      <c r="B32" s="39" t="s">
        <v>19</v>
      </c>
      <c r="C32" s="39" t="s">
        <v>20</v>
      </c>
      <c r="D32" s="39" t="s">
        <v>21</v>
      </c>
      <c r="E32" s="39" t="s">
        <v>6</v>
      </c>
    </row>
    <row r="33" spans="1:5" ht="15.75" hidden="1" customHeight="1" outlineLevel="1">
      <c r="A33" s="17" t="e">
        <f>#REF!</f>
        <v>#REF!</v>
      </c>
      <c r="B33" s="107" t="e">
        <f>#REF!</f>
        <v>#REF!</v>
      </c>
      <c r="C33" s="107" t="e">
        <f>#REF!</f>
        <v>#REF!</v>
      </c>
      <c r="D33" s="107" t="e">
        <f>#REF!</f>
        <v>#REF!</v>
      </c>
      <c r="E33" s="325" t="str">
        <f>""&amp;FIXED(malumot!C142,2)&amp;" ("&amp;malumot!B143&amp;")"</f>
        <v>40 500 000,00 (qirq million besh yuz ming so'm)</v>
      </c>
    </row>
    <row r="34" spans="1:5" ht="15.75" hidden="1" customHeight="1" outlineLevel="1">
      <c r="A34" s="17"/>
      <c r="B34" s="107"/>
      <c r="C34" s="107"/>
      <c r="D34" s="107"/>
      <c r="E34" s="326"/>
    </row>
    <row r="35" spans="1:5" ht="15.75" hidden="1" customHeight="1" outlineLevel="1">
      <c r="A35" s="17" t="e">
        <f>#REF!</f>
        <v>#REF!</v>
      </c>
      <c r="B35" s="107" t="e">
        <f>#REF!</f>
        <v>#REF!</v>
      </c>
      <c r="C35" s="107" t="e">
        <f>#REF!</f>
        <v>#REF!</v>
      </c>
      <c r="D35" s="107" t="e">
        <f>#REF!</f>
        <v>#REF!</v>
      </c>
      <c r="E35" s="326"/>
    </row>
    <row r="36" spans="1:5" ht="15.75" hidden="1" customHeight="1" outlineLevel="1">
      <c r="A36" s="17" t="e">
        <f>#REF!</f>
        <v>#REF!</v>
      </c>
      <c r="B36" s="107" t="e">
        <f>#REF!</f>
        <v>#REF!</v>
      </c>
      <c r="C36" s="107" t="e">
        <f>#REF!</f>
        <v>#REF!</v>
      </c>
      <c r="D36" s="107" t="e">
        <f>#REF!</f>
        <v>#REF!</v>
      </c>
      <c r="E36" s="326"/>
    </row>
    <row r="37" spans="1:5" ht="15.75" hidden="1" customHeight="1" outlineLevel="1">
      <c r="A37" s="17" t="e">
        <f>#REF!</f>
        <v>#REF!</v>
      </c>
      <c r="B37" s="107" t="e">
        <f>#REF!</f>
        <v>#REF!</v>
      </c>
      <c r="C37" s="107" t="e">
        <f>#REF!</f>
        <v>#REF!</v>
      </c>
      <c r="D37" s="107" t="e">
        <f>#REF!</f>
        <v>#REF!</v>
      </c>
      <c r="E37" s="326"/>
    </row>
    <row r="38" spans="1:5" ht="15.75" hidden="1" customHeight="1" outlineLevel="1">
      <c r="A38" s="17" t="e">
        <f>#REF!</f>
        <v>#REF!</v>
      </c>
      <c r="B38" s="107" t="e">
        <f>#REF!</f>
        <v>#REF!</v>
      </c>
      <c r="C38" s="107" t="e">
        <f>#REF!</f>
        <v>#REF!</v>
      </c>
      <c r="D38" s="107" t="e">
        <f>#REF!</f>
        <v>#REF!</v>
      </c>
      <c r="E38" s="326"/>
    </row>
    <row r="39" spans="1:5" ht="15.75" hidden="1" customHeight="1" outlineLevel="1">
      <c r="A39" s="17" t="e">
        <f>#REF!</f>
        <v>#REF!</v>
      </c>
      <c r="B39" s="107" t="e">
        <f>#REF!</f>
        <v>#REF!</v>
      </c>
      <c r="C39" s="107" t="e">
        <f>#REF!</f>
        <v>#REF!</v>
      </c>
      <c r="D39" s="107" t="e">
        <f>#REF!</f>
        <v>#REF!</v>
      </c>
      <c r="E39" s="326"/>
    </row>
    <row r="40" spans="1:5" ht="15.75" hidden="1" customHeight="1" outlineLevel="1">
      <c r="A40" s="17" t="e">
        <f>#REF!</f>
        <v>#REF!</v>
      </c>
      <c r="B40" s="107" t="e">
        <f>#REF!</f>
        <v>#REF!</v>
      </c>
      <c r="C40" s="107" t="e">
        <f>#REF!</f>
        <v>#REF!</v>
      </c>
      <c r="D40" s="107" t="e">
        <f>#REF!</f>
        <v>#REF!</v>
      </c>
      <c r="E40" s="326"/>
    </row>
    <row r="41" spans="1:5" ht="15.75" hidden="1" customHeight="1" outlineLevel="1">
      <c r="A41" s="17" t="e">
        <f>#REF!</f>
        <v>#REF!</v>
      </c>
      <c r="B41" s="107" t="e">
        <f>#REF!</f>
        <v>#REF!</v>
      </c>
      <c r="C41" s="107" t="e">
        <f>#REF!</f>
        <v>#REF!</v>
      </c>
      <c r="D41" s="107" t="e">
        <f>#REF!</f>
        <v>#REF!</v>
      </c>
      <c r="E41" s="326"/>
    </row>
    <row r="42" spans="1:5" ht="15.75" hidden="1" customHeight="1" outlineLevel="1">
      <c r="A42" s="17" t="e">
        <f>#REF!</f>
        <v>#REF!</v>
      </c>
      <c r="B42" s="107" t="e">
        <f>#REF!</f>
        <v>#REF!</v>
      </c>
      <c r="C42" s="107" t="e">
        <f>#REF!</f>
        <v>#REF!</v>
      </c>
      <c r="D42" s="107" t="e">
        <f>#REF!</f>
        <v>#REF!</v>
      </c>
      <c r="E42" s="326"/>
    </row>
    <row r="43" spans="1:5" ht="15.75" hidden="1" customHeight="1" outlineLevel="1">
      <c r="A43" s="17" t="e">
        <f>#REF!</f>
        <v>#REF!</v>
      </c>
      <c r="B43" s="17" t="e">
        <f>#REF!</f>
        <v>#REF!</v>
      </c>
      <c r="C43" s="17" t="e">
        <f>#REF!</f>
        <v>#REF!</v>
      </c>
      <c r="D43" s="17" t="e">
        <f>#REF!</f>
        <v>#REF!</v>
      </c>
      <c r="E43" s="327"/>
    </row>
    <row r="44" spans="1:5" s="37" customFormat="1" ht="15.75" hidden="1" customHeight="1" outlineLevel="1">
      <c r="A44" s="39" t="e">
        <f>#REF!</f>
        <v>#REF!</v>
      </c>
      <c r="B44" s="39" t="e">
        <f>#REF!</f>
        <v>#REF!</v>
      </c>
      <c r="C44" s="39" t="e">
        <f>#REF!</f>
        <v>#REF!</v>
      </c>
      <c r="D44" s="39" t="e">
        <f>#REF!</f>
        <v>#REF!</v>
      </c>
      <c r="E44" s="39" t="str">
        <f>FIXED(malumot!C142,2)</f>
        <v>40 500 000,00</v>
      </c>
    </row>
    <row r="45" spans="1:5" ht="12.75" customHeight="1" collapsed="1">
      <c r="A45" s="16"/>
      <c r="B45" s="16"/>
      <c r="C45" s="16"/>
      <c r="D45" s="16"/>
      <c r="E45" s="16"/>
    </row>
    <row r="46" spans="1:5" ht="93.75" hidden="1" customHeight="1">
      <c r="A46" s="288"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88"/>
      <c r="C46" s="288"/>
      <c r="D46" s="288"/>
      <c r="E46" s="288"/>
    </row>
    <row r="47" spans="1:5" ht="42" customHeight="1">
      <c r="A47" s="288" t="s">
        <v>210</v>
      </c>
      <c r="B47" s="288"/>
      <c r="C47" s="288"/>
      <c r="D47" s="288"/>
      <c r="E47" s="288"/>
    </row>
    <row r="48" spans="1:5" ht="35.25" customHeight="1">
      <c r="A48" s="288" t="str">
        <f>"Shunday qilib, garov predmetining kelishilgan garov qiymati  "&amp;FIXED(malumot!B142)&amp;" ("&amp;malumot!B143&amp;") so‘mni tashkil etadi."</f>
        <v>Shunday qilib, garov predmetining kelishilgan garov qiymati  40 500 000,00 (qirq million besh yuz ming so'm) so‘mni tashkil etadi.</v>
      </c>
      <c r="B48" s="288"/>
      <c r="C48" s="288"/>
      <c r="D48" s="288"/>
      <c r="E48" s="288"/>
    </row>
    <row r="49" spans="1:6" ht="35.25" hidden="1" customHeight="1">
      <c r="A49" s="19"/>
      <c r="B49" s="19"/>
      <c r="C49" s="19"/>
      <c r="D49" s="19">
        <f>IF(malumot!B98=malumot!C98,malumot!C142,IF(malumot!B98=malumot!D98,'Данные для послед. Залога'!M22,0))</f>
        <v>40500000</v>
      </c>
      <c r="E49" s="19" t="str">
        <f>IF(malumot!B98=malumot!C98,malumot!B143,IF(malumot!B98=malumot!D98,'Данные для послед. Залога'!Q22,0))</f>
        <v>qirq million besh yuz ming so'm</v>
      </c>
    </row>
    <row r="50" spans="1:6">
      <c r="A50" s="324" t="s">
        <v>211</v>
      </c>
      <c r="B50" s="324"/>
      <c r="C50" s="324"/>
      <c r="D50" s="22"/>
      <c r="E50" s="22"/>
    </row>
    <row r="51" spans="1:6" ht="15" customHeight="1">
      <c r="A51" s="126" t="str">
        <f>malumot!B154</f>
        <v>«CLEVER MIKROMOLIYA TASHKILOTI» MChJ</v>
      </c>
      <c r="B51" s="261"/>
      <c r="C51" s="261"/>
      <c r="D51" s="158"/>
      <c r="E51" s="158"/>
    </row>
    <row r="52" spans="1:6" ht="15" customHeight="1">
      <c r="A52" s="259" t="str">
        <f>""&amp;malumot!A156&amp;""</f>
        <v>Olmaliq filiali boshlig'i</v>
      </c>
      <c r="B52" s="259"/>
      <c r="C52" s="259"/>
      <c r="D52" s="265"/>
      <c r="E52" s="265" t="str">
        <f>malumot!B156</f>
        <v>V. Yerjanov</v>
      </c>
    </row>
    <row r="53" spans="1:6">
      <c r="A53" s="53"/>
      <c r="B53" s="53"/>
      <c r="C53" s="53"/>
      <c r="D53" s="53"/>
      <c r="E53" s="53"/>
    </row>
    <row r="54" spans="1:6">
      <c r="A54" s="324"/>
      <c r="B54" s="324"/>
      <c r="C54" s="324"/>
      <c r="D54" s="53"/>
      <c r="E54" s="53"/>
    </row>
    <row r="55" spans="1:6" hidden="1">
      <c r="A55" s="289" t="s">
        <v>47</v>
      </c>
      <c r="B55" s="289"/>
      <c r="C55" s="289"/>
      <c r="D55" s="53"/>
      <c r="E55" s="53"/>
    </row>
    <row r="56" spans="1:6" hidden="1">
      <c r="A56" s="289" t="str">
        <f>malumot!B154</f>
        <v>«CLEVER MIKROMOLIYA TASHKILOTI» MChJ</v>
      </c>
      <c r="B56" s="289"/>
      <c r="C56" s="289"/>
      <c r="D56" s="289" t="str">
        <f>"_______________   "&amp;malumot!B165&amp;""</f>
        <v>_______________   B. Mominov</v>
      </c>
      <c r="E56" s="289"/>
    </row>
    <row r="57" spans="1:6" ht="12.75" customHeight="1">
      <c r="A57" s="289"/>
      <c r="B57" s="289"/>
      <c r="C57" s="289"/>
      <c r="D57" s="289"/>
      <c r="E57" s="289"/>
    </row>
    <row r="58" spans="1:6">
      <c r="A58" s="324" t="s">
        <v>212</v>
      </c>
      <c r="B58" s="324"/>
      <c r="C58" s="324"/>
      <c r="D58" s="289"/>
      <c r="E58" s="289"/>
    </row>
    <row r="59" spans="1:6" ht="31.5" customHeight="1">
      <c r="A59" s="289" t="s">
        <v>213</v>
      </c>
      <c r="B59" s="289"/>
      <c r="C59" s="289"/>
      <c r="D59" s="324" t="str">
        <f>"_______________  "&amp;malumot!B7&amp;""</f>
        <v>_______________  A.A.NUTFULLAYEV</v>
      </c>
      <c r="E59" s="324"/>
    </row>
    <row r="60" spans="1:6" ht="12.75" customHeight="1">
      <c r="A60" s="289"/>
      <c r="B60" s="289"/>
      <c r="C60" s="289"/>
      <c r="D60" s="328" t="str">
        <f>IF(malumot!B99="да","",malumot!B124)</f>
        <v>A.A.NUTFULLAYEV</v>
      </c>
      <c r="E60" s="328"/>
    </row>
    <row r="61" spans="1:6" ht="17.25" hidden="1" customHeight="1">
      <c r="A61" s="324" t="str">
        <f>+IF(malumot!B99="ha"," ","3-tomondan:")</f>
        <v xml:space="preserve"> </v>
      </c>
      <c r="B61" s="324"/>
      <c r="C61" s="324"/>
      <c r="D61" s="324"/>
      <c r="E61" s="324"/>
      <c r="F61" s="15" t="str">
        <f>IF(malumot!B100=malumot!D100,B7,"")</f>
        <v/>
      </c>
    </row>
    <row r="62" spans="1:6" ht="17.25" hidden="1" customHeight="1">
      <c r="A62" s="289" t="str">
        <f>+IF(malumot!B99="ha"," ","O'zbekiston Respublikasi fuqarosi")</f>
        <v xml:space="preserve"> </v>
      </c>
      <c r="B62" s="289"/>
      <c r="C62" s="289"/>
      <c r="D62" s="324" t="str">
        <f>"_______________  "&amp;malumot!B118&amp;""</f>
        <v>_______________  A.A.NUTFULLAYEV</v>
      </c>
      <c r="E62" s="324"/>
    </row>
    <row r="63" spans="1:6" ht="63.75" hidden="1" customHeight="1">
      <c r="A63" s="180" t="str">
        <f>IF(malumot!B100=malumot!C100,"_______________  "&amp;malumot!B118&amp;"","_______________  "&amp;malumot!B7&amp;"")</f>
        <v>_______________  A.A.NUTFULLAYEV</v>
      </c>
      <c r="B63" s="53"/>
      <c r="C63" s="289" t="str">
        <f>'заявление залогодателя'!A20</f>
        <v/>
      </c>
      <c r="D63" s="289"/>
      <c r="E63" s="289"/>
    </row>
    <row r="64" spans="1:6" ht="6.75" customHeight="1">
      <c r="D64" s="320"/>
      <c r="E64" s="320"/>
    </row>
  </sheetData>
  <mergeCells count="48">
    <mergeCell ref="A19:E19"/>
    <mergeCell ref="A24:E24"/>
    <mergeCell ref="B20:C20"/>
    <mergeCell ref="B21:C21"/>
    <mergeCell ref="A22:E22"/>
    <mergeCell ref="A23:E23"/>
    <mergeCell ref="A14:E14"/>
    <mergeCell ref="A15:E15"/>
    <mergeCell ref="A16:E16"/>
    <mergeCell ref="A17:E17"/>
    <mergeCell ref="A18:E18"/>
    <mergeCell ref="A60:C60"/>
    <mergeCell ref="D60:E60"/>
    <mergeCell ref="A61:C61"/>
    <mergeCell ref="D61:E61"/>
    <mergeCell ref="A62:C62"/>
    <mergeCell ref="D62:E62"/>
    <mergeCell ref="A57:C57"/>
    <mergeCell ref="D57:E57"/>
    <mergeCell ref="A58:C58"/>
    <mergeCell ref="D58:E58"/>
    <mergeCell ref="A59:C59"/>
    <mergeCell ref="D59:E59"/>
    <mergeCell ref="D64:E64"/>
    <mergeCell ref="A2:E2"/>
    <mergeCell ref="A11:E11"/>
    <mergeCell ref="A12:E12"/>
    <mergeCell ref="A13:E13"/>
    <mergeCell ref="A10:E10"/>
    <mergeCell ref="A5:E5"/>
    <mergeCell ref="A6:E6"/>
    <mergeCell ref="A7:E7"/>
    <mergeCell ref="A8:E8"/>
    <mergeCell ref="A9:E9"/>
    <mergeCell ref="C63:E63"/>
    <mergeCell ref="A26:E26"/>
    <mergeCell ref="A25:E25"/>
    <mergeCell ref="A54:C54"/>
    <mergeCell ref="A55:C55"/>
    <mergeCell ref="A56:C56"/>
    <mergeCell ref="D56:E56"/>
    <mergeCell ref="A27:E27"/>
    <mergeCell ref="A50:C50"/>
    <mergeCell ref="A46:E46"/>
    <mergeCell ref="A47:E47"/>
    <mergeCell ref="E33:E43"/>
    <mergeCell ref="A28:E28"/>
    <mergeCell ref="A48:E48"/>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sheetPr>
  <dimension ref="A1:P65"/>
  <sheetViews>
    <sheetView view="pageBreakPreview" topLeftCell="A43" zoomScaleNormal="100" zoomScaleSheetLayoutView="100" workbookViewId="0">
      <selection activeCell="A59" sqref="A59"/>
    </sheetView>
  </sheetViews>
  <sheetFormatPr defaultColWidth="9.140625" defaultRowHeight="15" outlineLevelCol="1"/>
  <cols>
    <col min="1" max="1" width="9.140625" style="15"/>
    <col min="2" max="2" width="13.7109375" style="15" customWidth="1"/>
    <col min="3" max="3" width="20.140625" style="15" customWidth="1"/>
    <col min="4" max="4" width="20.28515625" style="15" customWidth="1"/>
    <col min="5" max="5" width="19.5703125" style="15" customWidth="1"/>
    <col min="6" max="6" width="18.28515625" style="15" customWidth="1"/>
    <col min="7" max="7" width="10.140625" style="15" customWidth="1" outlineLevel="1"/>
    <col min="8" max="8" width="19.7109375" style="15" customWidth="1"/>
    <col min="9" max="10" width="9.140625" style="15" customWidth="1"/>
    <col min="11" max="16384" width="9.140625" style="15"/>
  </cols>
  <sheetData>
    <row r="1" spans="1:16" ht="9" customHeight="1"/>
    <row r="2" spans="1:16" ht="6" customHeight="1">
      <c r="A2" s="37"/>
      <c r="B2" s="37"/>
      <c r="C2" s="37"/>
      <c r="D2" s="37"/>
      <c r="E2" s="311"/>
      <c r="F2" s="311"/>
      <c r="G2" s="20"/>
    </row>
    <row r="3" spans="1:16" ht="77.25" customHeight="1">
      <c r="A3" s="37"/>
      <c r="B3" s="37"/>
      <c r="C3" s="37"/>
      <c r="D3" s="37"/>
      <c r="E3" s="331" t="str">
        <f>""&amp;malumot!B74&amp;" 
"&amp;malumot!B65&amp;" shartnomasiga 
1 sonli ilova"</f>
        <v>11 mart 2025 y.dan № 23-AL 
mikroqarz shartnomasiga 
1 sonli ilova</v>
      </c>
      <c r="F3" s="331"/>
      <c r="G3" s="20"/>
    </row>
    <row r="4" spans="1:16" ht="6.75" customHeight="1">
      <c r="A4" s="37"/>
      <c r="B4" s="37"/>
      <c r="C4" s="37"/>
      <c r="D4" s="37"/>
      <c r="E4" s="37"/>
      <c r="F4" s="37"/>
    </row>
    <row r="5" spans="1:16">
      <c r="A5" s="312" t="s">
        <v>264</v>
      </c>
      <c r="B5" s="312"/>
      <c r="C5" s="312"/>
      <c r="D5" s="312"/>
      <c r="E5" s="312"/>
      <c r="F5" s="312"/>
    </row>
    <row r="6" spans="1:16" ht="7.5" customHeight="1"/>
    <row r="7" spans="1:16" ht="15" customHeight="1">
      <c r="A7" s="313" t="s">
        <v>15</v>
      </c>
      <c r="B7" s="314" t="s">
        <v>265</v>
      </c>
      <c r="C7" s="314" t="s">
        <v>266</v>
      </c>
      <c r="D7" s="315" t="s">
        <v>267</v>
      </c>
      <c r="E7" s="315"/>
      <c r="F7" s="315"/>
    </row>
    <row r="8" spans="1:16" s="16" customFormat="1">
      <c r="A8" s="313"/>
      <c r="B8" s="314"/>
      <c r="C8" s="314"/>
      <c r="D8" s="17" t="s">
        <v>268</v>
      </c>
      <c r="E8" s="17" t="s">
        <v>269</v>
      </c>
      <c r="F8" s="17" t="s">
        <v>270</v>
      </c>
    </row>
    <row r="9" spans="1:16">
      <c r="A9" s="18">
        <v>1</v>
      </c>
      <c r="B9" s="33">
        <f>'График аннуитет.'!B8</f>
        <v>45754</v>
      </c>
      <c r="C9" s="34">
        <f>IF(malumot!$B$77=malumot!$C$77,'График дифференц'!C8,IF(malumot!$B$77=malumot!$D$77,'График аннуитет.'!C8))</f>
        <v>27000000</v>
      </c>
      <c r="D9" s="34">
        <f>IF(malumot!$B$77=malumot!$C$77,'График дифференц'!D8,IF(malumot!$B$77=malumot!$D$77,'График аннуитет.'!D8))</f>
        <v>750000</v>
      </c>
      <c r="E9" s="34">
        <f>IF(malumot!$B$77=malumot!$C$77,'График дифференц'!E8,IF(malumot!$B$77=malumot!$D$77,'График аннуитет.'!E8))</f>
        <v>1198356.1199999999</v>
      </c>
      <c r="F9" s="34">
        <f>IF(malumot!$B$77=malumot!$C$77,'График дифференц'!F8,IF(malumot!$B$77=malumot!$D$77,'График аннуитет.'!F8))</f>
        <v>1948356.1199999999</v>
      </c>
    </row>
    <row r="10" spans="1:16">
      <c r="A10" s="18">
        <v>2</v>
      </c>
      <c r="B10" s="33">
        <f>'График аннуитет.'!B9</f>
        <v>45782</v>
      </c>
      <c r="C10" s="34">
        <f>IF(malumot!$B$77=malumot!$C$77,'График дифференц'!C9,IF(malumot!$B$77=malumot!$D$77,'График аннуитет.'!C9))</f>
        <v>26250000</v>
      </c>
      <c r="D10" s="34">
        <f>IF(malumot!$B$77=malumot!$C$77,'График дифференц'!D9,IF(malumot!$B$77=malumot!$D$77,'График аннуитет.'!D9))</f>
        <v>750000</v>
      </c>
      <c r="E10" s="34">
        <f>IF(malumot!$B$77=malumot!$C$77,'График дифференц'!E9,IF(malumot!$B$77=malumot!$D$77,'График аннуитет.'!E9))</f>
        <v>1208219.04</v>
      </c>
      <c r="F10" s="34">
        <f>IF(malumot!$B$77=malumot!$C$77,'График дифференц'!F9,IF(malumot!$B$77=malumot!$D$77,'График аннуитет.'!F9))</f>
        <v>1958219.04</v>
      </c>
    </row>
    <row r="11" spans="1:16">
      <c r="A11" s="18">
        <v>3</v>
      </c>
      <c r="B11" s="33">
        <f>'График аннуитет.'!B10</f>
        <v>45813</v>
      </c>
      <c r="C11" s="34">
        <f>IF(malumot!$B$77=malumot!$C$77,'График дифференц'!C10,IF(malumot!$B$77=malumot!$D$77,'График аннуитет.'!C10))</f>
        <v>25500000</v>
      </c>
      <c r="D11" s="34">
        <f>IF(malumot!$B$77=malumot!$C$77,'График дифференц'!D10,IF(malumot!$B$77=malumot!$D$77,'График аннуитет.'!D10))</f>
        <v>750000</v>
      </c>
      <c r="E11" s="34">
        <f>IF(malumot!$B$77=malumot!$C$77,'График дифференц'!E10,IF(malumot!$B$77=malumot!$D$77,'График аннуитет.'!E10))</f>
        <v>1299452.1099999999</v>
      </c>
      <c r="F11" s="34">
        <f>IF(malumot!$B$77=malumot!$C$77,'График дифференц'!F10,IF(malumot!$B$77=malumot!$D$77,'График аннуитет.'!F10))</f>
        <v>2049452.1099999999</v>
      </c>
    </row>
    <row r="12" spans="1:16">
      <c r="A12" s="18">
        <v>4</v>
      </c>
      <c r="B12" s="33">
        <f>'График аннуитет.'!B11</f>
        <v>45845</v>
      </c>
      <c r="C12" s="34">
        <f>IF(malumot!$B$77=malumot!$C$77,'График дифференц'!C11,IF(malumot!$B$77=malumot!$D$77,'График аннуитет.'!C11))</f>
        <v>24750000</v>
      </c>
      <c r="D12" s="34">
        <f>IF(malumot!$B$77=malumot!$C$77,'График дифференц'!D11,IF(malumot!$B$77=malumot!$D$77,'График аннуитет.'!D11))</f>
        <v>750000</v>
      </c>
      <c r="E12" s="34">
        <f>IF(malumot!$B$77=malumot!$C$77,'График дифференц'!E11,IF(malumot!$B$77=malumot!$D$77,'График аннуитет.'!E11))</f>
        <v>1301917.76</v>
      </c>
      <c r="F12" s="34">
        <f>IF(malumot!$B$77=malumot!$C$77,'График дифференц'!F11,IF(malumot!$B$77=malumot!$D$77,'График аннуитет.'!F11))</f>
        <v>2051917.76</v>
      </c>
      <c r="H12" s="333" t="s">
        <v>375</v>
      </c>
      <c r="I12" s="333"/>
      <c r="J12" s="333"/>
      <c r="K12" s="333"/>
      <c r="L12" s="333"/>
      <c r="M12" s="333"/>
      <c r="N12" s="333"/>
      <c r="O12" s="333"/>
      <c r="P12" s="333"/>
    </row>
    <row r="13" spans="1:16">
      <c r="A13" s="18">
        <v>5</v>
      </c>
      <c r="B13" s="33">
        <f>'График аннуитет.'!B12</f>
        <v>45874</v>
      </c>
      <c r="C13" s="34">
        <f>IF(malumot!$B$77=malumot!$C$77,'График дифференц'!C12,IF(malumot!$B$77=malumot!$D$77,'График аннуитет.'!C12))</f>
        <v>24000000</v>
      </c>
      <c r="D13" s="34">
        <f>IF(malumot!$B$77=malumot!$C$77,'График дифференц'!D12,IF(malumot!$B$77=malumot!$D$77,'График аннуитет.'!D12))</f>
        <v>750000</v>
      </c>
      <c r="E13" s="34">
        <f>IF(malumot!$B$77=malumot!$C$77,'График дифференц'!E12,IF(malumot!$B$77=malumot!$D$77,'График аннуитет.'!E12))</f>
        <v>1144109.4500000002</v>
      </c>
      <c r="F13" s="34">
        <f>IF(malumot!$B$77=malumot!$C$77,'График дифференц'!F12,IF(malumot!$B$77=malumot!$D$77,'График аннуитет.'!F12))</f>
        <v>1894109.4500000002</v>
      </c>
      <c r="H13" s="333"/>
      <c r="I13" s="333"/>
      <c r="J13" s="333"/>
      <c r="K13" s="333"/>
      <c r="L13" s="333"/>
      <c r="M13" s="333"/>
      <c r="N13" s="333"/>
      <c r="O13" s="333"/>
      <c r="P13" s="333"/>
    </row>
    <row r="14" spans="1:16">
      <c r="A14" s="18">
        <v>6</v>
      </c>
      <c r="B14" s="33">
        <f>'График аннуитет.'!B13</f>
        <v>45905</v>
      </c>
      <c r="C14" s="34">
        <f>IF(malumot!$B$77=malumot!$C$77,'График дифференц'!C13,IF(malumot!$B$77=malumot!$D$77,'График аннуитет.'!C13))</f>
        <v>23250000</v>
      </c>
      <c r="D14" s="34">
        <f>IF(malumot!$B$77=malumot!$C$77,'График дифференц'!D13,IF(malumot!$B$77=malumot!$D$77,'График аннуитет.'!D13))</f>
        <v>750000</v>
      </c>
      <c r="E14" s="34">
        <f>IF(malumot!$B$77=malumot!$C$77,'График дифференц'!E13,IF(malumot!$B$77=malumot!$D$77,'График аннуитет.'!E13))</f>
        <v>1184794.58</v>
      </c>
      <c r="F14" s="34">
        <f>IF(malumot!$B$77=malumot!$C$77,'График дифференц'!F13,IF(malumot!$B$77=malumot!$D$77,'График аннуитет.'!F13))</f>
        <v>1934794.58</v>
      </c>
      <c r="H14" s="333"/>
      <c r="I14" s="333"/>
      <c r="J14" s="333"/>
      <c r="K14" s="333"/>
      <c r="L14" s="333"/>
      <c r="M14" s="333"/>
      <c r="N14" s="333"/>
      <c r="O14" s="333"/>
      <c r="P14" s="333"/>
    </row>
    <row r="15" spans="1:16">
      <c r="A15" s="18">
        <v>7</v>
      </c>
      <c r="B15" s="33">
        <f>'График аннуитет.'!B14</f>
        <v>45936</v>
      </c>
      <c r="C15" s="34">
        <f>IF(malumot!$B$77=malumot!$C$77,'График дифференц'!C14,IF(malumot!$B$77=malumot!$D$77,'График аннуитет.'!C14))</f>
        <v>22500000</v>
      </c>
      <c r="D15" s="34">
        <f>IF(malumot!$B$77=malumot!$C$77,'График дифференц'!D14,IF(malumot!$B$77=malumot!$D$77,'График аннуитет.'!D14))</f>
        <v>750000</v>
      </c>
      <c r="E15" s="34">
        <f>IF(malumot!$B$77=malumot!$C$77,'График дифференц'!E14,IF(malumot!$B$77=malumot!$D$77,'График аннуитет.'!E14))</f>
        <v>1146575.3</v>
      </c>
      <c r="F15" s="34">
        <f>IF(malumot!$B$77=malumot!$C$77,'График дифференц'!F14,IF(malumot!$B$77=malumot!$D$77,'График аннуитет.'!F14))</f>
        <v>1896575.3</v>
      </c>
      <c r="H15" s="333"/>
      <c r="I15" s="333"/>
      <c r="J15" s="333"/>
      <c r="K15" s="333"/>
      <c r="L15" s="333"/>
      <c r="M15" s="333"/>
      <c r="N15" s="333"/>
      <c r="O15" s="333"/>
      <c r="P15" s="333"/>
    </row>
    <row r="16" spans="1:16">
      <c r="A16" s="18">
        <v>8</v>
      </c>
      <c r="B16" s="33">
        <f>'График аннуитет.'!B15</f>
        <v>45966</v>
      </c>
      <c r="C16" s="34">
        <f>IF(malumot!$B$77=malumot!$C$77,'График дифференц'!C15,IF(malumot!$B$77=malumot!$D$77,'График аннуитет.'!C15))</f>
        <v>21750000</v>
      </c>
      <c r="D16" s="34">
        <f>IF(malumot!$B$77=malumot!$C$77,'График дифференц'!D15,IF(malumot!$B$77=malumot!$D$77,'График аннуитет.'!D15))</f>
        <v>750000</v>
      </c>
      <c r="E16" s="34">
        <f>IF(malumot!$B$77=malumot!$C$77,'График дифференц'!E15,IF(malumot!$B$77=malumot!$D$77,'График аннуитет.'!E15))</f>
        <v>1072602.5999999999</v>
      </c>
      <c r="F16" s="34">
        <f>IF(malumot!$B$77=malumot!$C$77,'График дифференц'!F15,IF(malumot!$B$77=malumot!$D$77,'График аннуитет.'!F15))</f>
        <v>1822602.5999999999</v>
      </c>
      <c r="H16" s="333"/>
      <c r="I16" s="333"/>
      <c r="J16" s="333"/>
      <c r="K16" s="333"/>
      <c r="L16" s="333"/>
      <c r="M16" s="333"/>
      <c r="N16" s="333"/>
      <c r="O16" s="333"/>
      <c r="P16" s="333"/>
    </row>
    <row r="17" spans="1:16">
      <c r="A17" s="18">
        <v>9</v>
      </c>
      <c r="B17" s="33">
        <f>'График аннуитет.'!B16</f>
        <v>45996</v>
      </c>
      <c r="C17" s="34">
        <f>IF(malumot!$B$77=malumot!$C$77,'График дифференц'!C16,IF(malumot!$B$77=malumot!$D$77,'График аннуитет.'!C16))</f>
        <v>21000000</v>
      </c>
      <c r="D17" s="34">
        <f>IF(malumot!$B$77=malumot!$C$77,'График дифференц'!D16,IF(malumot!$B$77=malumot!$D$77,'График аннуитет.'!D16))</f>
        <v>750000</v>
      </c>
      <c r="E17" s="34">
        <f>IF(malumot!$B$77=malumot!$C$77,'График дифференц'!E16,IF(malumot!$B$77=malumot!$D$77,'График аннуитет.'!E16))</f>
        <v>1035616.5000000001</v>
      </c>
      <c r="F17" s="34">
        <f>IF(malumot!$B$77=malumot!$C$77,'График дифференц'!F16,IF(malumot!$B$77=malumot!$D$77,'График аннуитет.'!F16))</f>
        <v>1785616.5</v>
      </c>
      <c r="H17" s="333"/>
      <c r="I17" s="333"/>
      <c r="J17" s="333"/>
      <c r="K17" s="333"/>
      <c r="L17" s="333"/>
      <c r="M17" s="333"/>
      <c r="N17" s="333"/>
      <c r="O17" s="333"/>
      <c r="P17" s="333"/>
    </row>
    <row r="18" spans="1:16">
      <c r="A18" s="18">
        <v>10</v>
      </c>
      <c r="B18" s="33">
        <f>'График аннуитет.'!B17</f>
        <v>46027</v>
      </c>
      <c r="C18" s="34">
        <f>IF(malumot!$B$77=malumot!$C$77,'График дифференц'!C17,IF(malumot!$B$77=malumot!$D$77,'График аннуитет.'!C17))</f>
        <v>20250000</v>
      </c>
      <c r="D18" s="34">
        <f>IF(malumot!$B$77=malumot!$C$77,'График дифференц'!D17,IF(malumot!$B$77=malumot!$D$77,'График аннуитет.'!D17))</f>
        <v>750000</v>
      </c>
      <c r="E18" s="34">
        <f>IF(malumot!$B$77=malumot!$C$77,'График дифференц'!E17,IF(malumot!$B$77=malumot!$D$77,'График аннуитет.'!E17))</f>
        <v>1031917.7699999999</v>
      </c>
      <c r="F18" s="34">
        <f>IF(malumot!$B$77=malumot!$C$77,'График дифференц'!F17,IF(malumot!$B$77=malumot!$D$77,'График аннуитет.'!F17))</f>
        <v>1781917.77</v>
      </c>
      <c r="H18" s="333"/>
      <c r="I18" s="333"/>
      <c r="J18" s="333"/>
      <c r="K18" s="333"/>
      <c r="L18" s="333"/>
      <c r="M18" s="333"/>
      <c r="N18" s="333"/>
      <c r="O18" s="333"/>
      <c r="P18" s="333"/>
    </row>
    <row r="19" spans="1:16">
      <c r="A19" s="18">
        <v>11</v>
      </c>
      <c r="B19" s="33">
        <f>'График аннуитет.'!B18</f>
        <v>46058</v>
      </c>
      <c r="C19" s="34">
        <f>IF(malumot!$B$77=malumot!$C$77,'График дифференц'!C18,IF(malumot!$B$77=malumot!$D$77,'График аннуитет.'!C18))</f>
        <v>19500000</v>
      </c>
      <c r="D19" s="34">
        <f>IF(malumot!$B$77=malumot!$C$77,'График дифференц'!D18,IF(malumot!$B$77=malumot!$D$77,'График аннуитет.'!D18))</f>
        <v>750000</v>
      </c>
      <c r="E19" s="34">
        <f>IF(malumot!$B$77=malumot!$C$77,'График дифференц'!E18,IF(malumot!$B$77=malumot!$D$77,'График аннуитет.'!E18))</f>
        <v>993698.49</v>
      </c>
      <c r="F19" s="34">
        <f>IF(malumot!$B$77=malumot!$C$77,'График дифференц'!F18,IF(malumot!$B$77=malumot!$D$77,'График аннуитет.'!F18))</f>
        <v>1743698.49</v>
      </c>
      <c r="H19" s="333"/>
      <c r="I19" s="333"/>
      <c r="J19" s="333"/>
      <c r="K19" s="333"/>
      <c r="L19" s="333"/>
      <c r="M19" s="333"/>
      <c r="N19" s="333"/>
      <c r="O19" s="333"/>
      <c r="P19" s="333"/>
    </row>
    <row r="20" spans="1:16">
      <c r="A20" s="18">
        <v>12</v>
      </c>
      <c r="B20" s="33">
        <f>'График аннуитет.'!B19</f>
        <v>46086</v>
      </c>
      <c r="C20" s="34">
        <f>IF(malumot!$B$77=malumot!$C$77,'График дифференц'!C19,IF(malumot!$B$77=malumot!$D$77,'График аннуитет.'!C19))</f>
        <v>18750000</v>
      </c>
      <c r="D20" s="34">
        <f>IF(malumot!$B$77=malumot!$C$77,'График дифференц'!D19,IF(malumot!$B$77=malumot!$D$77,'График аннуитет.'!D19))</f>
        <v>750000</v>
      </c>
      <c r="E20" s="34">
        <f>IF(malumot!$B$77=malumot!$C$77,'График дифференц'!E19,IF(malumot!$B$77=malumot!$D$77,'График аннуитет.'!E19))</f>
        <v>863013.76</v>
      </c>
      <c r="F20" s="34">
        <f>IF(malumot!$B$77=malumot!$C$77,'График дифференц'!F19,IF(malumot!$B$77=malumot!$D$77,'График аннуитет.'!F19))</f>
        <v>1613013.76</v>
      </c>
      <c r="H20" s="333"/>
      <c r="I20" s="333"/>
      <c r="J20" s="333"/>
      <c r="K20" s="333"/>
      <c r="L20" s="333"/>
      <c r="M20" s="333"/>
      <c r="N20" s="333"/>
      <c r="O20" s="333"/>
      <c r="P20" s="333"/>
    </row>
    <row r="21" spans="1:16">
      <c r="A21" s="18">
        <v>13</v>
      </c>
      <c r="B21" s="33">
        <f>'График аннуитет.'!B20</f>
        <v>46118</v>
      </c>
      <c r="C21" s="34">
        <f>IF(malumot!$B$77=malumot!$C$77,'График дифференц'!C20,IF(malumot!$B$77=malumot!$D$77,'График аннуитет.'!C20))</f>
        <v>18000000</v>
      </c>
      <c r="D21" s="34">
        <f>IF(malumot!$B$77=malumot!$C$77,'График дифференц'!D20,IF(malumot!$B$77=malumot!$D$77,'График аннуитет.'!D20))</f>
        <v>750000</v>
      </c>
      <c r="E21" s="34">
        <f>IF(malumot!$B$77=malumot!$C$77,'График дифференц'!E20,IF(malumot!$B$77=malumot!$D$77,'График аннуитет.'!E20))</f>
        <v>946849.28000000003</v>
      </c>
      <c r="F21" s="34">
        <f>IF(malumot!$B$77=malumot!$C$77,'График дифференц'!F20,IF(malumot!$B$77=malumot!$D$77,'График аннуитет.'!F20))</f>
        <v>1696849.28</v>
      </c>
      <c r="H21" s="333"/>
      <c r="I21" s="333"/>
      <c r="J21" s="333"/>
      <c r="K21" s="333"/>
      <c r="L21" s="333"/>
      <c r="M21" s="333"/>
      <c r="N21" s="333"/>
      <c r="O21" s="333"/>
      <c r="P21" s="333"/>
    </row>
    <row r="22" spans="1:16">
      <c r="A22" s="18">
        <v>14</v>
      </c>
      <c r="B22" s="33">
        <f>'График аннуитет.'!B21</f>
        <v>46147</v>
      </c>
      <c r="C22" s="34">
        <f>IF(malumot!$B$77=malumot!$C$77,'График дифференц'!C21,IF(malumot!$B$77=malumot!$D$77,'График аннуитет.'!C21))</f>
        <v>17250000</v>
      </c>
      <c r="D22" s="34">
        <f>IF(malumot!$B$77=malumot!$C$77,'График дифференц'!D21,IF(malumot!$B$77=malumot!$D$77,'График аннуитет.'!D21))</f>
        <v>750000</v>
      </c>
      <c r="E22" s="34">
        <f>IF(malumot!$B$77=malumot!$C$77,'График дифференц'!E21,IF(malumot!$B$77=malumot!$D$77,'График аннуитет.'!E21))</f>
        <v>822328.64</v>
      </c>
      <c r="F22" s="34">
        <f>IF(malumot!$B$77=malumot!$C$77,'График дифференц'!F21,IF(malumot!$B$77=malumot!$D$77,'График аннуитет.'!F21))</f>
        <v>1572328.6400000001</v>
      </c>
      <c r="H22" s="333"/>
      <c r="I22" s="333"/>
      <c r="J22" s="333"/>
      <c r="K22" s="333"/>
      <c r="L22" s="333"/>
      <c r="M22" s="333"/>
      <c r="N22" s="333"/>
      <c r="O22" s="333"/>
      <c r="P22" s="333"/>
    </row>
    <row r="23" spans="1:16">
      <c r="A23" s="18">
        <v>15</v>
      </c>
      <c r="B23" s="33">
        <f>'График аннуитет.'!B22</f>
        <v>46178</v>
      </c>
      <c r="C23" s="34">
        <f>IF(malumot!$B$77=malumot!$C$77,'График дифференц'!C22,IF(malumot!$B$77=malumot!$D$77,'График аннуитет.'!C22))</f>
        <v>16500000</v>
      </c>
      <c r="D23" s="34">
        <f>IF(malumot!$B$77=malumot!$C$77,'График дифференц'!D22,IF(malumot!$B$77=malumot!$D$77,'График аннуитет.'!D22))</f>
        <v>750000</v>
      </c>
      <c r="E23" s="34">
        <f>IF(malumot!$B$77=malumot!$C$77,'График дифференц'!E22,IF(malumot!$B$77=malumot!$D$77,'График аннуитет.'!E22))</f>
        <v>840821.99</v>
      </c>
      <c r="F23" s="34">
        <f>IF(malumot!$B$77=malumot!$C$77,'График дифференц'!F22,IF(malumot!$B$77=malumot!$D$77,'График аннуитет.'!F22))</f>
        <v>1590821.99</v>
      </c>
      <c r="H23" s="333"/>
      <c r="I23" s="333"/>
      <c r="J23" s="333"/>
      <c r="K23" s="333"/>
      <c r="L23" s="333"/>
      <c r="M23" s="333"/>
      <c r="N23" s="333"/>
      <c r="O23" s="333"/>
      <c r="P23" s="333"/>
    </row>
    <row r="24" spans="1:16">
      <c r="A24" s="18">
        <v>16</v>
      </c>
      <c r="B24" s="33">
        <f>'График аннуитет.'!B23</f>
        <v>46209</v>
      </c>
      <c r="C24" s="34">
        <f>IF(malumot!$B$77=malumot!$C$77,'График дифференц'!C23,IF(malumot!$B$77=malumot!$D$77,'График аннуитет.'!C23))</f>
        <v>15750000</v>
      </c>
      <c r="D24" s="34">
        <f>IF(malumot!$B$77=malumot!$C$77,'График дифференц'!D23,IF(malumot!$B$77=malumot!$D$77,'График аннуитет.'!D23))</f>
        <v>750000</v>
      </c>
      <c r="E24" s="34">
        <f>IF(malumot!$B$77=malumot!$C$77,'График дифференц'!E23,IF(malumot!$B$77=malumot!$D$77,'График аннуитет.'!E23))</f>
        <v>802602.71</v>
      </c>
      <c r="F24" s="34">
        <f>IF(malumot!$B$77=malumot!$C$77,'График дифференц'!F23,IF(malumot!$B$77=malumot!$D$77,'График аннуитет.'!F23))</f>
        <v>1552602.71</v>
      </c>
      <c r="H24" s="333"/>
      <c r="I24" s="333"/>
      <c r="J24" s="333"/>
      <c r="K24" s="333"/>
      <c r="L24" s="333"/>
      <c r="M24" s="333"/>
      <c r="N24" s="333"/>
      <c r="O24" s="333"/>
      <c r="P24" s="333"/>
    </row>
    <row r="25" spans="1:16" ht="16.5" customHeight="1">
      <c r="A25" s="18">
        <v>17</v>
      </c>
      <c r="B25" s="33">
        <f>'График аннуитет.'!B24</f>
        <v>46239</v>
      </c>
      <c r="C25" s="34">
        <f>IF(malumot!$B$77=malumot!$C$77,'График дифференц'!C24,IF(malumot!$B$77=malumot!$D$77,'График аннуитет.'!C24))</f>
        <v>15000000</v>
      </c>
      <c r="D25" s="34">
        <f>IF(malumot!$B$77=malumot!$C$77,'График дифференц'!D24,IF(malumot!$B$77=malumot!$D$77,'График аннуитет.'!D24))</f>
        <v>750000</v>
      </c>
      <c r="E25" s="34">
        <f>IF(malumot!$B$77=malumot!$C$77,'График дифференц'!E24,IF(malumot!$B$77=malumot!$D$77,'График аннуитет.'!E24))</f>
        <v>739725.89999999991</v>
      </c>
      <c r="F25" s="34">
        <f>IF(malumot!$B$77=malumot!$C$77,'График дифференц'!F24,IF(malumot!$B$77=malumot!$D$77,'График аннуитет.'!F24))</f>
        <v>1489725.9</v>
      </c>
    </row>
    <row r="26" spans="1:16">
      <c r="A26" s="18">
        <v>18</v>
      </c>
      <c r="B26" s="33">
        <f>'График аннуитет.'!B25</f>
        <v>46272</v>
      </c>
      <c r="C26" s="34">
        <f>IF(malumot!$B$77=malumot!$C$77,'График дифференц'!C25,IF(malumot!$B$77=malumot!$D$77,'График аннуитет.'!C25))</f>
        <v>14250000</v>
      </c>
      <c r="D26" s="34">
        <f>IF(malumot!$B$77=malumot!$C$77,'График дифференц'!D25,IF(malumot!$B$77=malumot!$D$77,'График аннуитет.'!D25))</f>
        <v>750000</v>
      </c>
      <c r="E26" s="34">
        <f>IF(malumot!$B$77=malumot!$C$77,'График дифференц'!E25,IF(malumot!$B$77=malumot!$D$77,'График аннуитет.'!E25))</f>
        <v>773013.78</v>
      </c>
      <c r="F26" s="34">
        <f>IF(malumot!$B$77=malumot!$C$77,'График дифференц'!F25,IF(malumot!$B$77=malumot!$D$77,'График аннуитет.'!F25))</f>
        <v>1523013.78</v>
      </c>
    </row>
    <row r="27" spans="1:16">
      <c r="A27" s="18">
        <f>1+A26</f>
        <v>19</v>
      </c>
      <c r="B27" s="33">
        <f>'График аннуитет.'!B26</f>
        <v>46300</v>
      </c>
      <c r="C27" s="34">
        <f>IF(malumot!$B$77=malumot!$C$77,'График дифференц'!C26,IF(malumot!$B$77=malumot!$D$77,'График аннуитет.'!C26))</f>
        <v>13500000</v>
      </c>
      <c r="D27" s="34">
        <f>IF(malumot!$B$77=malumot!$C$77,'График дифференц'!D26,IF(malumot!$B$77=malumot!$D$77,'График аннуитет.'!D26))</f>
        <v>750000</v>
      </c>
      <c r="E27" s="34">
        <f>IF(malumot!$B$77=malumot!$C$77,'График дифференц'!E26,IF(malumot!$B$77=malumot!$D$77,'График аннуитет.'!E26))</f>
        <v>621369.84</v>
      </c>
      <c r="F27" s="34">
        <f>IF(malumot!$B$77=malumot!$C$77,'График дифференц'!F26,IF(malumot!$B$77=malumot!$D$77,'График аннуитет.'!F26))</f>
        <v>1371369.8399999999</v>
      </c>
    </row>
    <row r="28" spans="1:16">
      <c r="A28" s="18">
        <f t="shared" ref="A28:A43" si="0">1+A27</f>
        <v>20</v>
      </c>
      <c r="B28" s="33">
        <f>'График аннуитет.'!B27</f>
        <v>46331</v>
      </c>
      <c r="C28" s="34">
        <f>IF(malumot!$B$77=malumot!$C$77,'График дифференц'!C27,IF(malumot!$B$77=malumot!$D$77,'График аннуитет.'!C27))</f>
        <v>12750000</v>
      </c>
      <c r="D28" s="34">
        <f>IF(malumot!$B$77=malumot!$C$77,'График дифференц'!D27,IF(malumot!$B$77=malumot!$D$77,'График аннуитет.'!D27))</f>
        <v>750000</v>
      </c>
      <c r="E28" s="34">
        <f>IF(malumot!$B$77=malumot!$C$77,'График дифференц'!E27,IF(malumot!$B$77=malumot!$D$77,'График аннуитет.'!E27))</f>
        <v>649725.9</v>
      </c>
      <c r="F28" s="34">
        <f>IF(malumot!$B$77=malumot!$C$77,'График дифференц'!F27,IF(malumot!$B$77=malumot!$D$77,'График аннуитет.'!F27))</f>
        <v>1399725.9</v>
      </c>
    </row>
    <row r="29" spans="1:16">
      <c r="A29" s="18">
        <f t="shared" si="0"/>
        <v>21</v>
      </c>
      <c r="B29" s="33">
        <f>'График аннуитет.'!B28</f>
        <v>46363</v>
      </c>
      <c r="C29" s="34">
        <f>IF(malumot!$B$77=malumot!$C$77,'График дифференц'!C28,IF(malumot!$B$77=malumot!$D$77,'График аннуитет.'!C28))</f>
        <v>12000000</v>
      </c>
      <c r="D29" s="34">
        <f>IF(malumot!$B$77=malumot!$C$77,'График дифференц'!D28,IF(malumot!$B$77=malumot!$D$77,'График аннуитет.'!D28))</f>
        <v>750000</v>
      </c>
      <c r="E29" s="34">
        <f>IF(malumot!$B$77=malumot!$C$77,'График дифференц'!E28,IF(malumot!$B$77=malumot!$D$77,'График аннуитет.'!E28))</f>
        <v>631232.96</v>
      </c>
      <c r="F29" s="34">
        <f>IF(malumot!$B$77=malumot!$C$77,'График дифференц'!F28,IF(malumot!$B$77=malumot!$D$77,'График аннуитет.'!F28))</f>
        <v>1381232.96</v>
      </c>
    </row>
    <row r="30" spans="1:16">
      <c r="A30" s="18">
        <f t="shared" si="0"/>
        <v>22</v>
      </c>
      <c r="B30" s="33">
        <f>'График аннуитет.'!B29</f>
        <v>46392</v>
      </c>
      <c r="C30" s="34">
        <f>IF(malumot!$B$77=malumot!$C$77,'График дифференц'!C29,IF(malumot!$B$77=malumot!$D$77,'График аннуитет.'!C29))</f>
        <v>11250000</v>
      </c>
      <c r="D30" s="34">
        <f>IF(malumot!$B$77=malumot!$C$77,'График дифференц'!D29,IF(malumot!$B$77=malumot!$D$77,'График аннуитет.'!D29))</f>
        <v>750000</v>
      </c>
      <c r="E30" s="34">
        <f>IF(malumot!$B$77=malumot!$C$77,'График дифференц'!E29,IF(malumot!$B$77=malumot!$D$77,'График аннуитет.'!E29))</f>
        <v>536301.35000000009</v>
      </c>
      <c r="F30" s="34">
        <f>IF(malumot!$B$77=malumot!$C$77,'График дифференц'!F29,IF(malumot!$B$77=malumot!$D$77,'График аннуитет.'!F29))</f>
        <v>1286301.3500000001</v>
      </c>
    </row>
    <row r="31" spans="1:16">
      <c r="A31" s="18">
        <f t="shared" si="0"/>
        <v>23</v>
      </c>
      <c r="B31" s="33">
        <f>'График аннуитет.'!B30</f>
        <v>46423</v>
      </c>
      <c r="C31" s="34">
        <f>IF(malumot!$B$77=malumot!$C$77,'График дифференц'!C30,IF(malumot!$B$77=malumot!$D$77,'График аннуитет.'!C30))</f>
        <v>10500000</v>
      </c>
      <c r="D31" s="34">
        <f>IF(malumot!$B$77=malumot!$C$77,'График дифференц'!D30,IF(malumot!$B$77=malumot!$D$77,'График аннуитет.'!D30))</f>
        <v>750000</v>
      </c>
      <c r="E31" s="34">
        <f>IF(malumot!$B$77=malumot!$C$77,'График дифференц'!E30,IF(malumot!$B$77=malumot!$D$77,'График аннуитет.'!E30))</f>
        <v>535068.37</v>
      </c>
      <c r="F31" s="34">
        <f>IF(malumot!$B$77=malumot!$C$77,'График дифференц'!F30,IF(malumot!$B$77=malumot!$D$77,'График аннуитет.'!F30))</f>
        <v>1285068.3700000001</v>
      </c>
    </row>
    <row r="32" spans="1:16">
      <c r="A32" s="18">
        <f t="shared" si="0"/>
        <v>24</v>
      </c>
      <c r="B32" s="33">
        <f>'График аннуитет.'!B31</f>
        <v>46451</v>
      </c>
      <c r="C32" s="34">
        <f>IF(malumot!$B$77=malumot!$C$77,'График дифференц'!C31,IF(malumot!$B$77=malumot!$D$77,'График аннуитет.'!C31))</f>
        <v>9750000</v>
      </c>
      <c r="D32" s="34">
        <f>IF(malumot!$B$77=malumot!$C$77,'График дифференц'!D31,IF(malumot!$B$77=malumot!$D$77,'График аннуитет.'!D31))</f>
        <v>750000</v>
      </c>
      <c r="E32" s="34">
        <f>IF(malumot!$B$77=malumot!$C$77,'График дифференц'!E31,IF(malumot!$B$77=malumot!$D$77,'График аннуитет.'!E31))</f>
        <v>448767.2</v>
      </c>
      <c r="F32" s="34">
        <f>IF(malumot!$B$77=malumot!$C$77,'График дифференц'!F31,IF(malumot!$B$77=malumot!$D$77,'График аннуитет.'!F31))</f>
        <v>1198767.2</v>
      </c>
    </row>
    <row r="33" spans="1:6">
      <c r="A33" s="18">
        <f t="shared" si="0"/>
        <v>25</v>
      </c>
      <c r="B33" s="33">
        <f>IF('График аннуитет.'!B32=FALSE,"",'График аннуитет.'!B32)</f>
        <v>46482</v>
      </c>
      <c r="C33" s="34">
        <f>IF(malumot!$B$77=malumot!$C$77,'График дифференц'!C32,IF(malumot!$B$77=malumot!$D$77,'График аннуитет.'!C32))</f>
        <v>9000000</v>
      </c>
      <c r="D33" s="34">
        <f>IF(malumot!$B$77=malumot!$C$77,'График дифференц'!D32,IF(malumot!$B$77=malumot!$D$77,'График аннуитет.'!D32))</f>
        <v>750000</v>
      </c>
      <c r="E33" s="34">
        <f>IF(malumot!$B$77=malumot!$C$77,'График дифференц'!E32,IF(malumot!$B$77=malumot!$D$77,'График аннуитет.'!E32))</f>
        <v>458630.12</v>
      </c>
      <c r="F33" s="34">
        <f>IF(malumot!$B$77=malumot!$C$77,'График дифференц'!F32,IF(malumot!$B$77=malumot!$D$77,'График аннуитет.'!F32))</f>
        <v>1208630.1200000001</v>
      </c>
    </row>
    <row r="34" spans="1:6">
      <c r="A34" s="18">
        <f t="shared" si="0"/>
        <v>26</v>
      </c>
      <c r="B34" s="33">
        <f>IF('График аннуитет.'!B33=FALSE,"",'График аннуитет.'!B33)</f>
        <v>46512</v>
      </c>
      <c r="C34" s="34">
        <f>IF(malumot!$B$77=malumot!$C$77,'График дифференц'!C33,IF(malumot!$B$77=malumot!$D$77,'График аннуитет.'!C33))</f>
        <v>8250000</v>
      </c>
      <c r="D34" s="34">
        <f>IF(malumot!$B$77=malumot!$C$77,'График дифференц'!D33,IF(malumot!$B$77=malumot!$D$77,'График аннуитет.'!D33))</f>
        <v>750000</v>
      </c>
      <c r="E34" s="34">
        <f>IF(malumot!$B$77=malumot!$C$77,'График дифференц'!E33,IF(malumot!$B$77=malumot!$D$77,'График аннуитет.'!E33))</f>
        <v>406849.19999999995</v>
      </c>
      <c r="F34" s="34">
        <f>IF(malumot!$B$77=malumot!$C$77,'График дифференц'!F33,IF(malumot!$B$77=malumot!$D$77,'График аннуитет.'!F33))</f>
        <v>1156849.2</v>
      </c>
    </row>
    <row r="35" spans="1:6">
      <c r="A35" s="18">
        <f t="shared" si="0"/>
        <v>27</v>
      </c>
      <c r="B35" s="33">
        <f>IF('График аннуитет.'!B34=FALSE,"",'График аннуитет.'!B34)</f>
        <v>46545</v>
      </c>
      <c r="C35" s="34">
        <f>IF(malumot!$B$77=malumot!$C$77,'График дифференц'!C34,IF(malumot!$B$77=malumot!$D$77,'График аннуитет.'!C34))</f>
        <v>7500000</v>
      </c>
      <c r="D35" s="34">
        <f>IF(malumot!$B$77=malumot!$C$77,'График дифференц'!D34,IF(malumot!$B$77=malumot!$D$77,'График аннуитет.'!D34))</f>
        <v>750000</v>
      </c>
      <c r="E35" s="34">
        <f>IF(malumot!$B$77=malumot!$C$77,'График дифференц'!E34,IF(malumot!$B$77=malumot!$D$77,'График аннуитет.'!E34))</f>
        <v>406849.41000000003</v>
      </c>
      <c r="F35" s="34">
        <f>IF(malumot!$B$77=malumot!$C$77,'График дифференц'!F34,IF(malumot!$B$77=malumot!$D$77,'График аннуитет.'!F34))</f>
        <v>1156849.4100000001</v>
      </c>
    </row>
    <row r="36" spans="1:6">
      <c r="A36" s="18">
        <f t="shared" si="0"/>
        <v>28</v>
      </c>
      <c r="B36" s="33">
        <f>IF('График аннуитет.'!B35=FALSE,"",'График аннуитет.'!B35)</f>
        <v>46573</v>
      </c>
      <c r="C36" s="34">
        <f>IF(malumot!$B$77=malumot!$C$77,'График дифференц'!C35,IF(malumot!$B$77=malumot!$D$77,'График аннуитет.'!C35))</f>
        <v>6750000</v>
      </c>
      <c r="D36" s="34">
        <f>IF(malumot!$B$77=malumot!$C$77,'График дифференц'!D35,IF(malumot!$B$77=malumot!$D$77,'График аннуитет.'!D35))</f>
        <v>750000</v>
      </c>
      <c r="E36" s="34">
        <f>IF(malumot!$B$77=malumot!$C$77,'График дифференц'!E35,IF(malumot!$B$77=malumot!$D$77,'График аннуитет.'!E35))</f>
        <v>310684.92</v>
      </c>
      <c r="F36" s="34">
        <f>IF(malumot!$B$77=malumot!$C$77,'График дифференц'!F35,IF(malumot!$B$77=malumot!$D$77,'График аннуитет.'!F35))</f>
        <v>1060684.92</v>
      </c>
    </row>
    <row r="37" spans="1:6">
      <c r="A37" s="18">
        <f t="shared" si="0"/>
        <v>29</v>
      </c>
      <c r="B37" s="33">
        <f>IF('График аннуитет.'!B36=FALSE,"",'График аннуитет.'!B36)</f>
        <v>46604</v>
      </c>
      <c r="C37" s="34">
        <f>IF(malumot!$B$77=malumot!$C$77,'График дифференц'!C36,IF(malumot!$B$77=malumot!$D$77,'График аннуитет.'!C36))</f>
        <v>6000000</v>
      </c>
      <c r="D37" s="34">
        <f>IF(malumot!$B$77=malumot!$C$77,'График дифференц'!D36,IF(malumot!$B$77=malumot!$D$77,'График аннуитет.'!D36))</f>
        <v>750000</v>
      </c>
      <c r="E37" s="34">
        <f>IF(malumot!$B$77=malumot!$C$77,'График дифференц'!E36,IF(malumot!$B$77=malumot!$D$77,'График аннуитет.'!E36))</f>
        <v>305753.31</v>
      </c>
      <c r="F37" s="34">
        <f>IF(malumot!$B$77=malumot!$C$77,'График дифференц'!F36,IF(malumot!$B$77=malumot!$D$77,'График аннуитет.'!F36))</f>
        <v>1055753.31</v>
      </c>
    </row>
    <row r="38" spans="1:6">
      <c r="A38" s="18">
        <f t="shared" si="0"/>
        <v>30</v>
      </c>
      <c r="B38" s="33">
        <f>IF('График аннуитет.'!B37=FALSE,"",'График аннуитет.'!B37)</f>
        <v>46636</v>
      </c>
      <c r="C38" s="34">
        <f>IF(malumot!$B$77=malumot!$C$77,'График дифференц'!C37,IF(malumot!$B$77=malumot!$D$77,'График аннуитет.'!C37))</f>
        <v>5250000</v>
      </c>
      <c r="D38" s="34">
        <f>IF(malumot!$B$77=malumot!$C$77,'График дифференц'!D37,IF(malumot!$B$77=malumot!$D$77,'График аннуитет.'!D37))</f>
        <v>750000</v>
      </c>
      <c r="E38" s="34">
        <f>IF(malumot!$B$77=malumot!$C$77,'График дифференц'!E37,IF(malumot!$B$77=malumot!$D$77,'График аннуитет.'!E37))</f>
        <v>276164.47999999998</v>
      </c>
      <c r="F38" s="34">
        <f>IF(malumot!$B$77=malumot!$C$77,'График дифференц'!F37,IF(malumot!$B$77=malumot!$D$77,'График аннуитет.'!F37))</f>
        <v>1026164.48</v>
      </c>
    </row>
    <row r="39" spans="1:6">
      <c r="A39" s="18">
        <f t="shared" si="0"/>
        <v>31</v>
      </c>
      <c r="B39" s="33">
        <f>IF('График аннуитет.'!B38=FALSE,"",'График аннуитет.'!B38)</f>
        <v>46665</v>
      </c>
      <c r="C39" s="34">
        <f>IF(malumot!$B$77=malumot!$C$77,'График дифференц'!C38,IF(malumot!$B$77=malumot!$D$77,'График аннуитет.'!C38))</f>
        <v>4500000</v>
      </c>
      <c r="D39" s="34">
        <f>IF(malumot!$B$77=malumot!$C$77,'График дифференц'!D38,IF(malumot!$B$77=malumot!$D$77,'График аннуитет.'!D38))</f>
        <v>750000</v>
      </c>
      <c r="E39" s="34">
        <f>IF(malumot!$B$77=malumot!$C$77,'График дифференц'!E38,IF(malumot!$B$77=malumot!$D$77,'График аннуитет.'!E38))</f>
        <v>214520.54</v>
      </c>
      <c r="F39" s="34">
        <f>IF(malumot!$B$77=malumot!$C$77,'График дифференц'!F38,IF(malumot!$B$77=malumot!$D$77,'График аннуитет.'!F38))</f>
        <v>964520.54</v>
      </c>
    </row>
    <row r="40" spans="1:6">
      <c r="A40" s="18">
        <f t="shared" si="0"/>
        <v>32</v>
      </c>
      <c r="B40" s="33">
        <f>IF('График аннуитет.'!B39=FALSE,"",'График аннуитет.'!B39)</f>
        <v>46696</v>
      </c>
      <c r="C40" s="34">
        <f>IF(malumot!$B$77=malumot!$C$77,'График дифференц'!C39,IF(malumot!$B$77=malumot!$D$77,'График аннуитет.'!C39))</f>
        <v>3750000</v>
      </c>
      <c r="D40" s="34">
        <f>IF(malumot!$B$77=malumot!$C$77,'График дифференц'!D39,IF(malumot!$B$77=malumot!$D$77,'График аннуитет.'!D39))</f>
        <v>750000</v>
      </c>
      <c r="E40" s="34">
        <f>IF(malumot!$B$77=malumot!$C$77,'График дифференц'!E39,IF(malumot!$B$77=malumot!$D$77,'График аннуитет.'!E39))</f>
        <v>191095.78</v>
      </c>
      <c r="F40" s="34">
        <f>IF(malumot!$B$77=malumot!$C$77,'График дифференц'!F39,IF(malumot!$B$77=malumot!$D$77,'График аннуитет.'!F39))</f>
        <v>941095.78</v>
      </c>
    </row>
    <row r="41" spans="1:6">
      <c r="A41" s="18">
        <f t="shared" si="0"/>
        <v>33</v>
      </c>
      <c r="B41" s="33">
        <f>IF('График аннуитет.'!B40=FALSE,"",'График аннуитет.'!B40)</f>
        <v>46727</v>
      </c>
      <c r="C41" s="34">
        <f>IF(malumot!$B$77=malumot!$C$77,'График дифференц'!C40,IF(malumot!$B$77=malumot!$D$77,'График аннуитет.'!C40))</f>
        <v>3000000</v>
      </c>
      <c r="D41" s="34">
        <f>IF(malumot!$B$77=malumot!$C$77,'График дифференц'!D40,IF(malumot!$B$77=malumot!$D$77,'График аннуитет.'!D40))</f>
        <v>750000</v>
      </c>
      <c r="E41" s="34">
        <f>IF(malumot!$B$77=malumot!$C$77,'График дифференц'!E40,IF(malumot!$B$77=malumot!$D$77,'График аннуитет.'!E40))</f>
        <v>152876.81</v>
      </c>
      <c r="F41" s="34">
        <f>IF(malumot!$B$77=malumot!$C$77,'График дифференц'!F40,IF(malumot!$B$77=malumot!$D$77,'График аннуитет.'!F40))</f>
        <v>902876.81</v>
      </c>
    </row>
    <row r="42" spans="1:6">
      <c r="A42" s="18">
        <f t="shared" si="0"/>
        <v>34</v>
      </c>
      <c r="B42" s="33">
        <f>IF('График аннуитет.'!B41=FALSE,"",'График аннуитет.'!B41)</f>
        <v>46757</v>
      </c>
      <c r="C42" s="34">
        <f>IF(malumot!$B$77=malumot!$C$77,'График дифференц'!C41,IF(malumot!$B$77=malumot!$D$77,'График аннуитет.'!C41))</f>
        <v>2250000</v>
      </c>
      <c r="D42" s="34">
        <f>IF(malumot!$B$77=malumot!$C$77,'График дифференц'!D41,IF(malumot!$B$77=malumot!$D$77,'График аннуитет.'!D41))</f>
        <v>750000</v>
      </c>
      <c r="E42" s="34">
        <f>IF(malumot!$B$77=malumot!$C$77,'График дифференц'!E41,IF(malumot!$B$77=malumot!$D$77,'График аннуитет.'!E41))</f>
        <v>110655.6</v>
      </c>
      <c r="F42" s="34">
        <f>IF(malumot!$B$77=malumot!$C$77,'График дифференц'!F41,IF(malumot!$B$77=malumot!$D$77,'График аннуитет.'!F41))</f>
        <v>860655.6</v>
      </c>
    </row>
    <row r="43" spans="1:6" ht="13.5" customHeight="1">
      <c r="A43" s="18">
        <f t="shared" si="0"/>
        <v>35</v>
      </c>
      <c r="B43" s="33">
        <f>IF('График аннуитет.'!B42=FALSE,"",'График аннуитет.'!B42)</f>
        <v>46790</v>
      </c>
      <c r="C43" s="34">
        <f>IF(malumot!$B$77=malumot!$C$77,'График дифференц'!C42,IF(malumot!$B$77=malumot!$D$77,'График аннуитет.'!C42))</f>
        <v>1500000</v>
      </c>
      <c r="D43" s="34">
        <f>IF(malumot!$B$77=malumot!$C$77,'График дифференц'!D42,IF(malumot!$B$77=malumot!$D$77,'График аннуитет.'!D42))</f>
        <v>750000</v>
      </c>
      <c r="E43" s="34">
        <f>IF(malumot!$B$77=malumot!$C$77,'График дифференц'!E42,IF(malumot!$B$77=malumot!$D$77,'График аннуитет.'!E42))</f>
        <v>81147.66</v>
      </c>
      <c r="F43" s="34">
        <f>IF(malumot!$B$77=malumot!$C$77,'График дифференц'!F42,IF(malumot!$B$77=malumot!$D$77,'График аннуитет.'!F42))</f>
        <v>831147.66</v>
      </c>
    </row>
    <row r="44" spans="1:6" ht="15.75" customHeight="1">
      <c r="A44" s="18">
        <f>1+A43</f>
        <v>36</v>
      </c>
      <c r="B44" s="33">
        <f>IF('График аннуитет.'!B43=FALSE,"",'График аннуитет.'!B43)</f>
        <v>46823</v>
      </c>
      <c r="C44" s="34">
        <f>IF(malumot!$B$77=malumot!$C$77,'График дифференц'!C43,IF(malumot!$B$77=malumot!$D$77,'График аннуитет.'!C43))</f>
        <v>750000</v>
      </c>
      <c r="D44" s="34">
        <f>IF(malumot!$B$77=malumot!$C$77,'График дифференц'!D43,IF(malumot!$B$77=malumot!$D$77,'График аннуитет.'!D43))</f>
        <v>750000</v>
      </c>
      <c r="E44" s="34">
        <f>IF(malumot!$B$77=malumot!$C$77,'График дифференц'!E43,IF(malumot!$B$77=malumot!$D$77,'График аннуитет.'!E43))</f>
        <v>40573.83</v>
      </c>
      <c r="F44" s="34">
        <f>IF(malumot!$B$77=malumot!$C$77,'График дифференц'!F43,IF(malumot!$B$77=malumot!$D$77,'График аннуитет.'!F43))</f>
        <v>790573.83</v>
      </c>
    </row>
    <row r="45" spans="1:6" ht="15" customHeight="1">
      <c r="A45" s="46"/>
      <c r="B45" s="47" t="s">
        <v>209</v>
      </c>
      <c r="C45" s="48"/>
      <c r="D45" s="48">
        <f>SUM(D9:D44)</f>
        <v>27000000</v>
      </c>
      <c r="E45" s="48">
        <f t="shared" ref="E45:F45" si="1">SUM(E9:E44)</f>
        <v>24783883.060000002</v>
      </c>
      <c r="F45" s="48">
        <f t="shared" si="1"/>
        <v>51783883.06000001</v>
      </c>
    </row>
    <row r="46" spans="1:6" ht="14.25" customHeight="1">
      <c r="B46" s="35"/>
      <c r="C46" s="36"/>
      <c r="D46" s="36"/>
      <c r="E46" s="36"/>
      <c r="F46" s="36"/>
    </row>
    <row r="47" spans="1:6" ht="47.25" customHeight="1">
      <c r="A47" s="288" t="str">
        <f>"*"&amp;malumot!C64&amp;" bo‘yicha to‘lovlar to‘lov jadvalida ko‘rsatilmagan sanalarda to‘langan taqdirda, to‘lov summasi mikroqarz shartnomasining 2.2.-bandiga muvofiq "&amp;malumot!B65&amp;" qoldig‘iga hisoblangan foizlar summasiga o‘zgartiriladi."</f>
        <v>*Mikroqarz bo‘yicha to‘lovlar to‘lov jadvalida ko‘rsatilmagan sanalarda to‘langan taqdirda, to‘lov summasi mikroqarz shartnomasining 2.2.-bandiga muvofiq mikroqarz qoldig‘iga hisoblangan foizlar summasiga o‘zgartiriladi.</v>
      </c>
      <c r="B47" s="288"/>
      <c r="C47" s="288"/>
      <c r="D47" s="288"/>
      <c r="E47" s="288"/>
      <c r="F47" s="288"/>
    </row>
    <row r="48" spans="1:6" ht="7.5" customHeight="1"/>
    <row r="49" spans="1:6" ht="15" customHeight="1">
      <c r="A49" s="317" t="s">
        <v>271</v>
      </c>
      <c r="B49" s="317"/>
      <c r="C49" s="317"/>
      <c r="D49" s="317" t="s">
        <v>278</v>
      </c>
      <c r="E49" s="317"/>
      <c r="F49" s="317"/>
    </row>
    <row r="50" spans="1:6" ht="11.25" customHeight="1">
      <c r="A50" s="318"/>
      <c r="B50" s="318"/>
      <c r="C50" s="318"/>
      <c r="D50" s="318"/>
      <c r="E50" s="318"/>
      <c r="F50" s="318"/>
    </row>
    <row r="51" spans="1:6" ht="30" customHeight="1">
      <c r="A51" s="287" t="str">
        <f>shartnoma!A117</f>
        <v>«CLEVER MIKROMOLIYA TASHKILOTI» MChJ</v>
      </c>
      <c r="B51" s="287"/>
      <c r="C51" s="287"/>
      <c r="D51" s="287" t="str">
        <f>shartnoma!B117</f>
        <v>NUTFULLAYEV AKBARJON AXMEDOVICH</v>
      </c>
      <c r="E51" s="287"/>
      <c r="F51" s="287"/>
    </row>
    <row r="52" spans="1:6" ht="39" customHeight="1">
      <c r="A52" s="316" t="str">
        <f>shartnoma!A119</f>
        <v>Manzil: Toshkent shahri, Olmazor tumani, Sagbon ko'chasi, 30 boshi berk, 6-uy</v>
      </c>
      <c r="B52" s="316"/>
      <c r="C52" s="316"/>
      <c r="D52" s="316" t="str">
        <f>shartnoma!B119</f>
        <v>Manzil: BUXORO VILOYATI BUXORO SHAHAR TADBIRKOR KO'CHASI 12-UY</v>
      </c>
      <c r="E52" s="316"/>
      <c r="F52" s="316"/>
    </row>
    <row r="53" spans="1:6" ht="15" customHeight="1">
      <c r="A53" s="316" t="str">
        <f>shartnoma!A120</f>
        <v>h/r: №20216000705068380001</v>
      </c>
      <c r="B53" s="316"/>
      <c r="C53" s="316"/>
      <c r="D53" s="316" t="str">
        <f>shartnoma!B121</f>
        <v>Pasport: AA 9481167, BUXORO VILOYATI BUXORO SHAHAR IIB tomonidan 24.04.2015 yilda berilgan</v>
      </c>
      <c r="E53" s="316"/>
      <c r="F53" s="316"/>
    </row>
    <row r="54" spans="1:6" ht="32.25" customHeight="1">
      <c r="A54" s="316" t="str">
        <f>shartnoma!A121</f>
        <v>MFO: №01042 в ATB “Kapitalbank” Sergeli filiali</v>
      </c>
      <c r="B54" s="316"/>
      <c r="C54" s="316"/>
      <c r="D54" s="316"/>
      <c r="E54" s="316"/>
      <c r="F54" s="316"/>
    </row>
    <row r="55" spans="1:6" ht="15" customHeight="1">
      <c r="A55" s="316" t="str">
        <f>shartnoma!A122</f>
        <v>STIR: 306365847</v>
      </c>
      <c r="B55" s="316"/>
      <c r="C55" s="316"/>
      <c r="D55" s="316" t="str">
        <f>shartnoma!B122</f>
        <v>Tel: 91 408 76 67  UZI</v>
      </c>
      <c r="E55" s="316"/>
      <c r="F55" s="316"/>
    </row>
    <row r="56" spans="1:6" ht="15" customHeight="1">
      <c r="A56" s="316" t="str">
        <f>shartnoma!A123</f>
        <v>Tel: (78) 113 31 33</v>
      </c>
      <c r="B56" s="316"/>
      <c r="C56" s="316"/>
      <c r="D56" s="316" t="str">
        <f>shartnoma!B123</f>
        <v>88 305 76 67 AYOLI</v>
      </c>
      <c r="E56" s="316"/>
      <c r="F56" s="316"/>
    </row>
    <row r="57" spans="1:6" ht="15" customHeight="1">
      <c r="A57" s="316" t="str">
        <f>shartnoma!A124</f>
        <v>(78) 113 31 34</v>
      </c>
      <c r="B57" s="316"/>
      <c r="C57" s="316"/>
      <c r="D57" s="316" t="str">
        <f>shartnoma!B124</f>
        <v>88 870 76 67 AKASI</v>
      </c>
      <c r="E57" s="316"/>
      <c r="F57" s="316"/>
    </row>
    <row r="58" spans="1:6" ht="23.25" customHeight="1">
      <c r="A58" s="316"/>
      <c r="B58" s="316"/>
      <c r="C58" s="316"/>
      <c r="D58" s="316" t="str">
        <f>IF(shartnoma!B125=0,"",shartnoma!B125)</f>
        <v/>
      </c>
      <c r="E58" s="316"/>
      <c r="F58" s="316"/>
    </row>
    <row r="59" spans="1:6" ht="29.25" customHeight="1">
      <c r="A59" s="267"/>
      <c r="B59" s="332" t="str">
        <f>malumot!A156</f>
        <v>Olmaliq filiali boshlig'i</v>
      </c>
      <c r="C59" s="332"/>
      <c r="D59" s="287" t="str">
        <f>shartnoma!B127</f>
        <v>A.A.NUTFULLAYEV     __________________</v>
      </c>
      <c r="E59" s="287"/>
      <c r="F59" s="287"/>
    </row>
    <row r="60" spans="1:6" ht="15" customHeight="1">
      <c r="A60" s="267"/>
      <c r="B60" s="332" t="str">
        <f>malumot!B156</f>
        <v>V. Yerjanov</v>
      </c>
      <c r="C60" s="332"/>
      <c r="D60" s="287"/>
      <c r="E60" s="287"/>
      <c r="F60" s="287"/>
    </row>
    <row r="61" spans="1:6" ht="15.75">
      <c r="A61" s="266"/>
      <c r="B61" s="266"/>
      <c r="C61" s="266"/>
      <c r="D61" s="287"/>
      <c r="E61" s="287"/>
      <c r="F61" s="287"/>
    </row>
    <row r="62" spans="1:6">
      <c r="A62" s="316"/>
      <c r="B62" s="316"/>
      <c r="C62" s="316"/>
      <c r="D62" s="316"/>
      <c r="E62" s="316"/>
      <c r="F62" s="316"/>
    </row>
    <row r="63" spans="1:6">
      <c r="A63" s="320"/>
      <c r="B63" s="320"/>
      <c r="C63" s="320"/>
      <c r="D63" s="321"/>
      <c r="E63" s="321"/>
      <c r="F63" s="321"/>
    </row>
    <row r="64" spans="1:6">
      <c r="A64" s="322"/>
      <c r="B64" s="322"/>
      <c r="C64" s="322"/>
      <c r="D64" s="322"/>
      <c r="E64" s="322"/>
      <c r="F64" s="322"/>
    </row>
    <row r="65" spans="1:6">
      <c r="A65" s="319"/>
      <c r="B65" s="319"/>
      <c r="C65" s="319"/>
      <c r="D65" s="319"/>
      <c r="E65" s="319"/>
      <c r="F65" s="319"/>
    </row>
  </sheetData>
  <mergeCells count="41">
    <mergeCell ref="B59:C59"/>
    <mergeCell ref="B60:C60"/>
    <mergeCell ref="H12:P24"/>
    <mergeCell ref="A65:C65"/>
    <mergeCell ref="D65:F65"/>
    <mergeCell ref="A62:C62"/>
    <mergeCell ref="D62:F62"/>
    <mergeCell ref="A63:C63"/>
    <mergeCell ref="D63:F63"/>
    <mergeCell ref="A64:C64"/>
    <mergeCell ref="D64:F64"/>
    <mergeCell ref="D59:F59"/>
    <mergeCell ref="D60:F60"/>
    <mergeCell ref="D61:F61"/>
    <mergeCell ref="A56:C56"/>
    <mergeCell ref="D56:F56"/>
    <mergeCell ref="A57:C57"/>
    <mergeCell ref="D57:F57"/>
    <mergeCell ref="A58:C58"/>
    <mergeCell ref="D58:F58"/>
    <mergeCell ref="A55:C55"/>
    <mergeCell ref="D55:F55"/>
    <mergeCell ref="A47:F47"/>
    <mergeCell ref="A49:C49"/>
    <mergeCell ref="D49:F49"/>
    <mergeCell ref="A50:C50"/>
    <mergeCell ref="D50:F50"/>
    <mergeCell ref="A51:C51"/>
    <mergeCell ref="D51:F51"/>
    <mergeCell ref="A52:C52"/>
    <mergeCell ref="D52:F52"/>
    <mergeCell ref="A53:C53"/>
    <mergeCell ref="D53:F54"/>
    <mergeCell ref="A54:C54"/>
    <mergeCell ref="E2:F2"/>
    <mergeCell ref="A5:F5"/>
    <mergeCell ref="A7:A8"/>
    <mergeCell ref="B7:B8"/>
    <mergeCell ref="C7:C8"/>
    <mergeCell ref="D7:F7"/>
    <mergeCell ref="E3:F3"/>
  </mergeCells>
  <conditionalFormatting sqref="B9:B44">
    <cfRule type="cellIs" dxfId="1" priority="2" operator="lessThan">
      <formula>22105</formula>
    </cfRule>
  </conditionalFormatting>
  <conditionalFormatting sqref="C9:F44">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71"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8F31A-BF63-4538-AF8C-AA4C4EADFD20}">
  <sheetPr>
    <tabColor rgb="FF00B050"/>
  </sheetPr>
  <dimension ref="A1:D54"/>
  <sheetViews>
    <sheetView view="pageBreakPreview" zoomScaleSheetLayoutView="100" workbookViewId="0">
      <selection activeCell="B10" sqref="B10:C14"/>
    </sheetView>
  </sheetViews>
  <sheetFormatPr defaultColWidth="9.140625" defaultRowHeight="15.75"/>
  <cols>
    <col min="1" max="1" width="20.140625" style="6" customWidth="1"/>
    <col min="2" max="2" width="18.7109375" style="6" customWidth="1"/>
    <col min="3" max="3" width="18.42578125" style="6" customWidth="1"/>
    <col min="4" max="4" width="28.7109375" style="6" customWidth="1"/>
    <col min="5" max="16384" width="9.140625" style="6"/>
  </cols>
  <sheetData>
    <row r="1" spans="1:4" ht="36.75" customHeight="1">
      <c r="C1" s="336" t="str">
        <f>malumot!B153&amp;" Ijrochi direktori"</f>
        <v>«CLEVER MIKROMOLIYA TASHKILOTI» MChJ Ijrochi direktori</v>
      </c>
      <c r="D1" s="336"/>
    </row>
    <row r="2" spans="1:4">
      <c r="C2" s="337" t="s">
        <v>428</v>
      </c>
      <c r="D2" s="337"/>
    </row>
    <row r="3" spans="1:4">
      <c r="C3" s="13"/>
      <c r="D3" s="14"/>
    </row>
    <row r="4" spans="1:4" ht="43.5" customHeight="1">
      <c r="C4" s="335" t="str">
        <f>malumot!B22&amp;" manzilida istiqomat qiluvchi"</f>
        <v>BUXORO VILOYATI BUXORO SHAHAR TADBIRKOR KO'CHASI 12-UY manzilida istiqomat qiluvchi</v>
      </c>
      <c r="D4" s="335"/>
    </row>
    <row r="5" spans="1:4" ht="36" customHeight="1">
      <c r="C5" s="335" t="str">
        <f>malumot!B5&amp;" tomonidan"</f>
        <v>NUTFULLAYEV AKBARJON AXMEDOVICH tomonidan</v>
      </c>
      <c r="D5" s="335"/>
    </row>
    <row r="6" spans="1:4" ht="51" customHeight="1">
      <c r="C6" s="274" t="str">
        <f>"Pasport: "&amp;malumot!B16&amp;", "&amp;malumot!B20</f>
        <v>Pasport: AA 9481167, BUXORO VILOYATI BUXORO SHAHAR IIB tomonidan 24.04.2015 yilda berilgan</v>
      </c>
      <c r="D6" s="274"/>
    </row>
    <row r="7" spans="1:4">
      <c r="C7" s="13"/>
      <c r="D7" s="14"/>
    </row>
    <row r="8" spans="1:4">
      <c r="A8" s="275" t="s">
        <v>429</v>
      </c>
      <c r="B8" s="275"/>
      <c r="C8" s="275"/>
      <c r="D8" s="275"/>
    </row>
    <row r="9" spans="1:4" ht="67.5" customHeight="1">
      <c r="A9" s="339" t="str">
        <f>"       Men, " &amp; malumot!B5 &amp; " sizdan " &amp; malumot!B2 &amp; " yildagi " &amp; malumot!B1 &amp; "-sonli kredit shartnomasiga asosan " &amp; malumot!B75  &amp; "(" &amp; malumot!B76 &amp; ")"  &amp; "so'm pul mablag'larini quyidagi rekvizitlar asosida o'tkazib berishingizni so'rayman: "</f>
        <v xml:space="preserve">       Men, NUTFULLAYEV AKBARJON AXMEDOVICH sizdan 11.03.2025 yildagi № 23-AL-sonli kredit shartnomasiga asosan 27000000(yigirma yetti million so'm)so'm pul mablag'larini quyidagi rekvizitlar asosida o'tkazib berishingizni so'rayman: </v>
      </c>
      <c r="B9" s="339"/>
      <c r="C9" s="339"/>
      <c r="D9" s="339"/>
    </row>
    <row r="10" spans="1:4">
      <c r="A10" s="250" t="str">
        <f>malumot!A92</f>
        <v>Bank nomi:</v>
      </c>
      <c r="B10" s="338" t="str">
        <f>malumot!B92</f>
        <v>«Asaka bank» AJ</v>
      </c>
      <c r="C10" s="338"/>
      <c r="D10" s="251"/>
    </row>
    <row r="11" spans="1:4">
      <c r="A11" s="250" t="str">
        <f>malumot!A93</f>
        <v>H/r:</v>
      </c>
      <c r="B11" s="338" t="str">
        <f>malumot!B93</f>
        <v xml:space="preserve">2312 0000 7000 1200 0000 </v>
      </c>
      <c r="C11" s="338"/>
      <c r="D11" s="251"/>
    </row>
    <row r="12" spans="1:4">
      <c r="A12" s="250" t="str">
        <f>malumot!A94</f>
        <v>MFO:</v>
      </c>
      <c r="B12" s="338" t="str">
        <f>malumot!B94</f>
        <v xml:space="preserve">00873 </v>
      </c>
      <c r="C12" s="338"/>
      <c r="D12" s="163"/>
    </row>
    <row r="13" spans="1:4">
      <c r="A13" s="250" t="str">
        <f>malumot!A95</f>
        <v>STIR:</v>
      </c>
      <c r="B13" s="338" t="str">
        <f>malumot!B95</f>
        <v>201589828</v>
      </c>
      <c r="C13" s="338"/>
      <c r="D13" s="163"/>
    </row>
    <row r="14" spans="1:4">
      <c r="A14" s="250" t="str">
        <f>malumot!A96</f>
        <v>Karta raqami:</v>
      </c>
      <c r="B14" s="338" t="str">
        <f>malumot!B96</f>
        <v>8600 1309 0209 3006</v>
      </c>
      <c r="C14" s="338"/>
      <c r="D14" s="163"/>
    </row>
    <row r="15" spans="1:4">
      <c r="A15" s="334"/>
      <c r="B15" s="334"/>
      <c r="C15" s="334"/>
      <c r="D15" s="334"/>
    </row>
    <row r="16" spans="1:4" ht="15.75" customHeight="1">
      <c r="A16" s="335" t="str">
        <f>malumot!B5</f>
        <v>NUTFULLAYEV AKBARJON AXMEDOVICH</v>
      </c>
      <c r="B16" s="335"/>
      <c r="C16" s="335"/>
      <c r="D16" s="252" t="s">
        <v>443</v>
      </c>
    </row>
    <row r="17" spans="1:4">
      <c r="A17" s="253"/>
      <c r="B17" s="253"/>
      <c r="D17" s="254" t="s">
        <v>330</v>
      </c>
    </row>
    <row r="18" spans="1:4">
      <c r="A18" s="334"/>
      <c r="B18" s="334"/>
      <c r="C18" s="334"/>
      <c r="D18" s="334"/>
    </row>
    <row r="19" spans="1:4">
      <c r="A19" s="334"/>
      <c r="B19" s="334"/>
      <c r="C19" s="334"/>
      <c r="D19" s="334"/>
    </row>
    <row r="20" spans="1:4">
      <c r="A20" s="334"/>
      <c r="B20" s="334"/>
      <c r="C20" s="334"/>
      <c r="D20" s="334"/>
    </row>
    <row r="21" spans="1:4">
      <c r="A21" s="334"/>
      <c r="B21" s="334"/>
      <c r="C21" s="334"/>
      <c r="D21" s="334"/>
    </row>
    <row r="22" spans="1:4">
      <c r="A22" s="334"/>
      <c r="B22" s="334"/>
      <c r="C22" s="334"/>
      <c r="D22" s="334"/>
    </row>
    <row r="23" spans="1:4">
      <c r="A23" s="334"/>
      <c r="B23" s="334"/>
      <c r="C23" s="334"/>
      <c r="D23" s="334"/>
    </row>
    <row r="24" spans="1:4">
      <c r="A24" s="334"/>
      <c r="B24" s="334"/>
      <c r="C24" s="334"/>
      <c r="D24" s="334"/>
    </row>
    <row r="25" spans="1:4">
      <c r="A25" s="334"/>
      <c r="B25" s="334"/>
      <c r="C25" s="334"/>
      <c r="D25" s="334"/>
    </row>
    <row r="26" spans="1:4">
      <c r="A26" s="334"/>
      <c r="B26" s="334"/>
      <c r="C26" s="334"/>
      <c r="D26" s="334"/>
    </row>
    <row r="27" spans="1:4">
      <c r="A27" s="334"/>
      <c r="B27" s="334"/>
      <c r="C27" s="334"/>
      <c r="D27" s="334"/>
    </row>
    <row r="28" spans="1:4">
      <c r="A28" s="334"/>
      <c r="B28" s="334"/>
      <c r="C28" s="334"/>
      <c r="D28" s="334"/>
    </row>
    <row r="29" spans="1:4">
      <c r="A29" s="334"/>
      <c r="B29" s="334"/>
      <c r="C29" s="334"/>
      <c r="D29" s="334"/>
    </row>
    <row r="30" spans="1:4">
      <c r="A30" s="334"/>
      <c r="B30" s="334"/>
      <c r="C30" s="334"/>
      <c r="D30" s="334"/>
    </row>
    <row r="31" spans="1:4">
      <c r="A31" s="334"/>
      <c r="B31" s="334"/>
      <c r="C31" s="334"/>
      <c r="D31" s="334"/>
    </row>
    <row r="32" spans="1:4">
      <c r="A32" s="334"/>
      <c r="B32" s="334"/>
      <c r="C32" s="334"/>
      <c r="D32" s="334"/>
    </row>
    <row r="33" spans="1:4">
      <c r="A33" s="334"/>
      <c r="B33" s="334"/>
      <c r="C33" s="334"/>
      <c r="D33" s="334"/>
    </row>
    <row r="34" spans="1:4">
      <c r="A34" s="334"/>
      <c r="B34" s="334"/>
      <c r="C34" s="334"/>
      <c r="D34" s="334"/>
    </row>
    <row r="35" spans="1:4">
      <c r="A35" s="334"/>
      <c r="B35" s="334"/>
      <c r="C35" s="334"/>
      <c r="D35" s="334"/>
    </row>
    <row r="36" spans="1:4">
      <c r="A36" s="334"/>
      <c r="B36" s="334"/>
      <c r="C36" s="334"/>
      <c r="D36" s="334"/>
    </row>
    <row r="37" spans="1:4">
      <c r="A37" s="334"/>
      <c r="B37" s="334"/>
      <c r="C37" s="334"/>
      <c r="D37" s="334"/>
    </row>
    <row r="38" spans="1:4">
      <c r="A38" s="334"/>
      <c r="B38" s="334"/>
      <c r="C38" s="334"/>
      <c r="D38" s="334"/>
    </row>
    <row r="39" spans="1:4">
      <c r="A39" s="334"/>
      <c r="B39" s="334"/>
      <c r="C39" s="334"/>
      <c r="D39" s="334"/>
    </row>
    <row r="40" spans="1:4">
      <c r="A40" s="334"/>
      <c r="B40" s="334"/>
      <c r="C40" s="334"/>
      <c r="D40" s="334"/>
    </row>
    <row r="41" spans="1:4">
      <c r="A41" s="334"/>
      <c r="B41" s="334"/>
      <c r="C41" s="334"/>
      <c r="D41" s="334"/>
    </row>
    <row r="42" spans="1:4">
      <c r="A42" s="334"/>
      <c r="B42" s="334"/>
      <c r="C42" s="334"/>
      <c r="D42" s="334"/>
    </row>
    <row r="43" spans="1:4">
      <c r="A43" s="334"/>
      <c r="B43" s="334"/>
      <c r="C43" s="334"/>
      <c r="D43" s="334"/>
    </row>
    <row r="44" spans="1:4">
      <c r="A44" s="334"/>
      <c r="B44" s="334"/>
      <c r="C44" s="334"/>
      <c r="D44" s="334"/>
    </row>
    <row r="45" spans="1:4">
      <c r="A45" s="334"/>
      <c r="B45" s="334"/>
      <c r="C45" s="334"/>
      <c r="D45" s="334"/>
    </row>
    <row r="46" spans="1:4">
      <c r="A46" s="334"/>
      <c r="B46" s="334"/>
      <c r="C46" s="334"/>
      <c r="D46" s="334"/>
    </row>
    <row r="47" spans="1:4">
      <c r="A47" s="334"/>
      <c r="B47" s="334"/>
      <c r="C47" s="334"/>
      <c r="D47" s="334"/>
    </row>
    <row r="48" spans="1:4">
      <c r="A48" s="334"/>
      <c r="B48" s="334"/>
      <c r="C48" s="334"/>
      <c r="D48" s="334"/>
    </row>
    <row r="49" spans="1:4">
      <c r="A49" s="334"/>
      <c r="B49" s="334"/>
      <c r="C49" s="334"/>
      <c r="D49" s="334"/>
    </row>
    <row r="50" spans="1:4">
      <c r="A50" s="334"/>
      <c r="B50" s="334"/>
      <c r="C50" s="334"/>
      <c r="D50" s="334"/>
    </row>
    <row r="51" spans="1:4">
      <c r="A51" s="334"/>
      <c r="B51" s="334"/>
      <c r="C51" s="334"/>
      <c r="D51" s="334"/>
    </row>
    <row r="52" spans="1:4">
      <c r="A52" s="334"/>
      <c r="B52" s="334"/>
      <c r="C52" s="334"/>
      <c r="D52" s="334"/>
    </row>
    <row r="53" spans="1:4">
      <c r="A53" s="334"/>
      <c r="B53" s="334"/>
      <c r="C53" s="334"/>
      <c r="D53" s="334"/>
    </row>
    <row r="54" spans="1:4">
      <c r="A54" s="334"/>
      <c r="B54" s="334"/>
      <c r="C54" s="334"/>
      <c r="D54" s="334"/>
    </row>
  </sheetData>
  <mergeCells count="51">
    <mergeCell ref="A22:D22"/>
    <mergeCell ref="A15:D15"/>
    <mergeCell ref="C1:D1"/>
    <mergeCell ref="A16:C16"/>
    <mergeCell ref="A18:D18"/>
    <mergeCell ref="A19:D19"/>
    <mergeCell ref="A20:D20"/>
    <mergeCell ref="A21:D21"/>
    <mergeCell ref="C2:D2"/>
    <mergeCell ref="B10:C10"/>
    <mergeCell ref="B11:C11"/>
    <mergeCell ref="B12:C12"/>
    <mergeCell ref="B13:C13"/>
    <mergeCell ref="B14:C14"/>
    <mergeCell ref="A9:D9"/>
    <mergeCell ref="A34:D34"/>
    <mergeCell ref="A23:D23"/>
    <mergeCell ref="A24:D24"/>
    <mergeCell ref="A25:D25"/>
    <mergeCell ref="A26:D26"/>
    <mergeCell ref="A27:D27"/>
    <mergeCell ref="A28:D28"/>
    <mergeCell ref="A29:D29"/>
    <mergeCell ref="A30:D30"/>
    <mergeCell ref="A31:D31"/>
    <mergeCell ref="A32:D32"/>
    <mergeCell ref="A33:D33"/>
    <mergeCell ref="A45:D45"/>
    <mergeCell ref="A46:D46"/>
    <mergeCell ref="A35:D35"/>
    <mergeCell ref="A36:D36"/>
    <mergeCell ref="A37:D37"/>
    <mergeCell ref="A38:D38"/>
    <mergeCell ref="A39:D39"/>
    <mergeCell ref="A40:D40"/>
    <mergeCell ref="A53:D53"/>
    <mergeCell ref="A54:D54"/>
    <mergeCell ref="C4:D4"/>
    <mergeCell ref="C6:D6"/>
    <mergeCell ref="C5:D5"/>
    <mergeCell ref="A8:D8"/>
    <mergeCell ref="A47:D47"/>
    <mergeCell ref="A48:D48"/>
    <mergeCell ref="A49:D49"/>
    <mergeCell ref="A50:D50"/>
    <mergeCell ref="A51:D51"/>
    <mergeCell ref="A52:D52"/>
    <mergeCell ref="A41:D41"/>
    <mergeCell ref="A42:D42"/>
    <mergeCell ref="A43:D43"/>
    <mergeCell ref="A44:D44"/>
  </mergeCells>
  <pageMargins left="0.7" right="0.7" top="0.75" bottom="0.75" header="0.3" footer="0.3"/>
  <pageSetup paperSize="9" scale="8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topLeftCell="A25" zoomScaleSheetLayoutView="100" workbookViewId="0">
      <selection activeCell="E8" sqref="E8"/>
    </sheetView>
  </sheetViews>
  <sheetFormatPr defaultColWidth="9.140625" defaultRowHeight="15"/>
  <cols>
    <col min="1" max="1" width="3.42578125" style="15" customWidth="1"/>
    <col min="2" max="3" width="17.85546875" style="20" customWidth="1"/>
    <col min="4" max="4" width="15" style="20" customWidth="1"/>
    <col min="5" max="5" width="17.85546875" style="20" customWidth="1"/>
    <col min="6" max="6" width="9" style="20" customWidth="1"/>
    <col min="7" max="7" width="4.7109375" style="20" customWidth="1"/>
    <col min="8" max="16384" width="9.140625" style="15"/>
  </cols>
  <sheetData>
    <row r="1" spans="2:7" ht="15.75" thickBot="1"/>
    <row r="2" spans="2:7" ht="62.25" customHeight="1">
      <c r="B2" s="345" t="str">
        <f>malumot!B154</f>
        <v>«CLEVER MIKROMOLIYA TASHKILOTI» MChJ</v>
      </c>
      <c r="C2" s="346"/>
      <c r="D2" s="346"/>
      <c r="E2" s="346"/>
      <c r="F2" s="347"/>
      <c r="G2" s="41"/>
    </row>
    <row r="3" spans="2:7">
      <c r="B3" s="340"/>
      <c r="C3" s="322"/>
      <c r="D3" s="322"/>
      <c r="E3" s="322"/>
      <c r="F3" s="341"/>
      <c r="G3" s="42"/>
    </row>
    <row r="4" spans="2:7" ht="8.25" customHeight="1">
      <c r="B4" s="54"/>
      <c r="F4" s="55"/>
      <c r="G4" s="42"/>
    </row>
    <row r="5" spans="2:7" ht="12" customHeight="1">
      <c r="B5" s="44"/>
      <c r="C5" s="42"/>
      <c r="D5" s="42"/>
      <c r="E5" s="42"/>
      <c r="F5" s="45"/>
      <c r="G5" s="42"/>
    </row>
    <row r="6" spans="2:7" ht="6.75" customHeight="1">
      <c r="B6" s="44"/>
      <c r="C6" s="42"/>
      <c r="D6" s="42"/>
      <c r="E6" s="42"/>
      <c r="F6" s="45"/>
      <c r="G6" s="42"/>
    </row>
    <row r="7" spans="2:7" ht="6.75" customHeight="1">
      <c r="B7" s="44"/>
      <c r="C7" s="42"/>
      <c r="D7" s="42"/>
      <c r="E7" s="42"/>
      <c r="F7" s="45"/>
      <c r="G7" s="42"/>
    </row>
    <row r="8" spans="2:7">
      <c r="B8" s="44"/>
      <c r="C8" s="42"/>
      <c r="D8" s="42"/>
      <c r="E8" s="42"/>
      <c r="F8" s="45"/>
      <c r="G8" s="42"/>
    </row>
    <row r="9" spans="2:7">
      <c r="B9" s="44"/>
      <c r="C9" s="42"/>
      <c r="D9" s="42"/>
      <c r="E9" s="42"/>
      <c r="F9" s="45"/>
      <c r="G9" s="42"/>
    </row>
    <row r="10" spans="2:7">
      <c r="B10" s="340" t="s">
        <v>27</v>
      </c>
      <c r="C10" s="322"/>
      <c r="D10" s="322"/>
      <c r="E10" s="322"/>
      <c r="F10" s="341"/>
      <c r="G10" s="42"/>
    </row>
    <row r="11" spans="2:7">
      <c r="B11" s="340" t="s">
        <v>27</v>
      </c>
      <c r="C11" s="322"/>
      <c r="D11" s="322"/>
      <c r="E11" s="322"/>
      <c r="F11" s="341"/>
      <c r="G11" s="42"/>
    </row>
    <row r="12" spans="2:7" ht="135" customHeight="1">
      <c r="B12" s="348" t="str">
        <f>malumot!B5</f>
        <v>NUTFULLAYEV AKBARJON AXMEDOVICH</v>
      </c>
      <c r="C12" s="349"/>
      <c r="D12" s="349"/>
      <c r="E12" s="349"/>
      <c r="F12" s="350"/>
      <c r="G12" s="43"/>
    </row>
    <row r="13" spans="2:7">
      <c r="B13" s="340"/>
      <c r="C13" s="322"/>
      <c r="D13" s="322"/>
      <c r="E13" s="322"/>
      <c r="F13" s="341"/>
      <c r="G13" s="42"/>
    </row>
    <row r="14" spans="2:7">
      <c r="B14" s="44"/>
      <c r="C14" s="42"/>
      <c r="D14" s="42"/>
      <c r="E14" s="42"/>
      <c r="F14" s="45"/>
      <c r="G14" s="42"/>
    </row>
    <row r="15" spans="2:7">
      <c r="B15" s="44"/>
      <c r="C15" s="42"/>
      <c r="D15" s="42"/>
      <c r="E15" s="42"/>
      <c r="F15" s="45"/>
      <c r="G15" s="42"/>
    </row>
    <row r="16" spans="2:7">
      <c r="B16" s="44"/>
      <c r="C16" s="42"/>
      <c r="D16" s="42"/>
      <c r="E16" s="42"/>
      <c r="F16" s="45"/>
      <c r="G16" s="42"/>
    </row>
    <row r="17" spans="2:7">
      <c r="B17" s="44"/>
      <c r="C17" s="42"/>
      <c r="D17" s="42"/>
      <c r="E17" s="42"/>
      <c r="F17" s="45"/>
      <c r="G17" s="42"/>
    </row>
    <row r="18" spans="2:7">
      <c r="B18" s="340"/>
      <c r="C18" s="322"/>
      <c r="D18" s="322"/>
      <c r="E18" s="322"/>
      <c r="F18" s="341"/>
      <c r="G18" s="42"/>
    </row>
    <row r="19" spans="2:7" ht="20.25">
      <c r="B19" s="342" t="str">
        <f>""&amp;malumot!C64&amp;" shartnoma "&amp;malumot!B74&amp;""</f>
        <v>Mikroqarz shartnoma 11 mart 2025 y.dan № 23-AL</v>
      </c>
      <c r="C19" s="343"/>
      <c r="D19" s="343"/>
      <c r="E19" s="343"/>
      <c r="F19" s="344"/>
      <c r="G19" s="42"/>
    </row>
    <row r="20" spans="2:7">
      <c r="B20" s="340"/>
      <c r="C20" s="322"/>
      <c r="D20" s="322"/>
      <c r="E20" s="322"/>
      <c r="F20" s="341"/>
      <c r="G20" s="42"/>
    </row>
    <row r="21" spans="2:7">
      <c r="B21" s="340"/>
      <c r="C21" s="322"/>
      <c r="D21" s="322"/>
      <c r="E21" s="322"/>
      <c r="F21" s="341"/>
      <c r="G21" s="42"/>
    </row>
    <row r="22" spans="2:7">
      <c r="B22" s="340"/>
      <c r="C22" s="322"/>
      <c r="D22" s="322"/>
      <c r="E22" s="322"/>
      <c r="F22" s="341"/>
      <c r="G22" s="42"/>
    </row>
    <row r="23" spans="2:7">
      <c r="B23" s="340"/>
      <c r="C23" s="322"/>
      <c r="D23" s="322"/>
      <c r="E23" s="322"/>
      <c r="F23" s="341"/>
      <c r="G23" s="42"/>
    </row>
    <row r="24" spans="2:7">
      <c r="B24" s="354" t="str">
        <f>" Foiz stavkasi: "&amp;malumot!B85&amp;"%"</f>
        <v xml:space="preserve"> Foiz stavkasi: 60%</v>
      </c>
      <c r="C24" s="355"/>
      <c r="D24" s="355"/>
      <c r="E24" s="355"/>
      <c r="F24" s="356"/>
      <c r="G24" s="42"/>
    </row>
    <row r="25" spans="2:7" ht="15" customHeight="1">
      <c r="B25" s="354" t="str">
        <f>" "&amp;malumot!C64&amp;" muddati: "&amp;malumot!B81&amp;" oy"</f>
        <v xml:space="preserve"> Mikroqarz muddati: 36 oy</v>
      </c>
      <c r="C25" s="355"/>
      <c r="D25" s="355"/>
      <c r="E25" s="355"/>
      <c r="F25" s="356"/>
      <c r="G25" s="42"/>
    </row>
    <row r="26" spans="2:7">
      <c r="B26" s="354" t="str">
        <f>" "&amp;malumot!C64&amp;" miqdori: "&amp;FIXED(malumot!B75,2)&amp;" so'm"</f>
        <v xml:space="preserve"> Mikroqarz miqdori: 27 000 000,00 so'm</v>
      </c>
      <c r="C26" s="355"/>
      <c r="D26" s="355"/>
      <c r="E26" s="355"/>
      <c r="F26" s="356"/>
      <c r="G26" s="42"/>
    </row>
    <row r="27" spans="2:7">
      <c r="B27" s="340"/>
      <c r="C27" s="322"/>
      <c r="D27" s="322"/>
      <c r="E27" s="322"/>
      <c r="F27" s="341"/>
      <c r="G27" s="42"/>
    </row>
    <row r="28" spans="2:7" hidden="1">
      <c r="G28" s="42"/>
    </row>
    <row r="29" spans="2:7">
      <c r="B29" s="340"/>
      <c r="C29" s="322"/>
      <c r="D29" s="322"/>
      <c r="E29" s="322"/>
      <c r="F29" s="341"/>
      <c r="G29" s="42"/>
    </row>
    <row r="30" spans="2:7" ht="12.75" customHeight="1">
      <c r="B30" s="44"/>
      <c r="C30" s="42"/>
      <c r="D30" s="42"/>
      <c r="E30" s="42"/>
      <c r="F30" s="45"/>
      <c r="G30" s="42"/>
    </row>
    <row r="31" spans="2:7">
      <c r="B31" s="44"/>
      <c r="C31" s="42"/>
      <c r="D31" s="42"/>
      <c r="E31" s="42"/>
      <c r="F31" s="45"/>
      <c r="G31" s="42"/>
    </row>
    <row r="32" spans="2:7" ht="2.25" customHeight="1">
      <c r="B32" s="44"/>
      <c r="C32" s="42"/>
      <c r="D32" s="42"/>
      <c r="E32" s="42"/>
      <c r="F32" s="45"/>
      <c r="G32" s="42"/>
    </row>
    <row r="33" spans="2:7">
      <c r="B33" s="44"/>
      <c r="C33" s="42"/>
      <c r="D33" s="42"/>
      <c r="E33" s="42"/>
      <c r="F33" s="45"/>
      <c r="G33" s="42"/>
    </row>
    <row r="34" spans="2:7">
      <c r="B34" s="44"/>
      <c r="C34" s="42"/>
      <c r="D34" s="42"/>
      <c r="E34" s="42"/>
      <c r="F34" s="45"/>
      <c r="G34" s="42"/>
    </row>
    <row r="35" spans="2:7">
      <c r="B35" s="44"/>
      <c r="C35" s="42"/>
      <c r="D35" s="42"/>
      <c r="E35" s="42"/>
      <c r="F35" s="45"/>
      <c r="G35" s="42"/>
    </row>
    <row r="36" spans="2:7">
      <c r="B36" s="44"/>
      <c r="C36" s="42"/>
      <c r="D36" s="42"/>
      <c r="E36" s="42"/>
      <c r="F36" s="45"/>
      <c r="G36" s="42"/>
    </row>
    <row r="37" spans="2:7">
      <c r="B37" s="44"/>
      <c r="C37" s="42"/>
      <c r="D37" s="42"/>
      <c r="E37" s="42"/>
      <c r="F37" s="45"/>
      <c r="G37" s="42"/>
    </row>
    <row r="38" spans="2:7">
      <c r="B38" s="44"/>
      <c r="C38" s="42"/>
      <c r="D38" s="42"/>
      <c r="E38" s="42"/>
      <c r="F38" s="45"/>
      <c r="G38" s="42"/>
    </row>
    <row r="39" spans="2:7">
      <c r="B39" s="44"/>
      <c r="C39" s="42"/>
      <c r="D39" s="42"/>
      <c r="E39" s="42"/>
      <c r="F39" s="45"/>
      <c r="G39" s="42"/>
    </row>
    <row r="40" spans="2:7" ht="15.75" thickBot="1">
      <c r="B40" s="351" t="str">
        <f>"Toshkent sh., "&amp;malumot!B70&amp;""</f>
        <v>Toshkent sh., 11 mart 2025 y.</v>
      </c>
      <c r="C40" s="352"/>
      <c r="D40" s="352"/>
      <c r="E40" s="352"/>
      <c r="F40" s="353"/>
      <c r="G40" s="42"/>
    </row>
    <row r="41" spans="2:7">
      <c r="B41" s="322"/>
      <c r="C41" s="322"/>
      <c r="D41" s="322"/>
      <c r="E41" s="322"/>
      <c r="F41" s="322"/>
      <c r="G41" s="42"/>
    </row>
    <row r="42" spans="2:7">
      <c r="B42" s="322"/>
      <c r="C42" s="322"/>
      <c r="D42" s="322"/>
      <c r="E42" s="322"/>
      <c r="F42" s="322"/>
      <c r="G42" s="42"/>
    </row>
  </sheetData>
  <mergeCells count="20">
    <mergeCell ref="B40:F40"/>
    <mergeCell ref="B41:F41"/>
    <mergeCell ref="B42:F42"/>
    <mergeCell ref="B21:F21"/>
    <mergeCell ref="B22:F22"/>
    <mergeCell ref="B23:F23"/>
    <mergeCell ref="B27:F27"/>
    <mergeCell ref="B29:F29"/>
    <mergeCell ref="B24:F24"/>
    <mergeCell ref="B25:F25"/>
    <mergeCell ref="B26:F26"/>
    <mergeCell ref="B18:F18"/>
    <mergeCell ref="B19:F19"/>
    <mergeCell ref="B20:F20"/>
    <mergeCell ref="B2:F2"/>
    <mergeCell ref="B3:F3"/>
    <mergeCell ref="B10:F10"/>
    <mergeCell ref="B11:F11"/>
    <mergeCell ref="B12:F12"/>
    <mergeCell ref="B13:F13"/>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tabColor rgb="FF00B050"/>
  </sheetPr>
  <dimension ref="A1:F43"/>
  <sheetViews>
    <sheetView view="pageBreakPreview" topLeftCell="A21" zoomScaleSheetLayoutView="100" workbookViewId="0">
      <selection activeCell="F26" sqref="F26"/>
    </sheetView>
  </sheetViews>
  <sheetFormatPr defaultColWidth="9.140625" defaultRowHeight="12.75"/>
  <cols>
    <col min="1" max="6" width="14.28515625" style="24" customWidth="1"/>
    <col min="7" max="16384" width="9.140625" style="24"/>
  </cols>
  <sheetData>
    <row r="1" spans="1:6">
      <c r="A1" s="361" t="s">
        <v>217</v>
      </c>
      <c r="B1" s="361"/>
      <c r="C1" s="361"/>
      <c r="D1" s="361"/>
      <c r="E1" s="361"/>
      <c r="F1" s="361"/>
    </row>
    <row r="2" spans="1:6" ht="35.25" customHeight="1">
      <c r="A2" s="362" t="s">
        <v>325</v>
      </c>
      <c r="B2" s="362"/>
      <c r="C2" s="362"/>
      <c r="D2" s="362"/>
      <c r="E2" s="362"/>
      <c r="F2" s="362"/>
    </row>
    <row r="3" spans="1:6">
      <c r="A3" s="361" t="s">
        <v>218</v>
      </c>
      <c r="B3" s="361"/>
      <c r="C3" s="361"/>
      <c r="D3" s="361"/>
      <c r="E3" s="361"/>
      <c r="F3" s="361"/>
    </row>
    <row r="4" spans="1:6">
      <c r="A4" s="357" t="str">
        <f>xulosa!A4:E4</f>
        <v>Mijozning to'liq ismi sharifi: NUTFULLAYEV AKBARJON AXMEDOVICH</v>
      </c>
      <c r="B4" s="357"/>
      <c r="C4" s="357"/>
      <c r="D4" s="357"/>
      <c r="E4" s="357"/>
      <c r="F4" s="357"/>
    </row>
    <row r="5" spans="1:6">
      <c r="A5" s="357" t="str">
        <f>xulosa!A5:E5</f>
        <v>Tug'ilgan sanasi: 14.09.1989 y</v>
      </c>
      <c r="B5" s="357"/>
      <c r="C5" s="357"/>
      <c r="D5" s="357"/>
      <c r="E5" s="357"/>
      <c r="F5" s="357"/>
    </row>
    <row r="6" spans="1:6" ht="32.25" customHeight="1">
      <c r="A6" s="357" t="str">
        <f>xulosa!A6:E6</f>
        <v>Pasport seriyasi AA 9481167 BUXORO VILOYATI BUXORO SHAHAR IIB tomonidan 24.04.2015 yilda berilgan, amal qilish muddati - 23.04.2025 y.</v>
      </c>
      <c r="B6" s="357"/>
      <c r="C6" s="357"/>
      <c r="D6" s="357"/>
      <c r="E6" s="357"/>
      <c r="F6" s="357"/>
    </row>
    <row r="7" spans="1:6">
      <c r="A7" s="357" t="str">
        <f>"Fuqaroligi: "&amp;malumot!B32&amp;""</f>
        <v>Fuqaroligi: O’zbekiston Respublikasi</v>
      </c>
      <c r="B7" s="357"/>
      <c r="C7" s="357"/>
      <c r="D7" s="357"/>
      <c r="E7" s="357"/>
      <c r="F7" s="357"/>
    </row>
    <row r="8" spans="1:6" ht="26.25" customHeight="1">
      <c r="A8" s="357" t="str">
        <f>xulosa!A7:E7</f>
        <v>Ro‘yxatdan o‘tgan manzili: BUXORO VILOYATI BUXORO SHAHAR TADBIRKOR KO'CHASI 12-UY, mo'ljal: GOR VODAKANAL</v>
      </c>
      <c r="B8" s="357"/>
      <c r="C8" s="357"/>
      <c r="D8" s="357"/>
      <c r="E8" s="357"/>
      <c r="F8" s="357"/>
    </row>
    <row r="9" spans="1:6">
      <c r="A9" s="357" t="str">
        <f>IF(malumot!B23="mos keladi"," ",mijoz_anketasi!A10:F10)</f>
        <v xml:space="preserve"> </v>
      </c>
      <c r="B9" s="357"/>
      <c r="C9" s="357"/>
      <c r="D9" s="357"/>
      <c r="E9" s="357"/>
      <c r="F9" s="357"/>
    </row>
    <row r="10" spans="1:6" ht="31.5" hidden="1" customHeight="1">
      <c r="A10" s="357" t="str">
        <f>"Haqiqatdan yashash joy manzili: "&amp;malumot!B28&amp;""</f>
        <v>Haqiqatdan yashash joy manzili: BUXORO VILOYATI BUXORO SHAHAR TADBIRKOR KO'CHASI 12-UY</v>
      </c>
      <c r="B10" s="357"/>
      <c r="C10" s="357"/>
      <c r="D10" s="357"/>
      <c r="E10" s="357"/>
      <c r="F10" s="357"/>
    </row>
    <row r="11" spans="1:6" ht="16.5" hidden="1" customHeight="1">
      <c r="A11" s="357" t="str">
        <f>xulosa!A8:E8</f>
        <v>Ish joyi:  lavozimi Yakka tartibdagi tadbirkorda Yakka tartibdagi tadbirkor</v>
      </c>
      <c r="B11" s="357"/>
      <c r="C11" s="357"/>
      <c r="D11" s="357"/>
      <c r="E11" s="357"/>
      <c r="F11" s="357"/>
    </row>
    <row r="12" spans="1:6">
      <c r="A12" s="361" t="s">
        <v>219</v>
      </c>
      <c r="B12" s="361"/>
      <c r="C12" s="361"/>
      <c r="D12" s="361"/>
      <c r="E12" s="361"/>
      <c r="F12" s="361"/>
    </row>
    <row r="13" spans="1:6">
      <c r="A13" s="357" t="str">
        <f>"Uy telefoni raqami: "&amp;malumot!B40&amp;""</f>
        <v>Uy telefoni raqami: 91 408 76 67  UZI</v>
      </c>
      <c r="B13" s="357"/>
      <c r="C13" s="357"/>
      <c r="D13" s="357"/>
      <c r="E13" s="357"/>
      <c r="F13" s="357"/>
    </row>
    <row r="14" spans="1:6">
      <c r="A14" s="357" t="str">
        <f>"Uyali telefon raqami: "&amp;malumot!B41&amp;""</f>
        <v>Uyali telefon raqami: 88 305 76 67 AYOLI</v>
      </c>
      <c r="B14" s="357"/>
      <c r="C14" s="357"/>
      <c r="D14" s="357"/>
      <c r="E14" s="357"/>
      <c r="F14" s="357"/>
    </row>
    <row r="15" spans="1:6">
      <c r="A15" s="357" t="str">
        <f>"Uyali telefon raqami: "&amp;malumot!B42&amp;""</f>
        <v>Uyali telefon raqami: 88 870 76 67 AKASI</v>
      </c>
      <c r="B15" s="357"/>
      <c r="C15" s="357"/>
      <c r="D15" s="357"/>
      <c r="E15" s="357"/>
      <c r="F15" s="357"/>
    </row>
    <row r="16" spans="1:6" hidden="1">
      <c r="A16" s="357" t="str">
        <f>"Uyali telefon raqami: "&amp;malumot!B42&amp;""</f>
        <v>Uyali telefon raqami: 88 870 76 67 AKASI</v>
      </c>
      <c r="B16" s="357"/>
      <c r="C16" s="357"/>
      <c r="D16" s="357"/>
      <c r="E16" s="357"/>
      <c r="F16" s="357"/>
    </row>
    <row r="17" spans="1:6">
      <c r="A17" s="357" t="str">
        <f>"Ish telefoni raqami: "&amp;malumot!B43&amp;""</f>
        <v xml:space="preserve">Ish telefoni raqami: </v>
      </c>
      <c r="B17" s="357"/>
      <c r="C17" s="357"/>
      <c r="D17" s="357"/>
      <c r="E17" s="357"/>
      <c r="F17" s="357"/>
    </row>
    <row r="18" spans="1:6">
      <c r="A18" s="361" t="s">
        <v>220</v>
      </c>
      <c r="B18" s="361"/>
      <c r="C18" s="361"/>
      <c r="D18" s="361"/>
      <c r="E18" s="361"/>
      <c r="F18" s="361"/>
    </row>
    <row r="19" spans="1:6">
      <c r="A19" s="357" t="str">
        <f>"Muassasa nomlanishi:"&amp;malumot!B58&amp;""</f>
        <v>Muassasa nomlanishi:Yakka tartibdagi tadbirkor</v>
      </c>
      <c r="B19" s="357"/>
      <c r="C19" s="357"/>
      <c r="D19" s="357"/>
      <c r="E19" s="357"/>
      <c r="F19" s="357"/>
    </row>
    <row r="20" spans="1:6">
      <c r="A20" s="357" t="str">
        <f>"Ro‘yxatdan o‘tish manzili:"&amp;malumot!B50&amp;""</f>
        <v>Ro‘yxatdan o‘tish manzili:</v>
      </c>
      <c r="B20" s="357"/>
      <c r="C20" s="357"/>
      <c r="D20" s="357"/>
      <c r="E20" s="357"/>
      <c r="F20" s="357"/>
    </row>
    <row r="21" spans="1:6">
      <c r="A21" s="357" t="str">
        <f>"Lavozimi: "&amp;malumot!B59&amp;""</f>
        <v>Lavozimi: Yakka tartibdagi tadbirkor</v>
      </c>
      <c r="B21" s="357"/>
      <c r="C21" s="357"/>
      <c r="D21" s="357"/>
      <c r="E21" s="357"/>
      <c r="F21" s="357"/>
    </row>
    <row r="22" spans="1:6">
      <c r="A22" s="361" t="s">
        <v>221</v>
      </c>
      <c r="B22" s="358"/>
      <c r="C22" s="358"/>
      <c r="D22" s="358"/>
      <c r="E22" s="358"/>
      <c r="F22" s="358"/>
    </row>
    <row r="23" spans="1:6" s="26" customFormat="1" ht="25.5">
      <c r="A23" s="25" t="s">
        <v>222</v>
      </c>
      <c r="B23" s="25" t="s">
        <v>223</v>
      </c>
      <c r="C23" s="25" t="s">
        <v>224</v>
      </c>
      <c r="D23" s="25" t="s">
        <v>225</v>
      </c>
      <c r="E23" s="25" t="s">
        <v>226</v>
      </c>
      <c r="F23" s="25" t="s">
        <v>227</v>
      </c>
    </row>
    <row r="24" spans="1:6" ht="51">
      <c r="A24" s="27" t="s">
        <v>228</v>
      </c>
      <c r="B24" s="28">
        <f>malumot!B60</f>
        <v>10000000</v>
      </c>
      <c r="C24" s="28">
        <v>0</v>
      </c>
      <c r="D24" s="28">
        <v>0</v>
      </c>
      <c r="E24" s="27" t="s">
        <v>231</v>
      </c>
      <c r="F24" s="28">
        <v>700000</v>
      </c>
    </row>
    <row r="25" spans="1:6" ht="25.5">
      <c r="A25" s="27" t="s">
        <v>229</v>
      </c>
      <c r="B25" s="28">
        <v>0</v>
      </c>
      <c r="C25" s="28">
        <v>0</v>
      </c>
      <c r="D25" s="28">
        <v>0</v>
      </c>
      <c r="E25" s="27" t="s">
        <v>232</v>
      </c>
      <c r="F25" s="28">
        <v>450000</v>
      </c>
    </row>
    <row r="26" spans="1:6" ht="28.5" customHeight="1">
      <c r="A26" s="27" t="s">
        <v>230</v>
      </c>
      <c r="B26" s="28">
        <f>malumot!B61</f>
        <v>0</v>
      </c>
      <c r="C26" s="28">
        <v>0</v>
      </c>
      <c r="D26" s="28">
        <v>0</v>
      </c>
      <c r="E26" s="27" t="s">
        <v>233</v>
      </c>
      <c r="F26" s="28">
        <v>500000</v>
      </c>
    </row>
    <row r="27" spans="1:6" s="31" customFormat="1">
      <c r="A27" s="29" t="s">
        <v>209</v>
      </c>
      <c r="B27" s="30">
        <f>B24+B25+B26</f>
        <v>10000000</v>
      </c>
      <c r="C27" s="30">
        <f t="shared" ref="C27:D27" si="0">SUM(C24:C26)</f>
        <v>0</v>
      </c>
      <c r="D27" s="30">
        <f t="shared" si="0"/>
        <v>0</v>
      </c>
      <c r="E27" s="29"/>
      <c r="F27" s="30">
        <f>F24+F25+F26</f>
        <v>1650000</v>
      </c>
    </row>
    <row r="28" spans="1:6" ht="31.5" customHeight="1">
      <c r="A28" s="357" t="str">
        <f>"Men, "&amp;malumot!B5&amp;", ushbu anketada ko‘rsatilgan barcha ma'lumotlar anketa to'ldirilgan sanada  to'g'ri va aniq ekanligini tasdiqlayman."</f>
        <v>Men, NUTFULLAYEV AKBARJON AXMEDOVICH, ushbu anketada ko‘rsatilgan barcha ma'lumotlar anketa to'ldirilgan sanada  to'g'ri va aniq ekanligini tasdiqlayman.</v>
      </c>
      <c r="B28" s="357"/>
      <c r="C28" s="357"/>
      <c r="D28" s="357"/>
      <c r="E28" s="357"/>
      <c r="F28" s="357"/>
    </row>
    <row r="29" spans="1:6">
      <c r="A29" s="357" t="str">
        <f>"Men,  "&amp;malumot!B5&amp;", quyidagilarni tan olaman va roziman::"</f>
        <v>Men,  NUTFULLAYEV AKBARJON AXMEDOVICH, quyidagilarni tan olaman va roziman::</v>
      </c>
      <c r="B29" s="357"/>
      <c r="C29" s="357"/>
      <c r="D29" s="357"/>
      <c r="E29" s="357"/>
      <c r="F29" s="357"/>
    </row>
    <row r="30" spans="1:6" ht="45.75" customHeight="1">
      <c r="A30" s="357" t="str">
        <f>"1.  Ushbu anketada ko‘rsatilgan har qanday ma’lumot  "&amp;malumot!B153&amp;",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357"/>
      <c r="C30" s="357"/>
      <c r="D30" s="357"/>
      <c r="E30" s="357"/>
      <c r="F30" s="357"/>
    </row>
    <row r="31" spans="1:6" ht="42.75" customHeight="1">
      <c r="A31" s="357" t="str">
        <f>"2. Mazkur anketaning "&amp;malumot!B153&amp;" tomonidan qabul qilinishi “Clever Mikromoliya Tashkiloti” MChJ tomonidan menga "&amp;malumot!B65&amp;" berish majburiyatini yuklamaydi."</f>
        <v>2. Mazkur anketaning «CLEVER MIKROMOLIYA TASHKILOTI» MChJ tomonidan qabul qilinishi “Clever Mikromoliya Tashkiloti” MChJ tomonidan menga mikroqarz berish majburiyatini yuklamaydi.</v>
      </c>
      <c r="B31" s="357"/>
      <c r="C31" s="357"/>
      <c r="D31" s="357"/>
      <c r="E31" s="357"/>
      <c r="F31" s="357"/>
    </row>
    <row r="32" spans="1:6" ht="71.25" customHeight="1">
      <c r="A32" s="357" t="s">
        <v>234</v>
      </c>
      <c r="B32" s="357"/>
      <c r="C32" s="357"/>
      <c r="D32" s="357"/>
      <c r="E32" s="357"/>
      <c r="F32" s="357"/>
    </row>
    <row r="33" spans="1:6">
      <c r="A33" s="357"/>
      <c r="B33" s="357"/>
      <c r="C33" s="357"/>
      <c r="D33" s="357"/>
      <c r="E33" s="357"/>
      <c r="F33" s="357"/>
    </row>
    <row r="34" spans="1:6" ht="12.75" customHeight="1">
      <c r="A34" s="358" t="s">
        <v>235</v>
      </c>
      <c r="B34" s="358"/>
      <c r="C34" s="358"/>
      <c r="D34" s="143" t="s">
        <v>157</v>
      </c>
      <c r="E34" s="358" t="s">
        <v>236</v>
      </c>
      <c r="F34" s="358"/>
    </row>
    <row r="35" spans="1:6" ht="25.5" customHeight="1">
      <c r="A35" s="359"/>
      <c r="B35" s="359"/>
      <c r="C35" s="359"/>
      <c r="D35" s="360" t="str">
        <f>malumot!B2</f>
        <v>11.03.2025</v>
      </c>
      <c r="E35" s="359"/>
      <c r="F35" s="359"/>
    </row>
    <row r="36" spans="1:6" ht="25.5" customHeight="1">
      <c r="A36" s="359"/>
      <c r="B36" s="359"/>
      <c r="C36" s="359"/>
      <c r="D36" s="360"/>
      <c r="E36" s="359"/>
      <c r="F36" s="359"/>
    </row>
    <row r="37" spans="1:6">
      <c r="A37" s="357"/>
      <c r="B37" s="357"/>
      <c r="C37" s="357"/>
      <c r="D37" s="357"/>
      <c r="E37" s="357"/>
      <c r="F37" s="357"/>
    </row>
    <row r="38" spans="1:6">
      <c r="A38" s="357"/>
      <c r="B38" s="357"/>
      <c r="C38" s="357"/>
      <c r="D38" s="357"/>
      <c r="E38" s="357"/>
      <c r="F38" s="357"/>
    </row>
    <row r="39" spans="1:6">
      <c r="A39" s="357"/>
      <c r="B39" s="357"/>
      <c r="C39" s="357"/>
      <c r="D39" s="357"/>
      <c r="E39" s="357"/>
      <c r="F39" s="357"/>
    </row>
    <row r="40" spans="1:6">
      <c r="A40" s="357"/>
      <c r="B40" s="357"/>
      <c r="C40" s="357"/>
      <c r="D40" s="357"/>
      <c r="E40" s="357"/>
      <c r="F40" s="357"/>
    </row>
    <row r="41" spans="1:6">
      <c r="A41" s="357"/>
      <c r="B41" s="357"/>
      <c r="C41" s="357"/>
      <c r="D41" s="357"/>
      <c r="E41" s="357"/>
      <c r="F41" s="357"/>
    </row>
    <row r="42" spans="1:6">
      <c r="A42" s="357"/>
      <c r="B42" s="357"/>
      <c r="C42" s="357"/>
      <c r="D42" s="357"/>
      <c r="E42" s="357"/>
      <c r="F42" s="357"/>
    </row>
    <row r="43" spans="1:6">
      <c r="A43" s="357"/>
      <c r="B43" s="357"/>
      <c r="C43" s="357"/>
      <c r="D43" s="357"/>
      <c r="E43" s="357"/>
      <c r="F43" s="357"/>
    </row>
  </sheetData>
  <mergeCells count="41">
    <mergeCell ref="A15:F15"/>
    <mergeCell ref="A1:F1"/>
    <mergeCell ref="A2:F2"/>
    <mergeCell ref="A3:F3"/>
    <mergeCell ref="A4:F4"/>
    <mergeCell ref="A5:F5"/>
    <mergeCell ref="A6:F6"/>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29:F29"/>
    <mergeCell ref="A30:F30"/>
    <mergeCell ref="A31:F31"/>
    <mergeCell ref="A32:F32"/>
    <mergeCell ref="A33:F33"/>
    <mergeCell ref="A41:F41"/>
    <mergeCell ref="A42:F42"/>
    <mergeCell ref="A43:F43"/>
    <mergeCell ref="A34:C34"/>
    <mergeCell ref="E34:F34"/>
    <mergeCell ref="A35:C35"/>
    <mergeCell ref="D35:D36"/>
    <mergeCell ref="E35:F36"/>
    <mergeCell ref="A36:C36"/>
    <mergeCell ref="A37:F37"/>
    <mergeCell ref="A38:F38"/>
    <mergeCell ref="A39:F39"/>
    <mergeCell ref="A40:F40"/>
  </mergeCells>
  <pageMargins left="0.7" right="0.7" top="0.75" bottom="0.75" header="0.3" footer="0.3"/>
  <pageSetup paperSize="9" scale="95"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22">
    <tabColor rgb="FF00B050"/>
  </sheetPr>
  <dimension ref="A3:B11"/>
  <sheetViews>
    <sheetView view="pageBreakPreview" zoomScale="85" zoomScaleNormal="100" zoomScaleSheetLayoutView="85" workbookViewId="0">
      <selection activeCell="A5" sqref="A5:B5"/>
    </sheetView>
  </sheetViews>
  <sheetFormatPr defaultRowHeight="15"/>
  <cols>
    <col min="1" max="1" width="54.42578125" style="15" customWidth="1"/>
    <col min="2" max="2" width="32.28515625" style="15" customWidth="1"/>
  </cols>
  <sheetData>
    <row r="3" spans="1:2" ht="35.25" customHeight="1">
      <c r="A3" s="363" t="s">
        <v>214</v>
      </c>
      <c r="B3" s="363"/>
    </row>
    <row r="4" spans="1:2" ht="92.25" customHeight="1">
      <c r="A4" s="288" t="str">
        <f>"     Men, fuqaro "&amp;malumot!B5&amp;" "&amp;malumot!B155&amp;" bilan "&amp;malumot!B69&amp;" sanasidagi "&amp;malumot!B66&amp;"-sonli shartnomaning garov ta'minoti sifatida taqdim etilayotgan mulk "&amp;malumot!B131&amp;" rusumli avtotransport vositasini qonunga xilof ravishda o‘zlashtirmaslikka, yashirmaslikka, nobud qilmaslikka yoki unga shikast yetkazmaslik majburiyatini olaman."</f>
        <v xml:space="preserve">     Men, fuqaro NUTFULLAYEV AKBARJON AXMEDOVICH «CLEVER MIKROMOLIYA TASHKILOTI» MChJ bilan 11 mart 2025 y. sanasidagi № 23-AL-sonli shartnomaning garov ta'minoti sifatida taqdim etilayotgan mulk CHANGAN CHANGAN SC 1027SB rusumli avtotransport vositasini qonunga xilof ravishda o‘zlashtirmaslikka, yashirmaslikka, nobud qilmaslikka yoki unga shikast yetkazmaslik majburiyatini olaman.</v>
      </c>
      <c r="B4" s="288"/>
    </row>
    <row r="5" spans="1:2" ht="56.25" customHeight="1">
      <c r="A5" s="364" t="s">
        <v>215</v>
      </c>
      <c r="B5" s="364"/>
    </row>
    <row r="6" spans="1:2" ht="42.75" customHeight="1"/>
    <row r="7" spans="1:2">
      <c r="A7" s="15" t="str">
        <f>malumot!B5</f>
        <v>NUTFULLAYEV AKBARJON AXMEDOVICH</v>
      </c>
      <c r="B7" s="131" t="s">
        <v>216</v>
      </c>
    </row>
    <row r="8" spans="1:2" ht="26.25" customHeight="1"/>
    <row r="9" spans="1:2" ht="26.25" customHeight="1"/>
    <row r="10" spans="1:2" ht="26.25" customHeight="1"/>
    <row r="11" spans="1:2">
      <c r="A11" s="15" t="str">
        <f>"sana:   "&amp;TEXT(malumot!B2,"ДД.ММ.ГГГГ")&amp;" y."</f>
        <v>sana:   11.03.2025 y.</v>
      </c>
    </row>
  </sheetData>
  <mergeCells count="3">
    <mergeCell ref="A3:B3"/>
    <mergeCell ref="A4:B4"/>
    <mergeCell ref="A5:B5"/>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zoomScaleNormal="100" zoomScaleSheetLayoutView="100" workbookViewId="0">
      <selection activeCell="C5" sqref="C5:E5"/>
    </sheetView>
  </sheetViews>
  <sheetFormatPr defaultColWidth="9.140625" defaultRowHeight="15.75"/>
  <cols>
    <col min="1" max="2" width="17.42578125" style="118" customWidth="1"/>
    <col min="3" max="3" width="29.85546875" style="118" customWidth="1"/>
    <col min="4" max="4" width="18.140625" style="118" customWidth="1"/>
    <col min="5" max="5" width="6.5703125" style="118" customWidth="1"/>
    <col min="6" max="16384" width="9.140625" style="118"/>
  </cols>
  <sheetData>
    <row r="2" spans="1:5">
      <c r="A2" s="365" t="s">
        <v>237</v>
      </c>
      <c r="B2" s="365"/>
      <c r="C2" s="365"/>
      <c r="D2" s="365"/>
      <c r="E2" s="365"/>
    </row>
    <row r="3" spans="1:5">
      <c r="E3" s="117" t="str">
        <f>malumot!B68</f>
        <v>11 mart 2025 y.</v>
      </c>
    </row>
    <row r="5" spans="1:5" s="119" customFormat="1" ht="27" customHeight="1">
      <c r="A5" s="369" t="s">
        <v>238</v>
      </c>
      <c r="B5" s="370"/>
      <c r="C5" s="366" t="str">
        <f>malumot!B8</f>
        <v>NUTFULLAYEV AKBARJON AXMEDOVICH</v>
      </c>
      <c r="D5" s="367"/>
      <c r="E5" s="368"/>
    </row>
    <row r="7" spans="1:5" ht="15.75" customHeight="1">
      <c r="A7" s="371" t="s">
        <v>355</v>
      </c>
      <c r="B7" s="372"/>
      <c r="C7" s="373"/>
      <c r="D7" s="120" t="s">
        <v>133</v>
      </c>
      <c r="E7" s="120"/>
    </row>
    <row r="8" spans="1:5">
      <c r="A8" s="374"/>
      <c r="B8" s="375"/>
      <c r="C8" s="376"/>
      <c r="D8" s="120" t="s">
        <v>242</v>
      </c>
      <c r="E8" s="120"/>
    </row>
    <row r="9" spans="1:5" ht="15.75" customHeight="1">
      <c r="A9" s="377" t="s">
        <v>239</v>
      </c>
      <c r="B9" s="377"/>
      <c r="C9" s="377"/>
      <c r="D9" s="120" t="s">
        <v>133</v>
      </c>
      <c r="E9" s="120"/>
    </row>
    <row r="10" spans="1:5">
      <c r="A10" s="377"/>
      <c r="B10" s="377"/>
      <c r="C10" s="377"/>
      <c r="D10" s="120" t="s">
        <v>242</v>
      </c>
      <c r="E10" s="120"/>
    </row>
    <row r="11" spans="1:5" ht="15.75" customHeight="1">
      <c r="A11" s="377" t="s">
        <v>240</v>
      </c>
      <c r="B11" s="377"/>
      <c r="C11" s="377"/>
      <c r="D11" s="120" t="s">
        <v>133</v>
      </c>
      <c r="E11" s="120"/>
    </row>
    <row r="12" spans="1:5">
      <c r="A12" s="377"/>
      <c r="B12" s="377"/>
      <c r="C12" s="377"/>
      <c r="D12" s="120" t="s">
        <v>242</v>
      </c>
      <c r="E12" s="120"/>
    </row>
    <row r="13" spans="1:5" ht="34.5" customHeight="1">
      <c r="A13" s="378" t="s">
        <v>241</v>
      </c>
      <c r="B13" s="378"/>
      <c r="C13" s="378"/>
      <c r="D13" s="378"/>
      <c r="E13" s="378"/>
    </row>
    <row r="14" spans="1:5" ht="16.5" thickBot="1">
      <c r="A14" s="379"/>
      <c r="B14" s="379"/>
      <c r="C14" s="379"/>
      <c r="D14" s="379"/>
      <c r="E14" s="379"/>
    </row>
    <row r="15" spans="1:5" ht="16.5" thickBot="1">
      <c r="A15" s="379"/>
      <c r="B15" s="379"/>
      <c r="C15" s="379"/>
      <c r="D15" s="379"/>
      <c r="E15" s="379"/>
    </row>
    <row r="16" spans="1:5" ht="16.5" thickBot="1">
      <c r="A16" s="379"/>
      <c r="B16" s="379"/>
      <c r="C16" s="379"/>
      <c r="D16" s="379"/>
      <c r="E16" s="379"/>
    </row>
    <row r="18" spans="1:8" ht="18.75" customHeight="1">
      <c r="A18" s="377" t="s">
        <v>243</v>
      </c>
      <c r="B18" s="377"/>
      <c r="C18" s="377"/>
      <c r="D18" s="120" t="s">
        <v>133</v>
      </c>
      <c r="E18" s="120"/>
    </row>
    <row r="19" spans="1:8" ht="18.75" customHeight="1">
      <c r="A19" s="377"/>
      <c r="B19" s="377"/>
      <c r="C19" s="377"/>
      <c r="D19" s="120" t="s">
        <v>242</v>
      </c>
      <c r="E19" s="120"/>
    </row>
    <row r="20" spans="1:8" ht="29.25" customHeight="1">
      <c r="A20" s="377" t="s">
        <v>244</v>
      </c>
      <c r="B20" s="377"/>
      <c r="C20" s="377"/>
      <c r="D20" s="120" t="s">
        <v>133</v>
      </c>
      <c r="E20" s="120"/>
    </row>
    <row r="21" spans="1:8" ht="29.25" customHeight="1">
      <c r="A21" s="377"/>
      <c r="B21" s="377"/>
      <c r="C21" s="377"/>
      <c r="D21" s="120" t="s">
        <v>242</v>
      </c>
      <c r="E21" s="120"/>
    </row>
    <row r="23" spans="1:8" ht="15.75" customHeight="1">
      <c r="A23" s="378" t="s">
        <v>245</v>
      </c>
      <c r="B23" s="378"/>
      <c r="C23" s="378"/>
      <c r="D23" s="378"/>
      <c r="E23" s="378"/>
    </row>
    <row r="24" spans="1:8" ht="16.5" thickBot="1">
      <c r="A24" s="379"/>
      <c r="B24" s="379"/>
      <c r="C24" s="379"/>
      <c r="D24" s="379"/>
      <c r="E24" s="379"/>
    </row>
    <row r="25" spans="1:8" ht="16.5" thickBot="1">
      <c r="A25" s="379"/>
      <c r="B25" s="379"/>
      <c r="C25" s="379"/>
      <c r="D25" s="379"/>
      <c r="E25" s="379"/>
    </row>
    <row r="26" spans="1:8" ht="16.5" thickBot="1">
      <c r="A26" s="379"/>
      <c r="B26" s="379"/>
      <c r="C26" s="379"/>
      <c r="D26" s="379"/>
      <c r="E26" s="379"/>
    </row>
    <row r="28" spans="1:8" ht="78.75" customHeight="1">
      <c r="A28" s="380" t="s">
        <v>246</v>
      </c>
      <c r="B28" s="380"/>
      <c r="C28" s="380"/>
      <c r="D28" s="380"/>
      <c r="E28" s="380"/>
    </row>
    <row r="30" spans="1:8" ht="33" customHeight="1">
      <c r="A30" s="380" t="s">
        <v>247</v>
      </c>
      <c r="B30" s="380"/>
      <c r="C30" s="380"/>
      <c r="D30" s="380"/>
      <c r="E30" s="380"/>
      <c r="F30" s="121"/>
      <c r="G30" s="121"/>
      <c r="H30" s="121"/>
    </row>
    <row r="33" spans="1:5" ht="16.5" thickBot="1">
      <c r="A33" s="122" t="str">
        <f>C5</f>
        <v>NUTFULLAYEV AKBARJON AXMEDOVICH</v>
      </c>
      <c r="D33" s="123"/>
      <c r="E33" s="124"/>
    </row>
  </sheetData>
  <mergeCells count="18">
    <mergeCell ref="A28:E28"/>
    <mergeCell ref="A30:E30"/>
    <mergeCell ref="A18:C19"/>
    <mergeCell ref="A20:C21"/>
    <mergeCell ref="A23:E23"/>
    <mergeCell ref="A24:E24"/>
    <mergeCell ref="A25:E25"/>
    <mergeCell ref="A26:E26"/>
    <mergeCell ref="A11:C12"/>
    <mergeCell ref="A13:E13"/>
    <mergeCell ref="A16:E16"/>
    <mergeCell ref="A15:E15"/>
    <mergeCell ref="A14:E14"/>
    <mergeCell ref="A2:E2"/>
    <mergeCell ref="C5:E5"/>
    <mergeCell ref="A5:B5"/>
    <mergeCell ref="A7:C8"/>
    <mergeCell ref="A9:C10"/>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6">
    <tabColor rgb="FF00B050"/>
  </sheetPr>
  <dimension ref="A1:E77"/>
  <sheetViews>
    <sheetView view="pageBreakPreview" zoomScaleSheetLayoutView="100" workbookViewId="0">
      <selection activeCell="H22" sqref="H22"/>
    </sheetView>
  </sheetViews>
  <sheetFormatPr defaultColWidth="9.140625" defaultRowHeight="15.75"/>
  <cols>
    <col min="1" max="1" width="20.140625" style="6" customWidth="1"/>
    <col min="2" max="2" width="18.7109375" style="6" customWidth="1"/>
    <col min="3" max="3" width="19.7109375" style="6" customWidth="1"/>
    <col min="4" max="4" width="28.7109375" style="6" customWidth="1"/>
    <col min="5" max="16384" width="9.140625" style="6"/>
  </cols>
  <sheetData>
    <row r="1" spans="1:4" ht="66.75" customHeight="1">
      <c r="C1" s="382" t="str">
        <f>""&amp;malumot!B153&amp;"ning
"&amp;malumot!A156&amp;""</f>
        <v>«CLEVER MIKROMOLIYA TASHKILOTI» MChJning
Olmaliq filiali boshlig'i</v>
      </c>
      <c r="D1" s="382"/>
    </row>
    <row r="2" spans="1:4">
      <c r="C2" s="13"/>
      <c r="D2" s="14" t="str">
        <f>""&amp;malumot!B156&amp;"ga"</f>
        <v>V. Yerjanovga</v>
      </c>
    </row>
    <row r="4" spans="1:4">
      <c r="A4" s="275" t="str">
        <f>""&amp;malumot!C64&amp;" olish uchun Ariza"</f>
        <v>Mikroqarz olish uchun Ariza</v>
      </c>
      <c r="B4" s="275"/>
      <c r="C4" s="275"/>
      <c r="D4" s="275"/>
    </row>
    <row r="5" spans="1:4">
      <c r="A5" s="275"/>
      <c r="B5" s="275"/>
      <c r="C5" s="275"/>
      <c r="D5" s="275"/>
    </row>
    <row r="6" spans="1:4" ht="60" customHeight="1">
      <c r="A6" s="334" t="str">
        <f>""&amp;malumot!B28&amp;".-da yashovchi O‘zbekiston Respublikasi fuqarosi "&amp;malumot!B8&amp;"dan. "</f>
        <v xml:space="preserve">BUXORO VILOYATI BUXORO SHAHAR TADBIRKOR KO'CHASI 12-UY.-da yashovchi O‘zbekiston Respublikasi fuqarosi NUTFULLAYEV AKBARJON AXMEDOVICHdan. </v>
      </c>
      <c r="B6" s="334"/>
      <c r="C6" s="334"/>
      <c r="D6" s="334"/>
    </row>
    <row r="7" spans="1:4" ht="15.75" customHeight="1">
      <c r="A7" s="334" t="str">
        <f>"Tug'ilgan kuni: "&amp;malumot!B15&amp;""</f>
        <v>Tug'ilgan kuni: 14.09.1989 y</v>
      </c>
      <c r="B7" s="334"/>
      <c r="C7" s="334"/>
      <c r="D7" s="334"/>
    </row>
    <row r="8" spans="1:4" ht="33" customHeight="1">
      <c r="A8" s="334" t="str">
        <f>"Pasport seriyasi: "&amp;malumot!B16&amp;" "&amp;malumot!B20&amp;""</f>
        <v>Pasport seriyasi: AA 9481167 BUXORO VILOYATI BUXORO SHAHAR IIB tomonidan 24.04.2015 yilda berilgan</v>
      </c>
      <c r="B8" s="334"/>
      <c r="C8" s="334"/>
      <c r="D8" s="334"/>
    </row>
    <row r="9" spans="1:4" ht="16.5" customHeight="1">
      <c r="A9" s="334" t="str">
        <f>"Asosiy ish joyi : "&amp;malumot!B58&amp;""</f>
        <v>Asosiy ish joyi : Yakka tartibdagi tadbirkor</v>
      </c>
      <c r="B9" s="334"/>
      <c r="C9" s="334"/>
      <c r="D9" s="334"/>
    </row>
    <row r="10" spans="1:4" ht="15.75" customHeight="1">
      <c r="A10" s="334" t="str">
        <f>"Lavozimi: "&amp;malumot!B59&amp;""</f>
        <v>Lavozimi: Yakka tartibdagi tadbirkor</v>
      </c>
      <c r="B10" s="334"/>
      <c r="C10" s="334"/>
      <c r="D10" s="334"/>
    </row>
    <row r="11" spans="1:4">
      <c r="A11" s="334" t="str">
        <f>"O’rtacha oylik daromadi: "&amp;FIXED(malumot!B60,2)&amp;" so'm."</f>
        <v>O’rtacha oylik daromadi: 10 000 000,00 so'm.</v>
      </c>
      <c r="B11" s="334"/>
      <c r="C11" s="334"/>
      <c r="D11" s="334"/>
    </row>
    <row r="12" spans="1:4">
      <c r="A12" s="334" t="str">
        <f>"Menga quyidagi shartlarda "&amp;malumot!B65&amp;" berishingizni so’rayman:"</f>
        <v>Menga quyidagi shartlarda mikroqarz berishingizni so’rayman:</v>
      </c>
      <c r="B12" s="334"/>
      <c r="C12" s="334"/>
      <c r="D12" s="334"/>
    </row>
    <row r="13" spans="1:4">
      <c r="A13" s="334" t="str">
        <f>""&amp;malumot!C64&amp;" summasi: "&amp;FIXED(malumot!B75,2)&amp;" ("&amp;malumot!B76&amp;") so'm."</f>
        <v>Mikroqarz summasi: 27 000 000,00 (yigirma yetti million so'm) so'm.</v>
      </c>
      <c r="B13" s="334"/>
      <c r="C13" s="334"/>
      <c r="D13" s="334"/>
    </row>
    <row r="14" spans="1:4">
      <c r="A14" s="334" t="str">
        <f>""&amp;malumot!C64&amp;" muddati: "&amp;malumot!B81&amp;" ("&amp;malumot!B82&amp;") oy."</f>
        <v>Mikroqarz muddati: 36 (o'ttiz olti) oy.</v>
      </c>
      <c r="B14" s="334"/>
      <c r="C14" s="334"/>
      <c r="D14" s="334"/>
    </row>
    <row r="15" spans="1:4" ht="17.25" customHeight="1">
      <c r="A15" s="334" t="str">
        <f>""&amp;malumot!C64&amp;"dan foydalanganlik uchun foiz stavkasi: yillik  "&amp;malumot!B85&amp;"% ("&amp;malumot!B86&amp;") foiz"</f>
        <v>Mikroqarzdan foydalanganlik uchun foiz stavkasi: yillik  60% (Oltmish) foiz</v>
      </c>
      <c r="B15" s="334"/>
      <c r="C15" s="334"/>
      <c r="D15" s="334"/>
    </row>
    <row r="16" spans="1:4">
      <c r="A16" s="334" t="str">
        <f>""&amp;malumot!C64&amp;" bo'yicha asosiy qarz va foizlarni to'lash:"</f>
        <v>Mikroqarz bo'yicha asosiy qarz va foizlarni to'lash:</v>
      </c>
      <c r="B16" s="334"/>
      <c r="C16" s="334"/>
      <c r="D16" s="334"/>
    </row>
    <row r="17" spans="1:5" ht="20.25" hidden="1" customHeight="1">
      <c r="A17" s="381" t="str">
        <f>" - "&amp;malumot!B65&amp;" shartnomasi bo'yicha har oy differensial to'lovlari amalga oshiriladi"</f>
        <v xml:space="preserve"> - mikroqarz shartnomasi bo'yicha har oy differensial to'lovlari amalga oshiriladi</v>
      </c>
      <c r="B17" s="381"/>
      <c r="C17" s="381"/>
      <c r="D17" s="381"/>
    </row>
    <row r="18" spans="1:5" ht="33.75" hidden="1" customHeight="1">
      <c r="A18" s="381" t="str">
        <f>" - "&amp;malumot!B65&amp;" shartnomasi bo'yicha har oy annuitet to'lovlari amalga oshiriladi"</f>
        <v xml:space="preserve"> - mikroqarz shartnomasi bo'yicha har oy annuitet to'lovlari amalga oshiriladi</v>
      </c>
      <c r="B18" s="381"/>
      <c r="C18" s="381"/>
      <c r="D18" s="381"/>
    </row>
    <row r="19" spans="1:5" ht="33.75" customHeight="1">
      <c r="A19" s="381" t="str">
        <f>IF(malumot!B77=malumot!C77,'Кредитная заявка'!A17:D17,IF(malumot!B77=malumot!D77,'Кредитная заявка'!A18:D18))</f>
        <v xml:space="preserve"> - mikroqarz shartnomasi bo'yicha har oy differensial to'lovlari amalga oshiriladi</v>
      </c>
      <c r="B19" s="381"/>
      <c r="C19" s="381"/>
      <c r="D19" s="381"/>
    </row>
    <row r="20" spans="1:5" ht="33.75" hidden="1" customHeight="1">
      <c r="A20" s="334" t="str">
        <f>IF(DAY(malumot!E67)&lt;15,"   ","  Oxirgi yakuniy to'lov "&amp;malumot!B65&amp;" shartnomasi tuzilgan kundan boshlab oxirgi oyning oxirgi kunida amalga oshiriladi")</f>
        <v xml:space="preserve">   </v>
      </c>
      <c r="B20" s="334"/>
      <c r="C20" s="334"/>
      <c r="D20" s="334"/>
    </row>
    <row r="21" spans="1:5">
      <c r="A21" s="334" t="str">
        <f>""&amp;malumot!C64&amp;" ta’minoti::"</f>
        <v>Mikroqarz ta’minoti::</v>
      </c>
      <c r="B21" s="334"/>
      <c r="C21" s="334"/>
      <c r="D21" s="334"/>
    </row>
    <row r="22" spans="1:5" ht="72.75" customHeight="1">
      <c r="A22" s="381" t="str">
        <f>IF(malumot!B109="Avtotransport",A26,A23)</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2" s="381"/>
      <c r="C22" s="381"/>
      <c r="D22" s="381"/>
    </row>
    <row r="23" spans="1:5" ht="79.5" hidden="1" customHeight="1">
      <c r="A23" s="381" t="str">
        <f>IF(malumot!B98=malumot!C98,A25,IF(malumot!B98=malumot!D98,A24,0))</f>
        <v xml:space="preserve"> Egalik huquqi NUTFULLAYEV AKBARJON AXMEDOVICHga tegishli bo'lgan umumiy maydoni - 72,13  va yashash maydoni - 37,39 3 - xonali yakka tartibdagi uy-joy, SAMARQAND VILOYATI TAYLOQ TUMANI CHAROG'BON MFY YANGI TAYLOQ QISHLOG'I 6 TURAR JOY 12 QAVAT 58 XONADON </v>
      </c>
      <c r="B23" s="381"/>
      <c r="C23" s="381"/>
      <c r="D23" s="381"/>
    </row>
    <row r="24" spans="1:5" ht="96.75" hidden="1" customHeight="1">
      <c r="A24" s="381" t="str">
        <f>" - Navbatdagi garov (ipoteka) Egalik huquqi asosida  "&amp;malumot!C123&amp;"ga "&amp;malumot!C132&amp;", umumiy maydoni - "&amp;malumot!C136&amp;" va yashash maydoni - "&amp;malumot!C139&amp;", manzili: "&amp;malumot!C129&amp;"."</f>
        <v xml:space="preserve"> - Navbatdagi garov (ipoteka) Egalik huquqi asosida  NUTFULLAYEV AKBARJON AXMEDOVICHga 3 - xonali yakka tartibdagi uy-joy, umumiy maydoni - 72,13 va yashash maydoni - 37,39, manzili: SAMARQAND VILOYATI TAYLOQ TUMANI CHAROG'BON MFY YANGI TAYLOQ QISHLOG'I 6 TURAR JOY 12 QAVAT 58 XONADON.</v>
      </c>
      <c r="B24" s="381"/>
      <c r="C24" s="381"/>
      <c r="D24" s="381"/>
      <c r="E24" s="149"/>
    </row>
    <row r="25" spans="1:5" ht="92.25" hidden="1" customHeight="1">
      <c r="A25" s="381" t="str">
        <f>" Egalik huquqi "&amp;malumot!C123&amp;"ga tegishli bo'lgan umumiy maydoni - "&amp;malumot!C136&amp;"  va yashash maydoni - "&amp;malumot!C139&amp;" "&amp;malumot!C132&amp;", "&amp;malumot!C129&amp;" "</f>
        <v xml:space="preserve"> Egalik huquqi NUTFULLAYEV AKBARJON AXMEDOVICHga tegishli bo'lgan umumiy maydoni - 72,13  va yashash maydoni - 37,39 3 - xonali yakka tartibdagi uy-joy, SAMARQAND VILOYATI TAYLOQ TUMANI CHAROG'BON MFY YANGI TAYLOQ QISHLOG'I 6 TURAR JOY 12 QAVAT 58 XONADON </v>
      </c>
      <c r="B25" s="381"/>
      <c r="C25" s="381"/>
      <c r="D25" s="381"/>
    </row>
    <row r="26" spans="1:5" ht="78" hidden="1" customHeight="1">
      <c r="A26" s="381" t="str">
        <f>IF(malumot!B98=malumot!C98,'Кредитная заявка'!A28:D28,IF(malumot!B98=malumot!D98,'Кредитная заявка'!A27:D27,0))</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6" s="381"/>
      <c r="C26" s="381"/>
      <c r="D26" s="381"/>
    </row>
    <row r="27" spans="1:5" ht="93" hidden="1" customHeight="1">
      <c r="A27" s="381" t="str">
        <f>" Egalik huquqi "&amp;malumot!B123&amp;"ga tegishli bo'lgan "&amp;malumot!B131&amp;", "&amp;malumot!B139&amp;", davlat raqam belgisi "&amp;malumot!B132&amp;", "&amp;malumot!B133&amp;", "&amp;malumot!B136&amp;" avtotransport vositasi "</f>
        <v xml:space="preserve"> Egalik huquqi NUTFULLAYEV AKBARJON AXMEDOVICHga tegishli bo'lgan CHANGAN CHANGAN SC 1027SB, rangi -  OQ BELIY, ishlab chiqarilgan yili - 2014, davlat raqam belgisi 80T312WA, kuzov turi - YUK BORTLI TENT, kuzov raqami LSCAB23D8EG228387, dvigatel raqami JL466Q1%E61H022801, shassi raqami - URINDIKLAR SONI 5TA avtotransport vositasi </v>
      </c>
      <c r="B27" s="381"/>
      <c r="C27" s="381"/>
      <c r="D27" s="381"/>
    </row>
    <row r="28" spans="1:5" ht="93.75" hidden="1" customHeight="1">
      <c r="A28" s="381" t="str">
        <f>"  Egalik huquqi "&amp;malumot!B123&amp;"ga tegishli bo'lgan garovga olingan avtomobil markasi   "&amp;malumot!B131&amp;", "&amp;malumot!B139&amp;", davlat raqam belgisi "&amp;malumot!B132&amp;", "&amp;malumot!B133&amp;", "&amp;malumot!B136&amp;""</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8" s="381"/>
      <c r="C28" s="381"/>
      <c r="D28" s="381"/>
    </row>
    <row r="29" spans="1:5" ht="10.5" customHeight="1">
      <c r="A29" s="334"/>
      <c r="B29" s="334"/>
      <c r="C29" s="334"/>
      <c r="D29" s="334"/>
    </row>
    <row r="30" spans="1:5" ht="53.25" customHeight="1">
      <c r="A30" s="381" t="str">
        <f>"Mazkur ariza bilan "&amp;malumot!B153&amp;"ga men va soʻralayotgan "&amp;malumot!B65&amp;"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0" s="381"/>
      <c r="C30" s="381"/>
      <c r="D30" s="381"/>
    </row>
    <row r="31" spans="1:5" ht="15.75" customHeight="1">
      <c r="A31" s="381" t="s">
        <v>248</v>
      </c>
      <c r="B31" s="381"/>
      <c r="C31" s="381"/>
      <c r="D31" s="381"/>
    </row>
    <row r="32" spans="1:5">
      <c r="A32" s="381" t="s">
        <v>249</v>
      </c>
      <c r="B32" s="381"/>
      <c r="C32" s="381"/>
      <c r="D32" s="381"/>
    </row>
    <row r="33" spans="1:4">
      <c r="A33" s="381" t="s">
        <v>250</v>
      </c>
      <c r="B33" s="381"/>
      <c r="C33" s="381"/>
      <c r="D33" s="381"/>
    </row>
    <row r="34" spans="1:4">
      <c r="A34" s="334" t="str">
        <f>"Ariza berilgan sana: "&amp;TEXT(malumot!B2,"ДД.ММ.ГГГГ")&amp;"y."</f>
        <v>Ariza berilgan sana: 11.03.2025y.</v>
      </c>
      <c r="B34" s="334"/>
      <c r="C34" s="334"/>
      <c r="D34" s="334"/>
    </row>
    <row r="35" spans="1:4">
      <c r="A35" s="334"/>
      <c r="B35" s="334"/>
      <c r="C35" s="334"/>
      <c r="D35" s="334"/>
    </row>
    <row r="36" spans="1:4">
      <c r="A36" s="334" t="s">
        <v>251</v>
      </c>
      <c r="B36" s="334"/>
      <c r="C36" s="334"/>
      <c r="D36" s="334"/>
    </row>
    <row r="37" spans="1:4">
      <c r="A37" s="334"/>
      <c r="B37" s="334"/>
      <c r="C37" s="334"/>
      <c r="D37" s="334"/>
    </row>
    <row r="38" spans="1:4">
      <c r="A38" s="334"/>
      <c r="B38" s="334"/>
      <c r="C38" s="334"/>
      <c r="D38" s="334"/>
    </row>
    <row r="39" spans="1:4" ht="15.75" customHeight="1">
      <c r="A39" s="335" t="str">
        <f>malumot!B5</f>
        <v>NUTFULLAYEV AKBARJON AXMEDOVICH</v>
      </c>
      <c r="B39" s="335"/>
      <c r="C39" s="335"/>
      <c r="D39" s="11" t="s">
        <v>4</v>
      </c>
    </row>
    <row r="40" spans="1:4">
      <c r="A40" s="10"/>
      <c r="B40" s="10"/>
      <c r="D40" s="12" t="s">
        <v>330</v>
      </c>
    </row>
    <row r="41" spans="1:4">
      <c r="A41" s="334"/>
      <c r="B41" s="334"/>
      <c r="C41" s="334"/>
      <c r="D41" s="334"/>
    </row>
    <row r="42" spans="1:4">
      <c r="A42" s="334"/>
      <c r="B42" s="334"/>
      <c r="C42" s="334"/>
      <c r="D42" s="334"/>
    </row>
    <row r="43" spans="1:4">
      <c r="A43" s="334"/>
      <c r="B43" s="334"/>
      <c r="C43" s="334"/>
      <c r="D43" s="334"/>
    </row>
    <row r="44" spans="1:4">
      <c r="A44" s="334"/>
      <c r="B44" s="334"/>
      <c r="C44" s="334"/>
      <c r="D44" s="334"/>
    </row>
    <row r="45" spans="1:4">
      <c r="A45" s="334"/>
      <c r="B45" s="334"/>
      <c r="C45" s="334"/>
      <c r="D45" s="334"/>
    </row>
    <row r="46" spans="1:4">
      <c r="A46" s="334"/>
      <c r="B46" s="334"/>
      <c r="C46" s="334"/>
      <c r="D46" s="334"/>
    </row>
    <row r="47" spans="1:4">
      <c r="A47" s="334"/>
      <c r="B47" s="334"/>
      <c r="C47" s="334"/>
      <c r="D47" s="334"/>
    </row>
    <row r="48" spans="1:4">
      <c r="A48" s="334"/>
      <c r="B48" s="334"/>
      <c r="C48" s="334"/>
      <c r="D48" s="334"/>
    </row>
    <row r="49" spans="1:4">
      <c r="A49" s="334"/>
      <c r="B49" s="334"/>
      <c r="C49" s="334"/>
      <c r="D49" s="334"/>
    </row>
    <row r="50" spans="1:4">
      <c r="A50" s="334"/>
      <c r="B50" s="334"/>
      <c r="C50" s="334"/>
      <c r="D50" s="334"/>
    </row>
    <row r="51" spans="1:4">
      <c r="A51" s="334"/>
      <c r="B51" s="334"/>
      <c r="C51" s="334"/>
      <c r="D51" s="334"/>
    </row>
    <row r="52" spans="1:4">
      <c r="A52" s="334"/>
      <c r="B52" s="334"/>
      <c r="C52" s="334"/>
      <c r="D52" s="334"/>
    </row>
    <row r="53" spans="1:4">
      <c r="A53" s="334"/>
      <c r="B53" s="334"/>
      <c r="C53" s="334"/>
      <c r="D53" s="334"/>
    </row>
    <row r="54" spans="1:4">
      <c r="A54" s="334"/>
      <c r="B54" s="334"/>
      <c r="C54" s="334"/>
      <c r="D54" s="334"/>
    </row>
    <row r="55" spans="1:4">
      <c r="A55" s="334"/>
      <c r="B55" s="334"/>
      <c r="C55" s="334"/>
      <c r="D55" s="334"/>
    </row>
    <row r="56" spans="1:4">
      <c r="A56" s="334"/>
      <c r="B56" s="334"/>
      <c r="C56" s="334"/>
      <c r="D56" s="334"/>
    </row>
    <row r="57" spans="1:4">
      <c r="A57" s="334"/>
      <c r="B57" s="334"/>
      <c r="C57" s="334"/>
      <c r="D57" s="334"/>
    </row>
    <row r="58" spans="1:4">
      <c r="A58" s="334"/>
      <c r="B58" s="334"/>
      <c r="C58" s="334"/>
      <c r="D58" s="334"/>
    </row>
    <row r="59" spans="1:4">
      <c r="A59" s="334"/>
      <c r="B59" s="334"/>
      <c r="C59" s="334"/>
      <c r="D59" s="334"/>
    </row>
    <row r="60" spans="1:4">
      <c r="A60" s="334"/>
      <c r="B60" s="334"/>
      <c r="C60" s="334"/>
      <c r="D60" s="334"/>
    </row>
    <row r="61" spans="1:4">
      <c r="A61" s="334"/>
      <c r="B61" s="334"/>
      <c r="C61" s="334"/>
      <c r="D61" s="334"/>
    </row>
    <row r="62" spans="1:4">
      <c r="A62" s="334"/>
      <c r="B62" s="334"/>
      <c r="C62" s="334"/>
      <c r="D62" s="334"/>
    </row>
    <row r="63" spans="1:4">
      <c r="A63" s="334"/>
      <c r="B63" s="334"/>
      <c r="C63" s="334"/>
      <c r="D63" s="334"/>
    </row>
    <row r="64" spans="1:4">
      <c r="A64" s="334"/>
      <c r="B64" s="334"/>
      <c r="C64" s="334"/>
      <c r="D64" s="334"/>
    </row>
    <row r="65" spans="1:4">
      <c r="A65" s="334"/>
      <c r="B65" s="334"/>
      <c r="C65" s="334"/>
      <c r="D65" s="334"/>
    </row>
    <row r="66" spans="1:4">
      <c r="A66" s="334"/>
      <c r="B66" s="334"/>
      <c r="C66" s="334"/>
      <c r="D66" s="334"/>
    </row>
    <row r="67" spans="1:4">
      <c r="A67" s="334"/>
      <c r="B67" s="334"/>
      <c r="C67" s="334"/>
      <c r="D67" s="334"/>
    </row>
    <row r="68" spans="1:4">
      <c r="A68" s="334"/>
      <c r="B68" s="334"/>
      <c r="C68" s="334"/>
      <c r="D68" s="334"/>
    </row>
    <row r="69" spans="1:4">
      <c r="A69" s="334"/>
      <c r="B69" s="334"/>
      <c r="C69" s="334"/>
      <c r="D69" s="334"/>
    </row>
    <row r="70" spans="1:4">
      <c r="A70" s="334"/>
      <c r="B70" s="334"/>
      <c r="C70" s="334"/>
      <c r="D70" s="334"/>
    </row>
    <row r="71" spans="1:4">
      <c r="A71" s="334"/>
      <c r="B71" s="334"/>
      <c r="C71" s="334"/>
      <c r="D71" s="334"/>
    </row>
    <row r="72" spans="1:4">
      <c r="A72" s="334"/>
      <c r="B72" s="334"/>
      <c r="C72" s="334"/>
      <c r="D72" s="334"/>
    </row>
    <row r="73" spans="1:4">
      <c r="A73" s="334"/>
      <c r="B73" s="334"/>
      <c r="C73" s="334"/>
      <c r="D73" s="334"/>
    </row>
    <row r="74" spans="1:4">
      <c r="A74" s="334"/>
      <c r="B74" s="334"/>
      <c r="C74" s="334"/>
      <c r="D74" s="334"/>
    </row>
    <row r="75" spans="1:4">
      <c r="A75" s="334"/>
      <c r="B75" s="334"/>
      <c r="C75" s="334"/>
      <c r="D75" s="334"/>
    </row>
    <row r="76" spans="1:4">
      <c r="A76" s="334"/>
      <c r="B76" s="334"/>
      <c r="C76" s="334"/>
      <c r="D76" s="334"/>
    </row>
    <row r="77" spans="1:4">
      <c r="A77" s="334"/>
      <c r="B77" s="334"/>
      <c r="C77" s="334"/>
      <c r="D77" s="334"/>
    </row>
  </sheetData>
  <mergeCells count="74">
    <mergeCell ref="A4:D4"/>
    <mergeCell ref="A5:D5"/>
    <mergeCell ref="C1:D1"/>
    <mergeCell ref="A6:D6"/>
    <mergeCell ref="A7:D7"/>
    <mergeCell ref="A8:D8"/>
    <mergeCell ref="A9:D9"/>
    <mergeCell ref="A10:D10"/>
    <mergeCell ref="A11:D11"/>
    <mergeCell ref="A12:D12"/>
    <mergeCell ref="A18:D18"/>
    <mergeCell ref="A19:D19"/>
    <mergeCell ref="A26:D26"/>
    <mergeCell ref="A27:D27"/>
    <mergeCell ref="A24:D24"/>
    <mergeCell ref="A23:D23"/>
    <mergeCell ref="A20:D20"/>
    <mergeCell ref="A21:D21"/>
    <mergeCell ref="A22:D22"/>
    <mergeCell ref="A25:D25"/>
    <mergeCell ref="A13:D13"/>
    <mergeCell ref="A14:D14"/>
    <mergeCell ref="A15:D15"/>
    <mergeCell ref="A16:D16"/>
    <mergeCell ref="A17:D17"/>
    <mergeCell ref="A30:D30"/>
    <mergeCell ref="A31:D31"/>
    <mergeCell ref="A32:D32"/>
    <mergeCell ref="A33:D33"/>
    <mergeCell ref="A28:D28"/>
    <mergeCell ref="A29:D29"/>
    <mergeCell ref="A34:D34"/>
    <mergeCell ref="A41:D41"/>
    <mergeCell ref="A42:D42"/>
    <mergeCell ref="A43:D43"/>
    <mergeCell ref="A44:D44"/>
    <mergeCell ref="A35:D35"/>
    <mergeCell ref="A36:D36"/>
    <mergeCell ref="A37:D37"/>
    <mergeCell ref="A38:D38"/>
    <mergeCell ref="A45:D45"/>
    <mergeCell ref="A46:D46"/>
    <mergeCell ref="A47:D47"/>
    <mergeCell ref="A48:D48"/>
    <mergeCell ref="A49:D49"/>
    <mergeCell ref="A50:D50"/>
    <mergeCell ref="A51:D51"/>
    <mergeCell ref="A52:D52"/>
    <mergeCell ref="A53:D53"/>
    <mergeCell ref="A54:D54"/>
    <mergeCell ref="A62:D62"/>
    <mergeCell ref="A63:D63"/>
    <mergeCell ref="A64:D64"/>
    <mergeCell ref="A55:D55"/>
    <mergeCell ref="A56:D56"/>
    <mergeCell ref="A57:D57"/>
    <mergeCell ref="A58:D58"/>
    <mergeCell ref="A59:D59"/>
    <mergeCell ref="A75:D75"/>
    <mergeCell ref="A76:D76"/>
    <mergeCell ref="A77:D77"/>
    <mergeCell ref="A39:C39"/>
    <mergeCell ref="A70:D70"/>
    <mergeCell ref="A71:D71"/>
    <mergeCell ref="A72:D72"/>
    <mergeCell ref="A73:D73"/>
    <mergeCell ref="A74:D74"/>
    <mergeCell ref="A65:D65"/>
    <mergeCell ref="A66:D66"/>
    <mergeCell ref="A67:D67"/>
    <mergeCell ref="A68:D68"/>
    <mergeCell ref="A69:D69"/>
    <mergeCell ref="A60:D60"/>
    <mergeCell ref="A61:D61"/>
  </mergeCells>
  <pageMargins left="0.7" right="0.7" top="0.75" bottom="0.75" header="0.3" footer="0.3"/>
  <pageSetup paperSize="9" scale="8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8">
    <tabColor rgb="FF00B050"/>
  </sheetPr>
  <dimension ref="A5:B28"/>
  <sheetViews>
    <sheetView view="pageBreakPreview" topLeftCell="A5" zoomScaleNormal="100" zoomScaleSheetLayoutView="100" workbookViewId="0">
      <selection activeCell="A13" sqref="A13:B13"/>
    </sheetView>
  </sheetViews>
  <sheetFormatPr defaultColWidth="0" defaultRowHeight="15.75" zeroHeight="1"/>
  <cols>
    <col min="1" max="1" width="33" style="6" customWidth="1"/>
    <col min="2" max="2" width="53.42578125" style="6" customWidth="1"/>
    <col min="3" max="16384" width="9.140625" style="6" hidden="1"/>
  </cols>
  <sheetData>
    <row r="5" spans="1:2"/>
    <row r="6" spans="1:2" ht="17.25" customHeight="1">
      <c r="B6" s="14" t="str">
        <f>malumot!B154</f>
        <v>«CLEVER MIKROMOLIYA TASHKILOTI» MChJ</v>
      </c>
    </row>
    <row r="7" spans="1:2" ht="33" customHeight="1">
      <c r="A7" s="168"/>
      <c r="B7" s="159" t="str">
        <f>""&amp;malumot!A156&amp;" "&amp;malumot!B156&amp;"ga"</f>
        <v>Olmaliq filiali boshlig'i V. Yerjanovga</v>
      </c>
    </row>
    <row r="8" spans="1:2">
      <c r="A8" s="150"/>
      <c r="B8" s="159" t="str">
        <f>""&amp;malumot!B117&amp;"dan"</f>
        <v>NUTFULLAYEV AKBARJON AXMEDOVICHdan</v>
      </c>
    </row>
    <row r="9" spans="1:2" ht="15.75" hidden="1" customHeight="1">
      <c r="B9" s="7" t="str">
        <f>malumot!B117</f>
        <v>NUTFULLAYEV AKBARJON AXMEDOVICH</v>
      </c>
    </row>
    <row r="10" spans="1:2" ht="15.75" hidden="1" customHeight="1">
      <c r="B10" s="7" t="str">
        <f>malumot!C117</f>
        <v>NUTFULLAYEV AKBARJON AXMEDOVICH</v>
      </c>
    </row>
    <row r="11" spans="1:2" ht="15.75" hidden="1" customHeight="1">
      <c r="B11" s="150" t="s">
        <v>273</v>
      </c>
    </row>
    <row r="12" spans="1:2"/>
    <row r="13" spans="1:2" ht="115.5" customHeight="1">
      <c r="A13" s="381" t="str">
        <f>IF(malumot!B109="Avtotransport",A14,A15)</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3" s="381"/>
    </row>
    <row r="14" spans="1:2" ht="124.5" hidden="1" customHeight="1">
      <c r="A14" s="381" t="str">
        <f>""&amp;malumot!B12&amp;" tomonidan so’ralayotgan "&amp;malumot!B81&amp;" ("&amp;malumot!B82&amp;") oy muddatga, "&amp;FIXED(malumot!B75,0)&amp;" ("&amp;malumot!B76&amp;") miqdoridagi "&amp;malumot!B65&amp;"ning ta’minoti sifatida menga mulk huquqi asosida tegishli bo’lgan  "&amp;malumot!B131&amp;", "&amp;malumot!B133&amp;", "&amp;malumot!B136&amp;", "&amp;malumot!B139&amp;", avtotransport vositasini qabul qilishingizni so’rayman:"</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4" s="381"/>
    </row>
    <row r="15" spans="1:2" ht="116.25" hidden="1" customHeight="1">
      <c r="A15" s="381" t="str">
        <f>""&amp;malumot!B12&amp;" tomonidan so’ralayotgan "&amp;malumot!B81&amp;" ("&amp;malumot!B82&amp;") oy muddatga, "&amp;FIXED(malumot!B75,0)&amp;" ("&amp;malumot!B76&amp;") miqdoridagi "&amp;malumot!B65&amp;"ning ta’minoti sifatida menga mulk huquqi asosida tegishli bo’lgan  "&amp;malumot!C132&amp;", umumiy maydoni "&amp;malumot!C136&amp;" va yashash maydoni "&amp;malumot!C139&amp;"  "&amp;malumot!C129&amp;" manzilda joylashgan ko'chmas mulkni qabul qilishingizni so’rayman:"</f>
        <v>NUTFULLAYEV AKBARJON AXMEDOVICH tomonidan so’ralayotgan 36 (o'ttiz olti) oy muddatga, 27 000 000 (yigirma yetti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381"/>
    </row>
    <row r="16" spans="1:2"/>
    <row r="17" spans="1:2"/>
    <row r="18" spans="1:2">
      <c r="B18" s="7" t="s">
        <v>272</v>
      </c>
    </row>
    <row r="19" spans="1:2" ht="18.75" customHeight="1">
      <c r="A19" s="6" t="str">
        <f>IF(malumot!B100=malumot!C100,malumot!B118,malumot!B7)</f>
        <v>A.A.NUTFULLAYEV</v>
      </c>
      <c r="B19" s="56" t="str">
        <f>malumot!B2</f>
        <v>11.03.2025</v>
      </c>
    </row>
    <row r="20" spans="1:2" ht="71.25" customHeight="1">
      <c r="A20" s="339" t="str">
        <f>IF(malumot!B100=malumot!D100,CONCATENATE(A24," ",A28,A22),"")</f>
        <v/>
      </c>
      <c r="B20" s="339"/>
    </row>
    <row r="21" spans="1:2">
      <c r="A21" s="6" t="s">
        <v>27</v>
      </c>
    </row>
    <row r="22" spans="1:2" hidden="1">
      <c r="A22" s="6" t="str">
        <f>" xususiy faoliyat ko'rsatuvchi notarius tomonidan "&amp;malumot!B104&amp;" "&amp;malumot!B105&amp;" berilgan ishonchnomaga asosan "</f>
        <v xml:space="preserve"> xususiy faoliyat ko'rsatuvchi notarius tomonidan   berilgan ishonchnomaga asosan </v>
      </c>
    </row>
    <row r="24" spans="1:2" hidden="1">
      <c r="A24" s="6" t="str">
        <f>"№"&amp;malumot!B106&amp; ""</f>
        <v>№</v>
      </c>
    </row>
    <row r="25" spans="1:2" hidden="1">
      <c r="A25" s="6" t="str">
        <f>malumot!B108</f>
        <v>00.01.1900</v>
      </c>
    </row>
    <row r="26" spans="1:2" hidden="1">
      <c r="A26" s="6" t="str">
        <f>TEXT(A25,"ДД.ММ.ГГГГ")</f>
        <v>00.01.1900</v>
      </c>
    </row>
    <row r="27" spans="1:2" hidden="1">
      <c r="A27" s="6" t="s">
        <v>384</v>
      </c>
    </row>
    <row r="28" spans="1:2" hidden="1">
      <c r="A28" s="6" t="str">
        <f>CONCATENATE(A26,A27)</f>
        <v>00.01.1900 sanasidan</v>
      </c>
    </row>
  </sheetData>
  <mergeCells count="4">
    <mergeCell ref="A13:B13"/>
    <mergeCell ref="A14:B14"/>
    <mergeCell ref="A15:B15"/>
    <mergeCell ref="A20:B20"/>
  </mergeCells>
  <pageMargins left="0.7" right="0.7" top="0.75" bottom="0.75" header="0.3" footer="0.3"/>
  <pageSetup paperSize="9" orientation="portrait"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cols>
    <col min="1" max="1" width="33.85546875" style="15" customWidth="1"/>
    <col min="2" max="2" width="21.28515625" style="15" customWidth="1"/>
    <col min="3" max="3" width="19.140625" style="15" customWidth="1"/>
    <col min="4" max="5" width="21.28515625" style="15" customWidth="1"/>
    <col min="6" max="16384" width="9.140625" style="15"/>
  </cols>
  <sheetData>
    <row r="2" spans="1:5">
      <c r="A2" s="104" t="s">
        <v>49</v>
      </c>
    </row>
    <row r="3" spans="1:5">
      <c r="A3" s="104" t="s">
        <v>50</v>
      </c>
    </row>
    <row r="6" spans="1:5" ht="20.25" customHeight="1">
      <c r="E6" s="105" t="s">
        <v>36</v>
      </c>
    </row>
    <row r="7" spans="1:5">
      <c r="E7" s="105" t="s">
        <v>51</v>
      </c>
    </row>
    <row r="9" spans="1:5" ht="107.25" customHeight="1">
      <c r="A9" s="384" t="str">
        <f>"          Между ООО «Clever Mikrokredit Tashkiloti» и "&amp;malumot!B5&amp;"  (паспорт: "&amp;malumot!B16&amp;" "&amp;malumot!B20&amp;") заключен договор микрозайма "&amp;malumot!B74&amp;", на сумму "&amp;FIXED(malumot!B75)&amp;" ("&amp;malumot!B76&amp;") сум, сроком на "&amp;malumot!B81&amp;" ("&amp;malumot!B82&amp;") месяцев. В качестве своевременного исполнения обязательств по договору Микрозайма "&amp;malumot!B74&amp;" планирует предоставить нижеследующее "&amp;IF(malumot!B109=malumot!C109,"автотранспортного средство марки "&amp;malumot!B131&amp;" принадлежащее на правах собственности "&amp;malumot!B123&amp;"","недвижимого имущества в виде "&amp;malumot!C132&amp;", общей площадью - "&amp;malumot!C136&amp;" и жилой площадью - "&amp;malumot!C139&amp;", расположенного по адресу: "&amp;malumot!C129&amp;", принадлежащее на правах собственности "&amp;malumot!C123&amp;".")</f>
        <v xml:space="preserve">          Между ООО «Clever Mikrokredit Tashkiloti» и NUTFULLAYEV AKBARJON AXMEDOVICH  (паспорт: AA 9481167 BUXORO VILOYATI BUXORO SHAHAR IIB tomonidan 24.04.2015 yilda berilgan) заключен договор микрозайма 11 mart 2025 y.dan № 23-AL, на сумму 27 000 000,00 (yigirma yetti million so'm) сум, сроком на 36 (o'ttiz olti) месяцев. В качестве своевременного исполнения обязательств по договору Микрозайма 11 mart 2025 y.dan № 23-AL планирует предоставить нижеследующее автотранспортного средство марки CHANGAN CHANGAN SC 1027SB принадлежащее на правах собственности NUTFULLAYEV AKBARJON AXMEDOVICH</v>
      </c>
      <c r="B9" s="384"/>
      <c r="C9" s="384"/>
      <c r="D9" s="384"/>
      <c r="E9" s="384"/>
    </row>
    <row r="11" spans="1:5" ht="28.5">
      <c r="A11" s="39" t="str">
        <f>buyruq!A19</f>
        <v>Nomi</v>
      </c>
      <c r="B11" s="39" t="str">
        <f>buyruq!B19</f>
        <v>Kuzov turi  va kuzov raqami*</v>
      </c>
      <c r="C11" s="39" t="str">
        <f>buyruq!C19</f>
        <v>Dvigatel va shassi raqami*</v>
      </c>
      <c r="D11" s="39" t="str">
        <f>buyruq!D19</f>
        <v>Ishlab chiqarilgan yili va rangi*</v>
      </c>
      <c r="E11" s="39" t="str">
        <f>buyruq!E19</f>
        <v>Kelishilgan garov qiymati, so'm</v>
      </c>
    </row>
    <row r="12" spans="1:5" ht="73.5" customHeight="1">
      <c r="A12" s="39" t="str">
        <f>buyruq!A20</f>
        <v>CHANGAN CHANGAN SC 1027SB</v>
      </c>
      <c r="B12" s="39" t="str">
        <f>buyruq!B20</f>
        <v>kuzov turi - YUK BORTLI TENT, kuzov raqami LSCAB23D8EG228387</v>
      </c>
      <c r="C12" s="39" t="str">
        <f>buyruq!C20</f>
        <v>dvigatel raqami JL466Q1%E61H022801, shassi raqami - URINDIKLAR SONI 5TA</v>
      </c>
      <c r="D12" s="39" t="str">
        <f>buyruq!D20</f>
        <v>rangi -  OQ BELIY, ishlab chiqarilgan yili - 2014</v>
      </c>
      <c r="E12" s="39" t="str">
        <f>buyruq!E20</f>
        <v>40 500 000,00 
(qirq million besh yuz ming so'm)</v>
      </c>
    </row>
    <row r="13" spans="1:5">
      <c r="A13" s="385" t="str">
        <f>buyruq!A21:E21</f>
        <v>-* avtotransport egasi: NUTFULLAYEV AKBARJON AXMEDOVICH</v>
      </c>
      <c r="B13" s="385"/>
      <c r="C13" s="385"/>
      <c r="D13" s="385"/>
      <c r="E13" s="385"/>
    </row>
    <row r="14" spans="1:5">
      <c r="A14" s="385" t="str">
        <f>buyruq!A22:E22</f>
        <v>-* texnik pasport: AAG   2346592  13.09.2023y</v>
      </c>
      <c r="B14" s="385"/>
      <c r="C14" s="385"/>
      <c r="D14" s="385"/>
      <c r="E14" s="385"/>
    </row>
    <row r="15" spans="1:5">
      <c r="A15" s="385" t="str">
        <f>buyruq!A23:E23</f>
        <v>-* roʻyxatdan oʻtgan manzili/garaj manzili: BUXORO VILOYATI BUXORO SHAHAR TADBIRKOR KO'CHASI 12-UY</v>
      </c>
      <c r="B15" s="385"/>
      <c r="C15" s="385"/>
      <c r="D15" s="385"/>
      <c r="E15" s="385"/>
    </row>
    <row r="16" spans="1:5">
      <c r="A16" s="385" t="str">
        <f>buyruq!A24:E24</f>
        <v>-* davlat raqami: 80T312WA</v>
      </c>
      <c r="B16" s="385"/>
      <c r="C16" s="385"/>
      <c r="D16" s="385"/>
      <c r="E16" s="385"/>
    </row>
    <row r="17" spans="1:5" ht="3" customHeight="1"/>
    <row r="19" spans="1:5" ht="59.25" hidden="1" customHeight="1">
      <c r="A19" s="39" t="str">
        <f>dalolatnoma!A32</f>
        <v>Наименование</v>
      </c>
      <c r="B19" s="39" t="str">
        <f>dalolatnoma!B32</f>
        <v>Полезная площадь</v>
      </c>
      <c r="C19" s="39" t="str">
        <f>dalolatnoma!C32</f>
        <v>Жилая площадь</v>
      </c>
      <c r="D19" s="39" t="str">
        <f>dalolatnoma!D32</f>
        <v>Общая площадь</v>
      </c>
      <c r="E19" s="39" t="str">
        <f>dalolatnoma!E32</f>
        <v>Согласованная залоговая стоимость, сум</v>
      </c>
    </row>
    <row r="20" spans="1:5" ht="17.25" hidden="1" customHeight="1">
      <c r="A20" s="17" t="e">
        <f>dalolatnoma!A33</f>
        <v>#REF!</v>
      </c>
      <c r="B20" s="17" t="e">
        <f>dalolatnoma!B33</f>
        <v>#REF!</v>
      </c>
      <c r="C20" s="17" t="e">
        <f>dalolatnoma!C33</f>
        <v>#REF!</v>
      </c>
      <c r="D20" s="17" t="e">
        <f>dalolatnoma!D33</f>
        <v>#REF!</v>
      </c>
      <c r="E20" s="325" t="str">
        <f>""&amp;FIXED(malumot!C142,2)&amp;" ("&amp;malumot!C143&amp;")"</f>
        <v>40 500 000,00 (qirq million besh yuz ming so'm)</v>
      </c>
    </row>
    <row r="21" spans="1:5" ht="17.25" hidden="1" customHeight="1">
      <c r="A21" s="17">
        <f>dalolatnoma!A34</f>
        <v>0</v>
      </c>
      <c r="B21" s="17">
        <f>dalolatnoma!B34</f>
        <v>0</v>
      </c>
      <c r="C21" s="17">
        <f>dalolatnoma!C34</f>
        <v>0</v>
      </c>
      <c r="D21" s="17">
        <f>dalolatnoma!D34</f>
        <v>0</v>
      </c>
      <c r="E21" s="326"/>
    </row>
    <row r="22" spans="1:5" ht="17.25" hidden="1" customHeight="1">
      <c r="A22" s="17" t="e">
        <f>dalolatnoma!A35</f>
        <v>#REF!</v>
      </c>
      <c r="B22" s="17" t="e">
        <f>dalolatnoma!B35</f>
        <v>#REF!</v>
      </c>
      <c r="C22" s="17" t="e">
        <f>dalolatnoma!C35</f>
        <v>#REF!</v>
      </c>
      <c r="D22" s="17" t="e">
        <f>dalolatnoma!D35</f>
        <v>#REF!</v>
      </c>
      <c r="E22" s="326"/>
    </row>
    <row r="23" spans="1:5" ht="17.25" hidden="1" customHeight="1">
      <c r="A23" s="17" t="e">
        <f>dalolatnoma!A36</f>
        <v>#REF!</v>
      </c>
      <c r="B23" s="17" t="e">
        <f>dalolatnoma!B36</f>
        <v>#REF!</v>
      </c>
      <c r="C23" s="17" t="e">
        <f>dalolatnoma!C36</f>
        <v>#REF!</v>
      </c>
      <c r="D23" s="17" t="e">
        <f>dalolatnoma!D36</f>
        <v>#REF!</v>
      </c>
      <c r="E23" s="326"/>
    </row>
    <row r="24" spans="1:5" ht="17.25" hidden="1" customHeight="1">
      <c r="A24" s="17" t="e">
        <f>dalolatnoma!A37</f>
        <v>#REF!</v>
      </c>
      <c r="B24" s="17" t="e">
        <f>dalolatnoma!B37</f>
        <v>#REF!</v>
      </c>
      <c r="C24" s="17" t="e">
        <f>dalolatnoma!C37</f>
        <v>#REF!</v>
      </c>
      <c r="D24" s="17" t="e">
        <f>dalolatnoma!D37</f>
        <v>#REF!</v>
      </c>
      <c r="E24" s="326"/>
    </row>
    <row r="25" spans="1:5" ht="15.75" hidden="1" customHeight="1">
      <c r="A25" s="17" t="e">
        <f>dalolatnoma!A38</f>
        <v>#REF!</v>
      </c>
      <c r="B25" s="17" t="e">
        <f>dalolatnoma!B38</f>
        <v>#REF!</v>
      </c>
      <c r="C25" s="17" t="e">
        <f>dalolatnoma!C38</f>
        <v>#REF!</v>
      </c>
      <c r="D25" s="17" t="e">
        <f>dalolatnoma!D38</f>
        <v>#REF!</v>
      </c>
      <c r="E25" s="326"/>
    </row>
    <row r="26" spans="1:5" ht="17.25" hidden="1" customHeight="1">
      <c r="A26" s="17" t="e">
        <f>dalolatnoma!A39</f>
        <v>#REF!</v>
      </c>
      <c r="B26" s="17" t="e">
        <f>dalolatnoma!B39</f>
        <v>#REF!</v>
      </c>
      <c r="C26" s="17" t="e">
        <f>dalolatnoma!C39</f>
        <v>#REF!</v>
      </c>
      <c r="D26" s="17" t="e">
        <f>dalolatnoma!D39</f>
        <v>#REF!</v>
      </c>
      <c r="E26" s="326"/>
    </row>
    <row r="27" spans="1:5" ht="17.25" hidden="1" customHeight="1">
      <c r="A27" s="17" t="e">
        <f>dalolatnoma!A40</f>
        <v>#REF!</v>
      </c>
      <c r="B27" s="17" t="e">
        <f>dalolatnoma!B40</f>
        <v>#REF!</v>
      </c>
      <c r="C27" s="17" t="e">
        <f>dalolatnoma!C40</f>
        <v>#REF!</v>
      </c>
      <c r="D27" s="17" t="e">
        <f>dalolatnoma!D40</f>
        <v>#REF!</v>
      </c>
      <c r="E27" s="326"/>
    </row>
    <row r="28" spans="1:5" ht="17.25" hidden="1" customHeight="1">
      <c r="A28" s="17" t="e">
        <f>dalolatnoma!A41</f>
        <v>#REF!</v>
      </c>
      <c r="B28" s="17" t="e">
        <f>dalolatnoma!B41</f>
        <v>#REF!</v>
      </c>
      <c r="C28" s="17" t="e">
        <f>dalolatnoma!C41</f>
        <v>#REF!</v>
      </c>
      <c r="D28" s="17" t="e">
        <f>dalolatnoma!D41</f>
        <v>#REF!</v>
      </c>
      <c r="E28" s="326"/>
    </row>
    <row r="29" spans="1:5" ht="17.25" hidden="1" customHeight="1">
      <c r="A29" s="17" t="e">
        <f>dalolatnoma!A42</f>
        <v>#REF!</v>
      </c>
      <c r="B29" s="17" t="e">
        <f>dalolatnoma!B42</f>
        <v>#REF!</v>
      </c>
      <c r="C29" s="17" t="e">
        <f>dalolatnoma!C42</f>
        <v>#REF!</v>
      </c>
      <c r="D29" s="17" t="e">
        <f>dalolatnoma!D42</f>
        <v>#REF!</v>
      </c>
      <c r="E29" s="326"/>
    </row>
    <row r="30" spans="1:5" ht="17.25" hidden="1" customHeight="1">
      <c r="A30" s="17" t="e">
        <f>dalolatnoma!A43</f>
        <v>#REF!</v>
      </c>
      <c r="B30" s="17" t="e">
        <f>dalolatnoma!B43</f>
        <v>#REF!</v>
      </c>
      <c r="C30" s="17" t="e">
        <f>dalolatnoma!C43</f>
        <v>#REF!</v>
      </c>
      <c r="D30" s="17" t="e">
        <f>dalolatnoma!D43</f>
        <v>#REF!</v>
      </c>
      <c r="E30" s="327"/>
    </row>
    <row r="31" spans="1:5" ht="17.25" hidden="1" customHeight="1">
      <c r="A31" s="17" t="e">
        <f>dalolatnoma!A44</f>
        <v>#REF!</v>
      </c>
      <c r="B31" s="17" t="e">
        <f>dalolatnoma!B44</f>
        <v>#REF!</v>
      </c>
      <c r="C31" s="17" t="e">
        <f>dalolatnoma!C44</f>
        <v>#REF!</v>
      </c>
      <c r="D31" s="17" t="e">
        <f>dalolatnoma!D44</f>
        <v>#REF!</v>
      </c>
      <c r="E31" s="17" t="str">
        <f>dalolatnoma!E44</f>
        <v>40 500 000,00</v>
      </c>
    </row>
    <row r="32" spans="1:5" ht="18.75" hidden="1" customHeight="1">
      <c r="A32" s="384" t="e">
        <f>_xlfn.SINGLE(dalolatnoma!#REF!)</f>
        <v>#REF!</v>
      </c>
      <c r="B32" s="384"/>
      <c r="C32" s="384"/>
      <c r="D32" s="384"/>
      <c r="E32" s="384"/>
    </row>
    <row r="33" spans="1:5" ht="24.75" hidden="1" customHeight="1">
      <c r="A33" s="384" t="e">
        <f>_xlfn.SINGLE(dalolatnoma!#REF!)</f>
        <v>#REF!</v>
      </c>
      <c r="B33" s="384"/>
      <c r="C33" s="384"/>
      <c r="D33" s="384"/>
      <c r="E33" s="384"/>
    </row>
    <row r="34" spans="1:5" ht="30.75" hidden="1" customHeight="1">
      <c r="A34" s="384" t="e">
        <f>_xlfn.SINGLE(dalolatnoma!#REF!)</f>
        <v>#REF!</v>
      </c>
      <c r="B34" s="384"/>
      <c r="C34" s="384"/>
      <c r="D34" s="384"/>
      <c r="E34" s="384"/>
    </row>
    <row r="35" spans="1:5" ht="15" hidden="1" customHeight="1">
      <c r="A35" s="384" t="e">
        <f>_xlfn.SINGLE(dalolatnoma!#REF!)</f>
        <v>#REF!</v>
      </c>
      <c r="B35" s="384"/>
      <c r="C35" s="384"/>
      <c r="D35" s="384"/>
      <c r="E35" s="384"/>
    </row>
    <row r="36" spans="1:5">
      <c r="A36" s="22"/>
      <c r="B36" s="22"/>
      <c r="C36" s="22"/>
      <c r="D36" s="22"/>
      <c r="E36" s="22"/>
    </row>
    <row r="37" spans="1:5" s="126" customFormat="1" ht="51" customHeight="1">
      <c r="A37" s="383" t="str">
        <f>dalolatnoma!A46:E46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83"/>
      <c r="C37" s="383"/>
      <c r="D37" s="383"/>
      <c r="E37" s="383"/>
    </row>
    <row r="38" spans="1:5" ht="40.5" customHeight="1">
      <c r="A38" s="384" t="str">
        <f>dalolatnoma!A47:E47</f>
        <v>Shu bilan birga, garov predmetining kelishilgan garov qiymati deganda ushbu mulk garov sifatida taqdim etilgan/qabul qilingan qiymati tushuniladi.</v>
      </c>
      <c r="B38" s="384"/>
      <c r="C38" s="384"/>
      <c r="D38" s="384"/>
      <c r="E38" s="384"/>
    </row>
    <row r="39" spans="1:5" ht="39" customHeight="1">
      <c r="A39" s="384"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"&amp;malumot!B74&amp;",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11 mart 2025 y.dan № 23-AL, при сохранении запрета.</v>
      </c>
      <c r="B39" s="384"/>
      <c r="C39" s="384"/>
      <c r="D39" s="384"/>
      <c r="E39" s="384"/>
    </row>
    <row r="40" spans="1:5">
      <c r="A40" s="387"/>
      <c r="B40" s="387"/>
      <c r="C40" s="387"/>
      <c r="D40" s="387"/>
      <c r="E40" s="387"/>
    </row>
    <row r="41" spans="1:5">
      <c r="A41" s="388" t="s">
        <v>37</v>
      </c>
      <c r="B41" s="388"/>
      <c r="C41" s="388"/>
      <c r="D41" s="388"/>
      <c r="E41" s="388"/>
    </row>
    <row r="42" spans="1:5">
      <c r="A42" s="387"/>
      <c r="B42" s="387"/>
      <c r="C42" s="387"/>
      <c r="D42" s="387"/>
      <c r="E42" s="387"/>
    </row>
    <row r="43" spans="1:5">
      <c r="A43" s="388" t="s">
        <v>38</v>
      </c>
      <c r="B43" s="388"/>
      <c r="C43" s="388"/>
      <c r="D43" s="388"/>
      <c r="E43" s="388"/>
    </row>
    <row r="44" spans="1:5" ht="28.5" customHeight="1">
      <c r="A44" s="386" t="s">
        <v>39</v>
      </c>
      <c r="B44" s="386"/>
      <c r="C44" s="386"/>
      <c r="D44" s="386"/>
      <c r="E44" s="106" t="s">
        <v>2</v>
      </c>
    </row>
  </sheetData>
  <mergeCells count="18">
    <mergeCell ref="A44:D44"/>
    <mergeCell ref="A38:E38"/>
    <mergeCell ref="A39:E39"/>
    <mergeCell ref="A40:E40"/>
    <mergeCell ref="A41:E41"/>
    <mergeCell ref="A42:E42"/>
    <mergeCell ref="A43:E43"/>
    <mergeCell ref="A37:E37"/>
    <mergeCell ref="E20:E30"/>
    <mergeCell ref="A9:E9"/>
    <mergeCell ref="A32:E32"/>
    <mergeCell ref="A33:E33"/>
    <mergeCell ref="A34:E34"/>
    <mergeCell ref="A35:E35"/>
    <mergeCell ref="A16:E16"/>
    <mergeCell ref="A15:E15"/>
    <mergeCell ref="A14:E14"/>
    <mergeCell ref="A13:E1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I30"/>
  <sheetViews>
    <sheetView view="pageBreakPreview" zoomScaleNormal="100" zoomScaleSheetLayoutView="100" workbookViewId="0">
      <selection activeCell="H5" sqref="H5"/>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9" width="9.140625" style="24" hidden="1" customWidth="1"/>
    <col min="10" max="10" width="9.140625" style="24" customWidth="1"/>
    <col min="11" max="11" width="0.5703125" style="24" customWidth="1"/>
    <col min="12" max="16384" width="9.140625" style="24"/>
  </cols>
  <sheetData>
    <row r="1" spans="1:9">
      <c r="A1" s="31"/>
      <c r="B1" s="31"/>
      <c r="C1" s="31"/>
      <c r="D1" s="31"/>
      <c r="E1" s="31"/>
      <c r="F1" s="31"/>
      <c r="G1" s="31"/>
      <c r="H1" s="31"/>
      <c r="I1" s="31"/>
    </row>
    <row r="2" spans="1:9">
      <c r="A2" s="391" t="str">
        <f>""&amp;" "&amp;malumot!B74&amp;"-sonli "&amp;" "&amp;malumot!C64&amp;" shartnomasi bo‘yicha
 garovga qo‘yilgan mol-mulkni tekshirish bo’yicha "&amp;malumot!B5&amp;" bilan tuzilgan dalolatnomasi"</f>
        <v xml:space="preserve"> 11 mart 2025 y.dan № 23-AL-sonli  Mikroqarz shartnomasi bo‘yicha
 garovga qo‘yilgan mol-mulkni tekshirish bo’yicha NUTFULLAYEV AKBARJON AXMEDOVICH bilan tuzilgan dalolatnomasi</v>
      </c>
      <c r="B2" s="391"/>
      <c r="C2" s="391"/>
      <c r="D2" s="391"/>
      <c r="E2" s="391"/>
      <c r="F2" s="391"/>
      <c r="G2" s="391"/>
      <c r="H2" s="391"/>
      <c r="I2" s="31"/>
    </row>
    <row r="3" spans="1:9">
      <c r="A3" s="391"/>
      <c r="B3" s="391"/>
      <c r="C3" s="391"/>
      <c r="D3" s="391"/>
      <c r="E3" s="391"/>
      <c r="F3" s="391"/>
      <c r="G3" s="391"/>
      <c r="H3" s="391"/>
      <c r="I3" s="31"/>
    </row>
    <row r="5" spans="1:9">
      <c r="A5" s="24" t="s">
        <v>203</v>
      </c>
      <c r="F5" s="151"/>
      <c r="H5" s="136" t="str">
        <f>TEXT(malumot!D2,"ДД.ММ.ГГГГ")</f>
        <v>07.09.2025</v>
      </c>
    </row>
    <row r="7" spans="1:9" ht="45" customHeight="1">
      <c r="A7" s="390" t="str">
        <f>"      Men, “СLEVER MIKROMOLYA TASHKILOTI” "&amp;malumot!A156&amp;"i "&amp;malumot!B156&amp;", jismoniy shaxs "&amp;" "&amp;malumot!B5&amp;" "&amp;" "&amp;malumot!B74&amp;"-sonli "&amp;malumot!B65&amp;" shartnomasi bo‘yicha garovga qo‘yilgan mol-mulkni ko‘zdan kechirdim"</f>
        <v xml:space="preserve">      Men, “СLEVER MIKROMOLYA TASHKILOTI” Olmaliq filiali boshlig'ii V. Yerjanov, jismoniy shaxs  NUTFULLAYEV AKBARJON AXMEDOVICH  11 mart 2025 y.dan № 23-AL-sonli mikroqarz shartnomasi bo‘yicha garovga qo‘yilgan mol-mulkni ko‘zdan kechirdim</v>
      </c>
      <c r="B7" s="390"/>
      <c r="C7" s="390"/>
      <c r="D7" s="390"/>
      <c r="E7" s="390"/>
      <c r="F7" s="390"/>
      <c r="G7" s="390"/>
      <c r="H7" s="390"/>
    </row>
    <row r="8" spans="1:9" ht="19.5" customHeight="1">
      <c r="A8" s="394" t="s">
        <v>274</v>
      </c>
      <c r="B8" s="394"/>
      <c r="C8" s="394"/>
      <c r="D8" s="394"/>
      <c r="E8" s="394"/>
      <c r="F8" s="394"/>
      <c r="G8" s="394"/>
      <c r="H8" s="394"/>
    </row>
    <row r="9" spans="1:9" s="137" customFormat="1" ht="32.25" customHeight="1">
      <c r="A9" s="395" t="str">
        <f>dalolatnoma!A20</f>
        <v>Nomi</v>
      </c>
      <c r="B9" s="396"/>
      <c r="C9" s="395" t="str">
        <f>dalolatnoma!B20</f>
        <v>Kuzov turi  va kuzov raqami*</v>
      </c>
      <c r="D9" s="396"/>
      <c r="E9" s="395" t="str">
        <f>dalolatnoma!D20</f>
        <v>Dvigatel va shassi raqami*</v>
      </c>
      <c r="F9" s="396"/>
      <c r="G9" s="395" t="str">
        <f>dalolatnoma!E20</f>
        <v>Ishlab chiqarilgan yili va rangi**</v>
      </c>
      <c r="H9" s="396"/>
    </row>
    <row r="10" spans="1:9" s="135" customFormat="1" ht="58.5" customHeight="1">
      <c r="A10" s="397" t="str">
        <f>dalolatnoma!A21</f>
        <v>CHANGAN CHANGAN SC 1027SB</v>
      </c>
      <c r="B10" s="397"/>
      <c r="C10" s="397" t="str">
        <f>dalolatnoma!B21</f>
        <v>kuzov turi - YUK BORTLI TENT, kuzov raqami LSCAB23D8EG228387</v>
      </c>
      <c r="D10" s="397"/>
      <c r="E10" s="397" t="str">
        <f>dalolatnoma!D21</f>
        <v>dvigatel raqami JL466Q1%E61H022801, shassi raqami - URINDIKLAR SONI 5TA</v>
      </c>
      <c r="F10" s="397"/>
      <c r="G10" s="397" t="str">
        <f>dalolatnoma!E21</f>
        <v>rangi -  OQ BELIY, ishlab chiqarilgan yili - 2014</v>
      </c>
      <c r="H10" s="397"/>
    </row>
    <row r="11" spans="1:9" ht="19.5" customHeight="1">
      <c r="A11" s="389" t="str">
        <f>dalolatnoma!A22:E22</f>
        <v>-* avtotransport egasi: NUTFULLAYEV AKBARJON AXMEDOVICH</v>
      </c>
      <c r="B11" s="389"/>
      <c r="C11" s="389"/>
      <c r="D11" s="389"/>
      <c r="E11" s="389"/>
      <c r="F11" s="389"/>
      <c r="G11" s="389"/>
      <c r="H11" s="389"/>
    </row>
    <row r="12" spans="1:9" ht="19.5" customHeight="1">
      <c r="A12" s="389" t="str">
        <f>dalolatnoma!A23:E23</f>
        <v>-* texnik pasport: AAG   2346592  13.09.2023y</v>
      </c>
      <c r="B12" s="389"/>
      <c r="C12" s="389"/>
      <c r="D12" s="389"/>
      <c r="E12" s="389"/>
      <c r="F12" s="389"/>
      <c r="G12" s="389"/>
      <c r="H12" s="389"/>
    </row>
    <row r="13" spans="1:9" ht="19.5" customHeight="1">
      <c r="A13" s="389" t="str">
        <f>dalolatnoma!A24:E24</f>
        <v>-* roʻyxatdan oʻtgan manzili/garaj manzili: BUXORO VILOYATI BUXORO SHAHAR TADBIRKOR KO'CHASI 12-UY</v>
      </c>
      <c r="B13" s="389"/>
      <c r="C13" s="389"/>
      <c r="D13" s="389"/>
      <c r="E13" s="389"/>
      <c r="F13" s="389"/>
      <c r="G13" s="389"/>
      <c r="H13" s="389"/>
    </row>
    <row r="14" spans="1:9" ht="19.5" customHeight="1">
      <c r="A14" s="389" t="str">
        <f>dalolatnoma!A25:E25</f>
        <v>-* davlat raqami: 80T312WA</v>
      </c>
      <c r="B14" s="389"/>
      <c r="C14" s="389"/>
      <c r="D14" s="389"/>
      <c r="E14" s="389"/>
      <c r="F14" s="389"/>
      <c r="G14" s="389"/>
      <c r="H14" s="389"/>
    </row>
    <row r="15" spans="1:9" ht="33.75" customHeight="1">
      <c r="A15" s="392" t="str">
        <f>+"Shu bilan birga, yuqoridagi mulkning kelishilgan garov qiymati "&amp;dalolatnoma!E30</f>
        <v>Shu bilan birga, yuqoridagi mulkning kelishilgan garov qiymati 40 500 000,00 
(qirq million besh yuz ming so'm)</v>
      </c>
      <c r="B15" s="392"/>
      <c r="C15" s="392"/>
      <c r="D15" s="392"/>
      <c r="E15" s="392"/>
      <c r="F15" s="392"/>
      <c r="G15" s="392"/>
      <c r="H15" s="392"/>
    </row>
    <row r="17" spans="1:8" ht="27" customHeight="1">
      <c r="A17" s="393" t="s">
        <v>275</v>
      </c>
      <c r="B17" s="393"/>
      <c r="C17" s="393"/>
      <c r="D17" s="393"/>
      <c r="E17" s="393"/>
      <c r="F17" s="393"/>
      <c r="G17" s="393"/>
      <c r="H17" s="393"/>
    </row>
    <row r="21" spans="1:8" s="31" customFormat="1"/>
    <row r="22" spans="1:8" s="31" customFormat="1">
      <c r="A22" s="31" t="str">
        <f>malumot!A156</f>
        <v>Olmaliq filiali boshlig'i</v>
      </c>
      <c r="H22" s="138" t="str">
        <f>malumot!B156</f>
        <v>V. Yerjanov</v>
      </c>
    </row>
    <row r="23" spans="1:8" s="31" customFormat="1" ht="32.25" customHeight="1">
      <c r="H23" s="138"/>
    </row>
    <row r="24" spans="1:8" s="31" customFormat="1" ht="16.5" customHeight="1">
      <c r="A24" s="31" t="s">
        <v>276</v>
      </c>
      <c r="H24" s="31" t="str">
        <f>malumot!B166</f>
        <v>B. Jumanazarov</v>
      </c>
    </row>
    <row r="25" spans="1:8" s="31" customFormat="1" ht="60" customHeight="1"/>
    <row r="26" spans="1:8" s="31" customFormat="1">
      <c r="A26" s="31" t="s">
        <v>277</v>
      </c>
      <c r="H26" s="138" t="str">
        <f>malumot!B7</f>
        <v>A.A.NUTFULLAYEV</v>
      </c>
    </row>
    <row r="27" spans="1:8" s="31" customFormat="1"/>
    <row r="28" spans="1:8" s="31" customFormat="1"/>
    <row r="29" spans="1:8" s="31" customFormat="1"/>
    <row r="30" spans="1:8" s="31" customFormat="1"/>
  </sheetData>
  <mergeCells count="17">
    <mergeCell ref="A17:H17"/>
    <mergeCell ref="A8:H8"/>
    <mergeCell ref="A9:B9"/>
    <mergeCell ref="C9:D9"/>
    <mergeCell ref="E9:F9"/>
    <mergeCell ref="G9:H9"/>
    <mergeCell ref="A10:B10"/>
    <mergeCell ref="C10:D10"/>
    <mergeCell ref="E10:F10"/>
    <mergeCell ref="G10:H10"/>
    <mergeCell ref="A11:H11"/>
    <mergeCell ref="A12:H12"/>
    <mergeCell ref="A13:H13"/>
    <mergeCell ref="A14:H14"/>
    <mergeCell ref="A7:H7"/>
    <mergeCell ref="A2:H3"/>
    <mergeCell ref="A15:H15"/>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29"/>
  <sheetViews>
    <sheetView view="pageBreakPreview" zoomScale="115" zoomScaleNormal="100" zoomScaleSheetLayoutView="115" workbookViewId="0">
      <selection activeCell="E23" sqref="E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91" t="str">
        <f>""&amp;" "&amp;malumot!B74&amp;"-sonli "&amp;" "&amp;malumot!C64&amp;" shartnomasi bo‘yicha
 garovga qo‘yilgan mol-mulkni tekshirish bo’yicha "&amp;malumot!B5&amp;" bilan tuzilgan dalolatnomasi"</f>
        <v xml:space="preserve"> 11 mart 2025 y.dan № 23-AL-sonli  Mikroqarz shartnomasi bo‘yicha
 garovga qo‘yilgan mol-mulkni tekshirish bo’yicha NUTFULLAYEV AKBARJON AXMEDOVICH bilan tuzilgan dalolatnomasi</v>
      </c>
      <c r="B2" s="391"/>
      <c r="C2" s="391"/>
      <c r="D2" s="391"/>
      <c r="E2" s="391"/>
      <c r="F2" s="391"/>
      <c r="G2" s="391"/>
      <c r="H2" s="391"/>
      <c r="I2" s="31"/>
    </row>
    <row r="3" spans="1:9">
      <c r="A3" s="391"/>
      <c r="B3" s="391"/>
      <c r="C3" s="391"/>
      <c r="D3" s="391"/>
      <c r="E3" s="391"/>
      <c r="F3" s="391"/>
      <c r="G3" s="391"/>
      <c r="H3" s="391"/>
      <c r="I3" s="31"/>
    </row>
    <row r="5" spans="1:9">
      <c r="A5" s="24" t="s">
        <v>203</v>
      </c>
      <c r="H5" s="136" t="str">
        <f>TEXT(+malumot!B2+360,"ДД.ММ.ГГГГ")</f>
        <v>06.03.2026</v>
      </c>
    </row>
    <row r="7" spans="1:9" ht="45" customHeight="1">
      <c r="A7" s="390" t="str">
        <f>"      Men, "&amp;malumot!B153&amp;" "&amp;malumot!A156&amp;"i "&amp;malumot!B156&amp;", jismoniy shaxs "&amp;" "&amp;malumot!B5&amp;" "&amp;" "&amp;malumot!B74&amp;"-sonli "&amp;malumot!C64&amp;" shartnomasi bo‘yicha garovga qo‘yilgan mol-mulkni ko‘zdan kechirdim"</f>
        <v xml:space="preserve">      Men, «CLEVER MIKROMOLIYA TASHKILOTI» MChJ Olmaliq filiali boshlig'ii V. Yerjanov, jismoniy shaxs  NUTFULLAYEV AKBARJON AXMEDOVICH  11 mart 2025 y.dan № 23-AL-sonli Mikroqarz shartnomasi bo‘yicha garovga qo‘yilgan mol-mulkni ko‘zdan kechirdim</v>
      </c>
      <c r="B7" s="390"/>
      <c r="C7" s="390"/>
      <c r="D7" s="390"/>
      <c r="E7" s="390"/>
      <c r="F7" s="390"/>
      <c r="G7" s="390"/>
      <c r="H7" s="390"/>
    </row>
    <row r="8" spans="1:9" ht="19.5" customHeight="1">
      <c r="A8" s="394" t="s">
        <v>274</v>
      </c>
      <c r="B8" s="394"/>
      <c r="C8" s="394"/>
      <c r="D8" s="394"/>
      <c r="E8" s="394"/>
      <c r="F8" s="394"/>
      <c r="G8" s="394"/>
      <c r="H8" s="394"/>
    </row>
    <row r="9" spans="1:9" s="137" customFormat="1" ht="32.25" customHeight="1">
      <c r="A9" s="395" t="str">
        <f>' Акт мониторинга 1'!A9</f>
        <v>Nomi</v>
      </c>
      <c r="B9" s="396"/>
      <c r="C9" s="395" t="str">
        <f>' Акт мониторинга 1'!C9</f>
        <v>Kuzov turi  va kuzov raqami*</v>
      </c>
      <c r="D9" s="396"/>
      <c r="E9" s="395" t="str">
        <f>' Акт мониторинга 1'!E9</f>
        <v>Dvigatel va shassi raqami*</v>
      </c>
      <c r="F9" s="396"/>
      <c r="G9" s="395" t="str">
        <f>' Акт мониторинга 1'!G9</f>
        <v>Ishlab chiqarilgan yili va rangi**</v>
      </c>
      <c r="H9" s="396"/>
    </row>
    <row r="10" spans="1:9" s="135" customFormat="1" ht="58.5" customHeight="1">
      <c r="A10" s="397" t="str">
        <f>' Акт мониторинга 1'!A10</f>
        <v>CHANGAN CHANGAN SC 1027SB</v>
      </c>
      <c r="B10" s="397"/>
      <c r="C10" s="397" t="str">
        <f>' Акт мониторинга 1'!C10</f>
        <v>kuzov turi - YUK BORTLI TENT, kuzov raqami LSCAB23D8EG228387</v>
      </c>
      <c r="D10" s="397"/>
      <c r="E10" s="397" t="str">
        <f>' Акт мониторинга 1'!E10</f>
        <v>dvigatel raqami JL466Q1%E61H022801, shassi raqami - URINDIKLAR SONI 5TA</v>
      </c>
      <c r="F10" s="397"/>
      <c r="G10" s="397" t="str">
        <f>' Акт мониторинга 1'!G10</f>
        <v>rangi -  OQ BELIY, ishlab chiqarilgan yili - 2014</v>
      </c>
      <c r="H10" s="397"/>
    </row>
    <row r="11" spans="1:9" ht="19.5" customHeight="1">
      <c r="A11" s="389" t="str">
        <f>dalolatnoma!A22:E22</f>
        <v>-* avtotransport egasi: NUTFULLAYEV AKBARJON AXMEDOVICH</v>
      </c>
      <c r="B11" s="389"/>
      <c r="C11" s="389"/>
      <c r="D11" s="389"/>
      <c r="E11" s="389"/>
      <c r="F11" s="389"/>
      <c r="G11" s="389"/>
      <c r="H11" s="389"/>
    </row>
    <row r="12" spans="1:9" ht="19.5" customHeight="1">
      <c r="A12" s="389" t="str">
        <f>dalolatnoma!A23:E23</f>
        <v>-* texnik pasport: AAG   2346592  13.09.2023y</v>
      </c>
      <c r="B12" s="389"/>
      <c r="C12" s="389"/>
      <c r="D12" s="389"/>
      <c r="E12" s="389"/>
      <c r="F12" s="389"/>
      <c r="G12" s="389"/>
      <c r="H12" s="389"/>
    </row>
    <row r="13" spans="1:9" ht="19.5" customHeight="1">
      <c r="A13" s="389" t="str">
        <f>dalolatnoma!A24:E24</f>
        <v>-* roʻyxatdan oʻtgan manzili/garaj manzili: BUXORO VILOYATI BUXORO SHAHAR TADBIRKOR KO'CHASI 12-UY</v>
      </c>
      <c r="B13" s="389"/>
      <c r="C13" s="389"/>
      <c r="D13" s="389"/>
      <c r="E13" s="389"/>
      <c r="F13" s="389"/>
      <c r="G13" s="389"/>
      <c r="H13" s="389"/>
    </row>
    <row r="14" spans="1:9" ht="19.5" customHeight="1">
      <c r="A14" s="389" t="str">
        <f>dalolatnoma!A25:E25</f>
        <v>-* davlat raqami: 80T312WA</v>
      </c>
      <c r="B14" s="389"/>
      <c r="C14" s="389"/>
      <c r="D14" s="389"/>
      <c r="E14" s="389"/>
      <c r="F14" s="389"/>
      <c r="G14" s="389"/>
      <c r="H14" s="389"/>
    </row>
    <row r="15" spans="1:9" ht="33.75" customHeight="1">
      <c r="A15" s="392" t="str">
        <f>+"Shu bilan birga, yuqoridagi mulkning kelishilgan garov qiymati "&amp;dalolatnoma!E30</f>
        <v>Shu bilan birga, yuqoridagi mulkning kelishilgan garov qiymati 40 500 000,00 
(qirq million besh yuz ming so'm)</v>
      </c>
      <c r="B15" s="392"/>
      <c r="C15" s="392"/>
      <c r="D15" s="392"/>
      <c r="E15" s="392"/>
      <c r="F15" s="392"/>
      <c r="G15" s="392"/>
      <c r="H15" s="392"/>
    </row>
    <row r="17" spans="1:8" ht="35.25" customHeight="1">
      <c r="A17" s="393" t="s">
        <v>275</v>
      </c>
      <c r="B17" s="393"/>
      <c r="C17" s="393"/>
      <c r="D17" s="393"/>
      <c r="E17" s="393"/>
      <c r="F17" s="393"/>
      <c r="G17" s="393"/>
      <c r="H17" s="393"/>
    </row>
    <row r="21" spans="1:8" s="31" customFormat="1"/>
    <row r="22" spans="1:8" s="31" customFormat="1">
      <c r="A22" s="31" t="str">
        <f>malumot!A156</f>
        <v>Olmaliq filiali boshlig'i</v>
      </c>
      <c r="H22" s="138" t="str">
        <f>malumot!B156</f>
        <v>V. Yerjanov</v>
      </c>
    </row>
    <row r="23" spans="1:8" s="31" customFormat="1" ht="32.25" customHeight="1">
      <c r="H23" s="138"/>
    </row>
    <row r="24" spans="1:8" s="31" customFormat="1" ht="16.5" customHeight="1">
      <c r="A24" s="31" t="s">
        <v>276</v>
      </c>
      <c r="H24" s="31" t="str">
        <f>malumot!B166</f>
        <v>B. Jumanazarov</v>
      </c>
    </row>
    <row r="25" spans="1:8" s="31" customFormat="1" ht="60" customHeight="1"/>
    <row r="26" spans="1:8" s="31" customFormat="1">
      <c r="A26" s="31" t="s">
        <v>277</v>
      </c>
      <c r="H26" s="138" t="str">
        <f>malumot!B7</f>
        <v>A.A.NUTFULLAYEV</v>
      </c>
    </row>
    <row r="27" spans="1:8" s="31" customFormat="1"/>
    <row r="28" spans="1:8" s="31" customFormat="1"/>
    <row r="29" spans="1:8" s="31"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29"/>
  <sheetViews>
    <sheetView view="pageBreakPreview" topLeftCell="A7" zoomScaleNormal="100" zoomScaleSheetLayoutView="100" workbookViewId="0">
      <selection activeCell="C23" sqref="C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91" t="str">
        <f>""&amp;" "&amp;malumot!B74&amp;"-sonli "&amp;" "&amp;malumot!C64&amp;" shartnomasi bo‘yicha
 garovga qo‘yilgan mol-mulkni tekshirish bo’yicha "&amp;malumot!B5&amp;" bilan tuzilgan dalolatnomasi"</f>
        <v xml:space="preserve"> 11 mart 2025 y.dan № 23-AL-sonli  Mikroqarz shartnomasi bo‘yicha
 garovga qo‘yilgan mol-mulkni tekshirish bo’yicha NUTFULLAYEV AKBARJON AXMEDOVICH bilan tuzilgan dalolatnomasi</v>
      </c>
      <c r="B2" s="391"/>
      <c r="C2" s="391"/>
      <c r="D2" s="391"/>
      <c r="E2" s="391"/>
      <c r="F2" s="391"/>
      <c r="G2" s="391"/>
      <c r="H2" s="391"/>
      <c r="I2" s="31"/>
    </row>
    <row r="3" spans="1:9">
      <c r="A3" s="391"/>
      <c r="B3" s="391"/>
      <c r="C3" s="391"/>
      <c r="D3" s="391"/>
      <c r="E3" s="391"/>
      <c r="F3" s="391"/>
      <c r="G3" s="391"/>
      <c r="H3" s="391"/>
      <c r="I3" s="31"/>
    </row>
    <row r="5" spans="1:9">
      <c r="A5" s="24" t="s">
        <v>203</v>
      </c>
      <c r="H5" s="136" t="str">
        <f>TEXT(+malumot!B2+540,"ДД.ММ.ГГГГ")</f>
        <v>02.09.2026</v>
      </c>
    </row>
    <row r="7" spans="1:9" ht="45" customHeight="1">
      <c r="A7" s="390" t="str">
        <f>"      Men, "&amp;malumot!B153&amp;" "&amp;malumot!A156&amp;"i "&amp;malumot!B156&amp;", jismoniy shaxs "&amp;" "&amp;malumot!B5&amp;" "&amp;" "&amp;malumot!B74&amp;"-sonli "&amp;malumot!C64&amp;" shartnomasi bo‘yicha garovga qo‘yilgan mol-mulkni ko‘zdan kechirdim"</f>
        <v xml:space="preserve">      Men, «CLEVER MIKROMOLIYA TASHKILOTI» MChJ Olmaliq filiali boshlig'ii V. Yerjanov, jismoniy shaxs  NUTFULLAYEV AKBARJON AXMEDOVICH  11 mart 2025 y.dan № 23-AL-sonli Mikroqarz shartnomasi bo‘yicha garovga qo‘yilgan mol-mulkni ko‘zdan kechirdim</v>
      </c>
      <c r="B7" s="390"/>
      <c r="C7" s="390"/>
      <c r="D7" s="390"/>
      <c r="E7" s="390"/>
      <c r="F7" s="390"/>
      <c r="G7" s="390"/>
      <c r="H7" s="390"/>
    </row>
    <row r="8" spans="1:9" ht="19.5" customHeight="1">
      <c r="A8" s="394" t="s">
        <v>274</v>
      </c>
      <c r="B8" s="394"/>
      <c r="C8" s="394"/>
      <c r="D8" s="394"/>
      <c r="E8" s="394"/>
      <c r="F8" s="394"/>
      <c r="G8" s="394"/>
      <c r="H8" s="394"/>
    </row>
    <row r="9" spans="1:9" s="137" customFormat="1" ht="32.25" customHeight="1">
      <c r="A9" s="395" t="str">
        <f>' Акт мониторинга 1'!A9</f>
        <v>Nomi</v>
      </c>
      <c r="B9" s="396"/>
      <c r="C9" s="395" t="str">
        <f>' Акт мониторинга 1'!C9</f>
        <v>Kuzov turi  va kuzov raqami*</v>
      </c>
      <c r="D9" s="396"/>
      <c r="E9" s="395" t="str">
        <f>' Акт мониторинга 1'!E9</f>
        <v>Dvigatel va shassi raqami*</v>
      </c>
      <c r="F9" s="396"/>
      <c r="G9" s="395" t="str">
        <f>' Акт мониторинга 1'!G9</f>
        <v>Ishlab chiqarilgan yili va rangi**</v>
      </c>
      <c r="H9" s="396"/>
    </row>
    <row r="10" spans="1:9" s="135" customFormat="1" ht="58.5" customHeight="1">
      <c r="A10" s="398" t="str">
        <f>' Акт мониторинга 1'!A10</f>
        <v>CHANGAN CHANGAN SC 1027SB</v>
      </c>
      <c r="B10" s="399"/>
      <c r="C10" s="398" t="str">
        <f>' Акт мониторинга 1'!C10</f>
        <v>kuzov turi - YUK BORTLI TENT, kuzov raqami LSCAB23D8EG228387</v>
      </c>
      <c r="D10" s="399"/>
      <c r="E10" s="398" t="str">
        <f>' Акт мониторинга 1'!E10</f>
        <v>dvigatel raqami JL466Q1%E61H022801, shassi raqami - URINDIKLAR SONI 5TA</v>
      </c>
      <c r="F10" s="399"/>
      <c r="G10" s="398" t="str">
        <f>' Акт мониторинга 1'!G10</f>
        <v>rangi -  OQ BELIY, ishlab chiqarilgan yili - 2014</v>
      </c>
      <c r="H10" s="399"/>
    </row>
    <row r="11" spans="1:9" ht="19.5" customHeight="1">
      <c r="A11" s="389" t="str">
        <f>dalolatnoma!A22:E22</f>
        <v>-* avtotransport egasi: NUTFULLAYEV AKBARJON AXMEDOVICH</v>
      </c>
      <c r="B11" s="389"/>
      <c r="C11" s="389"/>
      <c r="D11" s="389"/>
      <c r="E11" s="389"/>
      <c r="F11" s="389"/>
      <c r="G11" s="389"/>
      <c r="H11" s="389"/>
    </row>
    <row r="12" spans="1:9" ht="19.5" customHeight="1">
      <c r="A12" s="389" t="str">
        <f>dalolatnoma!A23:E23</f>
        <v>-* texnik pasport: AAG   2346592  13.09.2023y</v>
      </c>
      <c r="B12" s="389"/>
      <c r="C12" s="389"/>
      <c r="D12" s="389"/>
      <c r="E12" s="389"/>
      <c r="F12" s="389"/>
      <c r="G12" s="389"/>
      <c r="H12" s="389"/>
    </row>
    <row r="13" spans="1:9" ht="19.5" customHeight="1">
      <c r="A13" s="389" t="str">
        <f>dalolatnoma!A24:E24</f>
        <v>-* roʻyxatdan oʻtgan manzili/garaj manzili: BUXORO VILOYATI BUXORO SHAHAR TADBIRKOR KO'CHASI 12-UY</v>
      </c>
      <c r="B13" s="389"/>
      <c r="C13" s="389"/>
      <c r="D13" s="389"/>
      <c r="E13" s="389"/>
      <c r="F13" s="389"/>
      <c r="G13" s="389"/>
      <c r="H13" s="389"/>
    </row>
    <row r="14" spans="1:9" ht="19.5" customHeight="1">
      <c r="A14" s="389" t="str">
        <f>dalolatnoma!A25:E25</f>
        <v>-* davlat raqami: 80T312WA</v>
      </c>
      <c r="B14" s="389"/>
      <c r="C14" s="389"/>
      <c r="D14" s="389"/>
      <c r="E14" s="389"/>
      <c r="F14" s="389"/>
      <c r="G14" s="389"/>
      <c r="H14" s="389"/>
    </row>
    <row r="15" spans="1:9" ht="33.75" customHeight="1">
      <c r="A15" s="392" t="str">
        <f>+"Shu bilan birga, yuqoridagi mulkning kelishilgan garov qiymati "&amp;dalolatnoma!E30</f>
        <v>Shu bilan birga, yuqoridagi mulkning kelishilgan garov qiymati 40 500 000,00 
(qirq million besh yuz ming so'm)</v>
      </c>
      <c r="B15" s="392"/>
      <c r="C15" s="392"/>
      <c r="D15" s="392"/>
      <c r="E15" s="392"/>
      <c r="F15" s="392"/>
      <c r="G15" s="392"/>
      <c r="H15" s="392"/>
    </row>
    <row r="17" spans="1:8" s="135" customFormat="1" ht="32.25" customHeight="1">
      <c r="A17" s="393" t="s">
        <v>275</v>
      </c>
      <c r="B17" s="393"/>
      <c r="C17" s="393"/>
      <c r="D17" s="393"/>
      <c r="E17" s="393"/>
      <c r="F17" s="393"/>
      <c r="G17" s="393"/>
      <c r="H17" s="393"/>
    </row>
    <row r="21" spans="1:8" s="31" customFormat="1"/>
    <row r="22" spans="1:8" s="31" customFormat="1">
      <c r="A22" s="31" t="str">
        <f>malumot!A156</f>
        <v>Olmaliq filiali boshlig'i</v>
      </c>
      <c r="H22" s="138" t="str">
        <f>malumot!B156</f>
        <v>V. Yerjanov</v>
      </c>
    </row>
    <row r="23" spans="1:8" s="31" customFormat="1" ht="32.25" customHeight="1">
      <c r="H23" s="138"/>
    </row>
    <row r="24" spans="1:8" s="31" customFormat="1" ht="16.5" customHeight="1">
      <c r="A24" s="31" t="s">
        <v>276</v>
      </c>
      <c r="H24" s="31" t="str">
        <f>malumot!B166</f>
        <v>B. Jumanazarov</v>
      </c>
    </row>
    <row r="25" spans="1:8" s="31" customFormat="1" ht="60" customHeight="1"/>
    <row r="26" spans="1:8" s="31" customFormat="1">
      <c r="A26" s="31" t="s">
        <v>277</v>
      </c>
      <c r="H26" s="138" t="str">
        <f>malumot!B7</f>
        <v>A.A.NUTFULLAYEV</v>
      </c>
    </row>
    <row r="27" spans="1:8" s="31" customFormat="1"/>
    <row r="28" spans="1:8" s="31" customFormat="1"/>
    <row r="29" spans="1:8" s="31"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29"/>
  <sheetViews>
    <sheetView view="pageBreakPreview" topLeftCell="A16" zoomScaleNormal="100" zoomScaleSheetLayoutView="100" workbookViewId="0">
      <selection activeCell="G1" sqref="G1"/>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91" t="str">
        <f>""&amp;" "&amp;malumot!B74&amp;"-sonli "&amp;" "&amp;malumot!C64&amp;" shartnomasi bo‘yicha
 garovga qo‘yilgan mol-mulkni tekshirish bo’yicha "&amp;malumot!B5&amp;" bilan tuzilgan dalolatnomasi"</f>
        <v xml:space="preserve"> 11 mart 2025 y.dan № 23-AL-sonli  Mikroqarz shartnomasi bo‘yicha
 garovga qo‘yilgan mol-mulkni tekshirish bo’yicha NUTFULLAYEV AKBARJON AXMEDOVICH bilan tuzilgan dalolatnomasi</v>
      </c>
      <c r="B2" s="391"/>
      <c r="C2" s="391"/>
      <c r="D2" s="391"/>
      <c r="E2" s="391"/>
      <c r="F2" s="391"/>
      <c r="G2" s="391"/>
      <c r="H2" s="391"/>
      <c r="I2" s="31"/>
    </row>
    <row r="3" spans="1:9">
      <c r="A3" s="391"/>
      <c r="B3" s="391"/>
      <c r="C3" s="391"/>
      <c r="D3" s="391"/>
      <c r="E3" s="391"/>
      <c r="F3" s="391"/>
      <c r="G3" s="391"/>
      <c r="H3" s="391"/>
      <c r="I3" s="31"/>
    </row>
    <row r="5" spans="1:9">
      <c r="A5" s="24" t="s">
        <v>203</v>
      </c>
      <c r="H5" s="136" t="str">
        <f>TEXT(+malumot!B2+720,"ДД.ММ.ГГГГ")</f>
        <v>01.03.2027</v>
      </c>
    </row>
    <row r="7" spans="1:9" ht="45" customHeight="1">
      <c r="A7" s="390" t="str">
        <f>"      Men, "&amp;malumot!B153&amp;" "&amp;malumot!A156&amp;"i "&amp;malumot!B156&amp;", jismoniy shaxs "&amp;" "&amp;malumot!B5&amp;" "&amp;" "&amp;malumot!B74&amp;"-sonli "&amp;malumot!C64&amp;" shartnomasi bo‘yicha garovga qo‘yilgan mol-mulkni ko‘zdan kechirdim"</f>
        <v xml:space="preserve">      Men, «CLEVER MIKROMOLIYA TASHKILOTI» MChJ Olmaliq filiali boshlig'ii V. Yerjanov, jismoniy shaxs  NUTFULLAYEV AKBARJON AXMEDOVICH  11 mart 2025 y.dan № 23-AL-sonli Mikroqarz shartnomasi bo‘yicha garovga qo‘yilgan mol-mulkni ko‘zdan kechirdim</v>
      </c>
      <c r="B7" s="390"/>
      <c r="C7" s="390"/>
      <c r="D7" s="390"/>
      <c r="E7" s="390"/>
      <c r="F7" s="390"/>
      <c r="G7" s="390"/>
      <c r="H7" s="390"/>
    </row>
    <row r="8" spans="1:9" ht="19.5" customHeight="1">
      <c r="A8" s="394" t="s">
        <v>274</v>
      </c>
      <c r="B8" s="394"/>
      <c r="C8" s="394"/>
      <c r="D8" s="394"/>
      <c r="E8" s="394"/>
      <c r="F8" s="394"/>
      <c r="G8" s="394"/>
      <c r="H8" s="394"/>
    </row>
    <row r="9" spans="1:9" s="137" customFormat="1" ht="32.25" customHeight="1">
      <c r="A9" s="395" t="str">
        <f>' Акт мониторинга 1'!A9</f>
        <v>Nomi</v>
      </c>
      <c r="B9" s="396"/>
      <c r="C9" s="395" t="str">
        <f>' Акт мониторинга 1'!C9</f>
        <v>Kuzov turi  va kuzov raqami*</v>
      </c>
      <c r="D9" s="396"/>
      <c r="E9" s="395" t="str">
        <f>' Акт мониторинга 1'!E9</f>
        <v>Dvigatel va shassi raqami*</v>
      </c>
      <c r="F9" s="396"/>
      <c r="G9" s="395" t="str">
        <f>' Акт мониторинга 1'!G9</f>
        <v>Ishlab chiqarilgan yili va rangi**</v>
      </c>
      <c r="H9" s="396"/>
    </row>
    <row r="10" spans="1:9" s="135" customFormat="1" ht="58.5" customHeight="1">
      <c r="A10" s="397" t="str">
        <f>' Акт мониторинга 1'!A10</f>
        <v>CHANGAN CHANGAN SC 1027SB</v>
      </c>
      <c r="B10" s="397"/>
      <c r="C10" s="397" t="str">
        <f>' Акт мониторинга 1'!C10</f>
        <v>kuzov turi - YUK BORTLI TENT, kuzov raqami LSCAB23D8EG228387</v>
      </c>
      <c r="D10" s="397"/>
      <c r="E10" s="397" t="str">
        <f>' Акт мониторинга 1'!E10</f>
        <v>dvigatel raqami JL466Q1%E61H022801, shassi raqami - URINDIKLAR SONI 5TA</v>
      </c>
      <c r="F10" s="397"/>
      <c r="G10" s="397" t="str">
        <f>' Акт мониторинга 1'!G10</f>
        <v>rangi -  OQ BELIY, ishlab chiqarilgan yili - 2014</v>
      </c>
      <c r="H10" s="397"/>
    </row>
    <row r="11" spans="1:9" ht="19.5" customHeight="1">
      <c r="A11" s="389" t="str">
        <f>dalolatnoma!A22:E22</f>
        <v>-* avtotransport egasi: NUTFULLAYEV AKBARJON AXMEDOVICH</v>
      </c>
      <c r="B11" s="389"/>
      <c r="C11" s="389"/>
      <c r="D11" s="389"/>
      <c r="E11" s="389"/>
      <c r="F11" s="389"/>
      <c r="G11" s="389"/>
      <c r="H11" s="389"/>
    </row>
    <row r="12" spans="1:9" ht="19.5" customHeight="1">
      <c r="A12" s="389" t="str">
        <f>dalolatnoma!A23:E23</f>
        <v>-* texnik pasport: AAG   2346592  13.09.2023y</v>
      </c>
      <c r="B12" s="389"/>
      <c r="C12" s="389"/>
      <c r="D12" s="389"/>
      <c r="E12" s="389"/>
      <c r="F12" s="389"/>
      <c r="G12" s="389"/>
      <c r="H12" s="389"/>
    </row>
    <row r="13" spans="1:9" ht="19.5" customHeight="1">
      <c r="A13" s="389" t="str">
        <f>dalolatnoma!A24:E24</f>
        <v>-* roʻyxatdan oʻtgan manzili/garaj manzili: BUXORO VILOYATI BUXORO SHAHAR TADBIRKOR KO'CHASI 12-UY</v>
      </c>
      <c r="B13" s="389"/>
      <c r="C13" s="389"/>
      <c r="D13" s="389"/>
      <c r="E13" s="389"/>
      <c r="F13" s="389"/>
      <c r="G13" s="389"/>
      <c r="H13" s="389"/>
    </row>
    <row r="14" spans="1:9" ht="19.5" customHeight="1">
      <c r="A14" s="389" t="str">
        <f>dalolatnoma!A25:E25</f>
        <v>-* davlat raqami: 80T312WA</v>
      </c>
      <c r="B14" s="389"/>
      <c r="C14" s="389"/>
      <c r="D14" s="389"/>
      <c r="E14" s="389"/>
      <c r="F14" s="389"/>
      <c r="G14" s="389"/>
      <c r="H14" s="389"/>
    </row>
    <row r="15" spans="1:9" ht="33.75" customHeight="1">
      <c r="A15" s="392" t="str">
        <f>+"Shu bilan birga, yuqoridagi mulkning kelishilgan garov qiymati "&amp;dalolatnoma!E30</f>
        <v>Shu bilan birga, yuqoridagi mulkning kelishilgan garov qiymati 40 500 000,00 
(qirq million besh yuz ming so'm)</v>
      </c>
      <c r="B15" s="392"/>
      <c r="C15" s="392"/>
      <c r="D15" s="392"/>
      <c r="E15" s="392"/>
      <c r="F15" s="392"/>
      <c r="G15" s="392"/>
      <c r="H15" s="392"/>
    </row>
    <row r="17" spans="1:8" ht="28.5" customHeight="1">
      <c r="A17" s="393" t="s">
        <v>275</v>
      </c>
      <c r="B17" s="393"/>
      <c r="C17" s="393"/>
      <c r="D17" s="393"/>
      <c r="E17" s="393"/>
      <c r="F17" s="393"/>
      <c r="G17" s="393"/>
      <c r="H17" s="393"/>
    </row>
    <row r="21" spans="1:8" s="31" customFormat="1"/>
    <row r="22" spans="1:8" s="31" customFormat="1">
      <c r="A22" s="31" t="str">
        <f>malumot!A156</f>
        <v>Olmaliq filiali boshlig'i</v>
      </c>
      <c r="H22" s="138" t="str">
        <f>malumot!B156</f>
        <v>V. Yerjanov</v>
      </c>
    </row>
    <row r="23" spans="1:8" s="31" customFormat="1" ht="32.25" customHeight="1">
      <c r="H23" s="138"/>
    </row>
    <row r="24" spans="1:8" s="31" customFormat="1" ht="16.5" customHeight="1">
      <c r="A24" s="31" t="s">
        <v>276</v>
      </c>
      <c r="H24" s="31" t="str">
        <f>malumot!B166</f>
        <v>B. Jumanazarov</v>
      </c>
    </row>
    <row r="25" spans="1:8" s="31" customFormat="1" ht="60" customHeight="1"/>
    <row r="26" spans="1:8" s="31" customFormat="1">
      <c r="A26" s="31" t="s">
        <v>277</v>
      </c>
      <c r="H26" s="138" t="str">
        <f>malumot!B7</f>
        <v>A.A.NUTFULLAYEV</v>
      </c>
    </row>
    <row r="27" spans="1:8" s="31" customFormat="1"/>
    <row r="28" spans="1:8" s="31" customFormat="1"/>
    <row r="29" spans="1:8" s="31"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22</vt:i4>
      </vt:variant>
      <vt:variant>
        <vt:lpstr>Именованные диапазоны</vt:lpstr>
      </vt:variant>
      <vt:variant>
        <vt:i4>12</vt:i4>
      </vt:variant>
    </vt:vector>
  </HeadingPairs>
  <TitlesOfParts>
    <vt:vector size="34" baseType="lpstr">
      <vt:lpstr>malumot</vt:lpstr>
      <vt:lpstr>shartnoma</vt:lpstr>
      <vt:lpstr>buyruq</vt:lpstr>
      <vt:lpstr>bayonnoma</vt:lpstr>
      <vt:lpstr>График дифференц</vt:lpstr>
      <vt:lpstr>Данные для послед. Залога</vt:lpstr>
      <vt:lpstr>График аннуитет.</vt:lpstr>
      <vt:lpstr>xulosa</vt:lpstr>
      <vt:lpstr>dalolatnoma</vt:lpstr>
      <vt:lpstr>grafik</vt:lpstr>
      <vt:lpstr>ariza</vt:lpstr>
      <vt:lpstr>muqova</vt:lpstr>
      <vt:lpstr>mijoz_anketasi</vt:lpstr>
      <vt:lpstr>majburiyatnoma</vt:lpstr>
      <vt:lpstr>Анкета 2</vt:lpstr>
      <vt:lpstr>Кредитная заявка</vt:lpstr>
      <vt:lpstr>заявление залогодателя</vt:lpstr>
      <vt:lpstr>Письмо</vt:lpstr>
      <vt:lpstr> Акт мониторинга 1</vt:lpstr>
      <vt:lpstr> Акт мониторинга 2</vt:lpstr>
      <vt:lpstr> Акт мониторинга 3</vt:lpstr>
      <vt:lpstr> Акт мониторинга 4</vt:lpstr>
      <vt:lpstr>ariza!Область_печати</vt:lpstr>
      <vt:lpstr>bayonnoma!Область_печати</vt:lpstr>
      <vt:lpstr>buyruq!Область_печати</vt:lpstr>
      <vt:lpstr>dalolatnoma!Область_печати</vt:lpstr>
      <vt:lpstr>grafik!Область_печати</vt:lpstr>
      <vt:lpstr>mijoz_anketasi!Область_печати</vt:lpstr>
      <vt:lpstr>muqova!Область_печати</vt:lpstr>
      <vt:lpstr>shartnoma!Область_печати</vt:lpstr>
      <vt:lpstr>xulosa!Область_печати</vt:lpstr>
      <vt:lpstr>'График аннуитет.'!Область_печати</vt:lpstr>
      <vt:lpstr>'заявление залогодателя'!Область_печати</vt:lpstr>
      <vt:lpstr>'Кредитная заявка'!Область_печати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Admin</cp:lastModifiedBy>
  <cp:lastPrinted>2025-01-06T10:54:18Z</cp:lastPrinted>
  <dcterms:created xsi:type="dcterms:W3CDTF">2015-06-05T18:19:34Z</dcterms:created>
  <dcterms:modified xsi:type="dcterms:W3CDTF">2025-03-15T08:52:49Z</dcterms:modified>
</cp:coreProperties>
</file>